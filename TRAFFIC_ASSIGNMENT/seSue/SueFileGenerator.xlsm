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3" codeName="{7A2D7E96-6E34-419A-AE5F-296B3A7E7977}"/>
  <workbookPr codeName="ThisWorkbook"/>
  <mc:AlternateContent xmlns:mc="http://schemas.openxmlformats.org/markup-compatibility/2006">
    <mc:Choice Requires="x15">
      <x15ac:absPath xmlns:x15ac="http://schemas.microsoft.com/office/spreadsheetml/2010/11/ac" url="/Users/miguellop/Dropbox/source/mmvrp/seSue/"/>
    </mc:Choice>
  </mc:AlternateContent>
  <bookViews>
    <workbookView xWindow="27480" yWindow="1900" windowWidth="20300" windowHeight="22840" firstSheet="2" activeTab="2"/>
  </bookViews>
  <sheets>
    <sheet name="Graph" sheetId="6" state="hidden" r:id="rId1"/>
    <sheet name="Names" sheetId="30" state="hidden" r:id="rId2"/>
    <sheet name="UserGuide" sheetId="33" r:id="rId3"/>
    <sheet name="Nodes" sheetId="18" r:id="rId4"/>
    <sheet name="Arcs" sheetId="16" r:id="rId5"/>
    <sheet name="ODs" sheetId="20" r:id="rId6"/>
    <sheet name="Paths" sheetId="17" r:id="rId7"/>
    <sheet name="ColLet" sheetId="13" state="hidden" r:id="rId8"/>
    <sheet name="PathMDs" sheetId="27" r:id="rId9"/>
    <sheet name="Lists" sheetId="24" state="hidden" r:id="rId10"/>
  </sheets>
  <definedNames>
    <definedName name="aaazzz">#REF!</definedName>
    <definedName name="_xlnm.Print_Area" localSheetId="2">UserGuide!$B$1:$AV$269</definedName>
    <definedName name="formatCalc">#REF!</definedName>
    <definedName name="formatCellCenter">#REF!</definedName>
    <definedName name="formatCellLeft">#REF!</definedName>
    <definedName name="formatCellRight">#REF!</definedName>
    <definedName name="formatChoiceModels">#REF!</definedName>
    <definedName name="formatHeaderLeft">#REF!</definedName>
    <definedName name="formatInvLabel">#REF!</definedName>
    <definedName name="formatValLabel">#REF!</definedName>
    <definedName name="graphString">Graph!$C$2</definedName>
    <definedName name="indLblArcs">Names!$I$3</definedName>
    <definedName name="indLblNodes">Names!$I$4</definedName>
    <definedName name="indLblOds">Names!$I$6</definedName>
    <definedName name="indLblPathMDs">Names!$I$7</definedName>
    <definedName name="indLblPaths">Names!$I$5</definedName>
    <definedName name="indTArcs">Names!$H$3</definedName>
    <definedName name="indTNodes">Names!$H$4</definedName>
    <definedName name="indTOds">Names!$H$6</definedName>
    <definedName name="indTPathMDs">Names!$H$7</definedName>
    <definedName name="indTPaths">Names!$H$5</definedName>
    <definedName name="lblArcs" localSheetId="2">INDIRECT(indLblArcs)</definedName>
    <definedName name="lblArcs">INDIRECT(indLblArcs)</definedName>
    <definedName name="lblNodes" localSheetId="2">INDIRECT(indLblNodes)</definedName>
    <definedName name="lblNodes">INDIRECT(indLblNodes)</definedName>
    <definedName name="lblOds" localSheetId="2">INDIRECT(indLblOds)</definedName>
    <definedName name="lblOds">INDIRECT(indLblOds)</definedName>
    <definedName name="lblPathMDs" localSheetId="2">INDIRECT(indLblPathMDs)</definedName>
    <definedName name="lblPathMDs">INDIRECT(indLblPathMDs)</definedName>
    <definedName name="lblPaths" localSheetId="2">INDIRECT(indLblPaths)</definedName>
    <definedName name="lblPaths">INDIRECT(indLblPaths)</definedName>
    <definedName name="lstCM">Lists!$B$3:$B$6</definedName>
    <definedName name="lstDist">Lists!$D$3:$D$5</definedName>
    <definedName name="qValidMDs">Names!$D$10</definedName>
    <definedName name="sGraphString">Graph!#REF!</definedName>
    <definedName name="tArcs" localSheetId="2">INDIRECT(indTArcs)</definedName>
    <definedName name="tArcs">INDIRECT(indTArcs)</definedName>
    <definedName name="tFormats">Names!$S$3:$T$27</definedName>
    <definedName name="tNodes" localSheetId="2">INDIRECT(indTNodes)</definedName>
    <definedName name="tNodes">INDIRECT(indTNodes)</definedName>
    <definedName name="tOds" localSheetId="2">INDIRECT(indTOds)</definedName>
    <definedName name="tOds">INDIRECT(indTOds)</definedName>
    <definedName name="tPathMDs" localSheetId="2">INDIRECT(indTPathMDs)</definedName>
    <definedName name="tPathMDs">INDIRECT(indTPathMDs)</definedName>
    <definedName name="tPaths" localSheetId="2">INDIRECT(indTPaths)</definedName>
    <definedName name="tPaths">INDIRECT(indTPaths)</definedName>
    <definedName name="tUnFormats">Names!$M$3:$P$7</definedName>
    <definedName name="tValidations">Names!$W$3:$X$4</definedName>
    <definedName name="uGraphString">Graph!$C$4</definedName>
    <definedName name="zzzaaa">#REF!</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C8" i="6" l="1"/>
  <c r="M4" i="30"/>
  <c r="M5" i="30"/>
  <c r="M6" i="30"/>
  <c r="M7" i="30"/>
  <c r="M3" i="30"/>
  <c r="D7" i="30"/>
  <c r="D5" i="30"/>
  <c r="J5" i="30"/>
  <c r="D4" i="30"/>
  <c r="H4" i="30"/>
  <c r="D6" i="30"/>
  <c r="I6" i="30"/>
  <c r="D3" i="30"/>
  <c r="H3" i="30"/>
  <c r="P5" i="30"/>
  <c r="T25" i="30"/>
  <c r="J7" i="30"/>
  <c r="T22" i="30"/>
  <c r="T15" i="30"/>
  <c r="H7" i="30"/>
  <c r="I7" i="30"/>
  <c r="T5" i="30"/>
  <c r="J3" i="30"/>
  <c r="J6" i="30"/>
  <c r="P6" i="30"/>
  <c r="J4" i="30"/>
  <c r="I5" i="30"/>
  <c r="H6" i="30"/>
  <c r="H5" i="30"/>
  <c r="I4" i="30"/>
  <c r="I3" i="30"/>
  <c r="P3" i="30"/>
  <c r="T23" i="30"/>
  <c r="T18" i="30"/>
  <c r="X4" i="30"/>
  <c r="T7" i="30"/>
  <c r="P7" i="30"/>
  <c r="T4" i="30"/>
  <c r="P4" i="30"/>
  <c r="T3" i="30"/>
  <c r="T11" i="30"/>
  <c r="T6" i="30"/>
  <c r="X3" i="30"/>
  <c r="T21" i="30"/>
  <c r="T8" i="30"/>
</calcChain>
</file>

<file path=xl/sharedStrings.xml><?xml version="1.0" encoding="utf-8"?>
<sst xmlns="http://schemas.openxmlformats.org/spreadsheetml/2006/main" count="562" uniqueCount="335">
  <si>
    <t>A</t>
  </si>
  <si>
    <t>B</t>
  </si>
  <si>
    <t>V</t>
  </si>
  <si>
    <t>AV</t>
  </si>
  <si>
    <t>L</t>
  </si>
  <si>
    <t>P</t>
  </si>
  <si>
    <t>C</t>
  </si>
  <si>
    <t>Label</t>
  </si>
  <si>
    <t>From</t>
  </si>
  <si>
    <t>To</t>
  </si>
  <si>
    <t>0-1</t>
  </si>
  <si>
    <t>0-2</t>
  </si>
  <si>
    <t>D</t>
  </si>
  <si>
    <t>E</t>
  </si>
  <si>
    <t>F</t>
  </si>
  <si>
    <t>G</t>
  </si>
  <si>
    <t>H</t>
  </si>
  <si>
    <t>I</t>
  </si>
  <si>
    <t>J</t>
  </si>
  <si>
    <t>K</t>
  </si>
  <si>
    <t>M</t>
  </si>
  <si>
    <t>N</t>
  </si>
  <si>
    <t>O</t>
  </si>
  <si>
    <t>Q</t>
  </si>
  <si>
    <t>R</t>
  </si>
  <si>
    <t>S</t>
  </si>
  <si>
    <t>T</t>
  </si>
  <si>
    <t>U</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</si>
  <si>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</si>
  <si>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</si>
  <si>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</si>
  <si>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</si>
  <si>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</si>
  <si>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</si>
  <si>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</si>
  <si>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</si>
  <si>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</si>
  <si>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</si>
  <si>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</si>
  <si>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</si>
  <si>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</si>
  <si>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</si>
  <si>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</si>
  <si>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</si>
  <si>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</si>
  <si>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</si>
  <si>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</si>
  <si>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</si>
  <si>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</si>
  <si>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</si>
  <si>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</si>
  <si>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</si>
  <si>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</si>
  <si>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</si>
  <si>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</si>
  <si>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</si>
  <si>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</si>
  <si>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</si>
  <si>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</si>
  <si>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</si>
  <si>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</si>
  <si>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</si>
  <si>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</si>
  <si>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</si>
  <si>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</si>
  <si>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</si>
  <si>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</si>
  <si>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</si>
  <si>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</si>
  <si>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</si>
  <si>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</si>
  <si>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</si>
  <si>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</si>
  <si>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</si>
  <si>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</si>
  <si>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</si>
  <si>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</si>
  <si>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</si>
  <si>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</si>
  <si>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</si>
  <si>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</si>
  <si>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</si>
  <si>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</si>
  <si>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</si>
  <si>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</si>
  <si>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</si>
  <si>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</si>
  <si>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</si>
  <si>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</si>
  <si>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</si>
  <si>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</si>
  <si>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</si>
  <si>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</si>
  <si>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</si>
  <si>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</si>
  <si>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</si>
  <si>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</si>
  <si>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</si>
  <si>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</si>
  <si>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</si>
  <si>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</si>
  <si>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</si>
  <si>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</si>
  <si>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</si>
  <si>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</si>
  <si>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Graph String</t>
  </si>
  <si>
    <t>Origin</t>
  </si>
  <si>
    <t>Destination</t>
  </si>
  <si>
    <t>Demand</t>
  </si>
  <si>
    <t>0-3</t>
  </si>
  <si>
    <t>0-4</t>
  </si>
  <si>
    <t>FFTT</t>
  </si>
  <si>
    <t>Capacity</t>
  </si>
  <si>
    <t>Power</t>
  </si>
  <si>
    <t>Toll</t>
  </si>
  <si>
    <t>Toll Fac.</t>
  </si>
  <si>
    <t>Length</t>
  </si>
  <si>
    <t>Dist. Fac.</t>
  </si>
  <si>
    <t>Exp. Coeff.</t>
  </si>
  <si>
    <t>Urban Graph String</t>
  </si>
  <si>
    <t>Choice Model (CM)</t>
  </si>
  <si>
    <t>CM Param1</t>
  </si>
  <si>
    <t>CM Param2</t>
  </si>
  <si>
    <t>CM Param3</t>
  </si>
  <si>
    <t>lstCM</t>
  </si>
  <si>
    <t>DUE</t>
  </si>
  <si>
    <t>Logit</t>
  </si>
  <si>
    <t>Weibit</t>
  </si>
  <si>
    <t>MDM</t>
  </si>
  <si>
    <t>valid</t>
  </si>
  <si>
    <t>od row</t>
  </si>
  <si>
    <t>tArcs</t>
  </si>
  <si>
    <t>Arcs</t>
  </si>
  <si>
    <t>countif</t>
  </si>
  <si>
    <t>ws</t>
  </si>
  <si>
    <t>fCol</t>
  </si>
  <si>
    <t>lCol</t>
  </si>
  <si>
    <t>tNodes</t>
  </si>
  <si>
    <t>Nodes</t>
  </si>
  <si>
    <t>tPaths</t>
  </si>
  <si>
    <t>Paths</t>
  </si>
  <si>
    <t>tOds</t>
  </si>
  <si>
    <t>Ods</t>
  </si>
  <si>
    <t>last col</t>
  </si>
  <si>
    <t>t</t>
  </si>
  <si>
    <t>lbl</t>
  </si>
  <si>
    <t>O ind</t>
  </si>
  <si>
    <t>D ind</t>
  </si>
  <si>
    <t>path ind</t>
  </si>
  <si>
    <t>cm status</t>
  </si>
  <si>
    <t>label</t>
  </si>
  <si>
    <t>left</t>
  </si>
  <si>
    <t>format Max</t>
  </si>
  <si>
    <t>center</t>
  </si>
  <si>
    <t>right</t>
  </si>
  <si>
    <t>tPathMDs</t>
  </si>
  <si>
    <t>PathMDs</t>
  </si>
  <si>
    <t>PS</t>
  </si>
  <si>
    <t>arc indices</t>
  </si>
  <si>
    <t>calc1</t>
  </si>
  <si>
    <t>Distribution</t>
  </si>
  <si>
    <t>sp ind</t>
  </si>
  <si>
    <t>sp fftt</t>
  </si>
  <si>
    <t>od ind</t>
  </si>
  <si>
    <t>OD</t>
  </si>
  <si>
    <t>clear formats</t>
  </si>
  <si>
    <t>fRow</t>
  </si>
  <si>
    <t>lstDist</t>
  </si>
  <si>
    <t>Exp</t>
  </si>
  <si>
    <t>StaN</t>
  </si>
  <si>
    <t>dist</t>
  </si>
  <si>
    <t>cm</t>
  </si>
  <si>
    <t>valid dist</t>
  </si>
  <si>
    <t>Dist Param1</t>
  </si>
  <si>
    <t>Dist Param2</t>
  </si>
  <si>
    <t>Dist Param3</t>
  </si>
  <si>
    <t>qValidMDs</t>
  </si>
  <si>
    <t>pathMd ind</t>
  </si>
  <si>
    <t>([0;1;2;3;4],[1-3(5,4,5,5,1,10,5,6,3);2-3(3,2,10,6,3,8,4,10,7);2-4(9,10,9,1,2,9,7,2,2);0-1(9,5,7,7,6,5,8,10,3);0-2(6,8,2,5,4,8,5,6,5);1-2(3,2,2,7,7,10,2,1,6)],[0-1;0-1-3;0-1-2-3;0-2-4],[0-3(10,MDM(Add,0.001,[StaN;N(15,0.5)]));0-1(20,MDM(Add,0.001,[Exp(15,0.5)]));0-4(30)])</t>
  </si>
  <si>
    <t>([0;1;2;3;4],[1-3;2-3;2-4;0-1;0-2;1-2],[])</t>
  </si>
  <si>
    <t>Flow</t>
  </si>
  <si>
    <t>Prob</t>
  </si>
  <si>
    <t>max flow</t>
  </si>
  <si>
    <t>minC+</t>
  </si>
  <si>
    <t>maxC+</t>
  </si>
  <si>
    <t>minC*</t>
  </si>
  <si>
    <t>maxC*</t>
  </si>
  <si>
    <t>(([1;2;3;4;5;6;7;8;9;10;11;12;13;14;15;16;17;18;19;20;21;22;23;24;25;26;27;28;29;30;31;32;33;34;35;36;37;38;39;40;41;42;43;44;45;46;47;48;49;50;51;52;53;54;55;56;57;58;59;60;61;62;63;64;65;66;67;68;69;70;71;72;73;74;75;76;77;78;79;80;81;82;83;84;85;86;87;88;89;90;91;92;93;94;95;96;97;98;99;100;101;102;103;104;105;106;107;108;109;110;111;112;113;114;115;116;117;118;119;120;121;122;123;124;125;126;127;128;129;130;131;132;133;134;135;136;137;138;139;140;141;142;143;144;145;146;147;160;161;162;163;164;165;166;167;168;169;170;171;172;173;174;175;176;177;178;179;180;181;182;183;184;185;186;187;188;189;190;191;192;193;194;195;196;197;198;199;200;201;202;203;204;205;206;207;208;209;210;211;212;213;214;215;216;217;218;219;220;221;222;223;224;225;226;227;228;229;230;231;232;233;234;235;236;237;238;239;240;241;242;243;244;245;246;247;248;249;250;251;252;253;254;255;256;257;258;259;260;261;262;263;264;265;266;267;268;269;270;271;272;273;274;275;276;277;278;279;280;281;282;283;284;285;286;287;288;289;290;291;292;293;294;295;296;297;298;299;300;301;302;303;304;305;306;307;308;309;310;311;312;313;314;315;316;317;318;319;320;321;322;323;324;325;326;327;328;329;330;331;332;333;334;335;336;337;338;339;340;341;342;343;344;345;346;347;348;349;350;351;352;353;354;355;356;357;358;359;360;361;362;363;364;365;366;367;368;369;370;371;372;373;374;375;376;377;378;379;380;381;382;383;384;385;386;387;388;389;390;391;392;393;394;395;396;397;398;399;400;401;402;403;404;405;406;407;408;409;410;411;412;413;414;415;416;417;418;419;420;421;422;423;424;425;426;427;428;429;430;431;432;433;434;435;436;437;438;439;440;441;442;443;444;445;446;447;448;449;450;451;452;453;454;455;456;457;458;459;460;461;462;463;464;465;466;467;468;469;470;471;472;473;474;475;476;477;478;479;480;481;482;483;484;485;486;487;488;489;490;491;492;493;494;495;496;497;498;499;500;501;502;503;504;505;506;507;508;509;510;511;512;513;514;515;516;517;518;519;520;521;522;523;524;525;526;527;528;529;530;531;532;533;534;535;536;537;538;539;540;541;542;543;544;545;546;547;548;549;550;551;552;553;554;555;556;557;558;559;560;561;562;563;564;565;566;567;568;569;570;571;572;573;574;575;576;577;578;579;580;581;582;583;584;585;586;587;588;589;590;591;592;593;594;595;596;597;598;599;600;601;602;603;604;605;606;607;608;609;610;611;612;613;614;615;616;617;618;619;620;621;622;623;624;625;626;627;628;629;630;631;632;633;634;635;636;637;638;639;640;641;642;643;644;645;646;647;648;649;650;651;652;653;654;655;656;657;658;659;660;661;662;663;664;665;666;667;668;669;670;671;672;673;674;675;676;677;678;679;680;681;682;683;684;685;686;687;688;689;690;691;692;693;694;695;696;697;698;699;700;701;702;703;704;705;706;707;708;709;710;711;712;713;714;715;716;717;718;719;720;721;722;723;724;725;726;727;728;729;730;731;732;733;734;735;736;737;738;739;740;741;742;743;744;745;746;747;748;749;750;751;752;753;754;755;756;757;758;759;760;761;762;763;764;765;766;767;768;769;770;771;772;773;774;775;776;777;778;779;780;781;782;783;784;785;786;787;788;789;790;791;792;793;794;795;796;797;798;799;800;801;802;803;804;805;806;807;808;809;810;811;812;813;814;815;816;817;818;819;820;821;822;823;824;825;826;827;828;829;830;831;832;833;834;835;836;837;838;839;840;841;842;843;844;845;846;847;848;849;850;851;852;853;854;855;856;857;858;859;860;861;862;863;864;865;866;867;868;869;870;871;872;873;874;875;876;877;878;879;880;881;882;883;884;885;886;887;888;889;890;891;892;893;894;895;896;897;898;899;900;901;902;903;904;905;906;907;908;909;910;911;912;913;914;915;916;917;918;919;920;921;922;923;924;925;926;927;928;929;930;931;932;933;934;935;936;937;938;939;940;941;942;943;944;945;946;947;948;949;950;951;952;953;954;955;956;957;958;959;960;961;962;963;964;965;966;967;968;969;970;971;972;973;974;975;976;977;978;979;980;981;982;983;984;985;986;987;988;989;990;991;992;993;994;995;996;997;998;999;1000;1001;1002;1003;1004;1005;1006;1007;1008;1009;1010;1011;1012;1013;1014;1015;1016;1017;1018;1019;1020;1021;1022;1023;1024;1025;1026;1027;1028;1029;1030;1031;1032;1033;1034;1035;1036;1037;1038;1039;1040;1041;1042;1043;1044;1045;1046;1047;1048;1049;1050;1051;1052],[1-854(0,0,(0.780000019,0,1,0,0,0,0.780000019,0,0.075));1-870(0,0,(1.380000019,0,1,0,0,0,1.380000019,0,0.075));2-893(0,0,(0.420000029,0,1,0,0,0,0.420000029,0,0.075));2-934(0,0,(1.320000076,0,1,0,0,0,1.320000076,0,0.075));2-938(0,0,(0.420000029,0,1,0,0,0,0.420000029,0,0.075));3-909(0,0,(0.6,0,1,0,0,0,0.6,0,0.075));3-911(0,0,(2.040000153,0,1,0,0,0,2.040000153,0,0.075));3-923(0,0,(1.320000076,0,1,0,0,0,1.320000076,0,0.075));3-929(0,0,(1.500000095,0,1,0,0,0,1.500000095,0,0.075));4-902(0,0,(1.680000114,0,1,0,0,0,1.680000114,0,0.075));4-917(0,0,(0.54000001,0,1,0,0,0,0.54000001,0,0.075));4-919(0,0,(0.9,0,1,0,0,0,0.9,0,0.075));4-920(0,0,(0.6,0,1,0,0,0,0.6,0,0.075));4-932(0,0,(1.080000019,0,1,0,0,0,1.080000019,0,0.075));5-1009(0,0,(0.6,0,1,0,0,0,0.6,0,0.075));5-1010(0,0,(2.280000114,0,1,0,0,0,2.280000114,0,0.075));5-1029(0,0,(0.840000057,0,1,0,0,0,0.840000057,0,0.075));6-992(0,0,(0.420000029,0,1,0,0,0,0.420000029,0,0.075));6-1008(0,0,(1.620000076,0,1,0,0,0,1.620000076,0,0.075));6-1018(0,0,(0.660000038,0,1,0,0,0,0.660000038,0,0.075));7-970(0,0,(0.960000038,0,1,0,0,0,0.960000038,0,0.075));7-971(0,0,(0.780000019,0,1,0,0,0,0.780000019,0,0.075));7-972(0,0,(0.720000029,0,1,0,0,0,0.720000029,0,0.075));7-973(0,0,(0.9,0,1,0,0,0,0.9,0,0.075));7-974(0,0,(1.080000019,0,1,0,0,0,1.080000019,0,0.075));8-996(0,0,(0.54000001,0,1,0,0,0,0.54000001,0,0.075));8-1012(0,0,(0.780000019,0,1,0,0,0,0.780000019,0,0.075));9-840(0,0,(0.360000014,0,1,0,0,0,0.360000014,0,0.075));10-535(0,0,(1.040000025,0,1,0,0,0,1.040000025,0,0.075));10-839(0,0,(1.520000076,0,1,0,0,0,1.520000076,0,0.075));11-166(0,0,(1.560000102,0,1,0,0,0,1.560000102,0,0.075));11-200(0,0,(1.560000102,0,1,0,0,0,1.560000102,0,0.075));12-167(0,0,(1.880000051,0,1,0,0,0,1.880000051,0,0.075));12-199(0,0,(1.2,0,1,0,0,0,1.2,0,0.075));13-170(0,0,(0.840000025,0,1,0,0,0,0.840000025,0,0.075));14-169(0,0,(2.280000051,0,1,0,0,0,2.280000051,0,0.075));14-191(0,0,(2.280000051,0,1,0,0,0,2.280000051,0,0.075));14-197(0,0,(1.120000076,0,1,0,0,0,1.120000076,0,0.075));15-171(0,0,(0.680000051,0,1,0,0,0,0.680000051,0,0.075));15-189(0,0,(0.24000001,0,1,0,0,0,0.24000001,0,0.075));16-195(0,0,(1.880000051,0,1,0,0,0,1.880000051,0,0.075));16-224(0,0,(1.320000076,0,1,0,0,0,1.320000076,0,0.075));17-173(0,0,(2.440000153,0,1,0,0,0,2.440000153,0,0.075));17-187(0,0,(2.440000153,0,1,0,0,0,2.440000153,0,0.075));18-174(0,0,(1.680000051,0,1,0,0,0,1.680000051,0,0.075));18-186(0,0,(2.440000153,0,1,0,0,0,2.440000153,0,0.075));19-190(0,0,(1.880000051,0,1,0,0,0,1.880000051,0,0.075));19-220(0,0,(1.280000051,0,1,0,0,0,1.280000051,0,0.075));20-177(0,0,(2.160000102,0,1,0,0,0,2.160000102,0,0.075));20-183(0,0,(2.520000203,0,1,0,0,0,2.520000203,0,0.075));21-182(0,0,(0.760000038,0,1,0,0,0,0.760000038,0,0.075));21-213(0,0,(3.760000102,0,1,0,0,0,3.760000102,0,0.075));22-262(0,0,(0.680000051,0,1,0,0,0,0.680000051,0,0.075));23-278(0,0,(0.560000038,0,1,0,0,0,0.560000038,0,0.075));24-266(0,0,(1.120000076,0,1,0,0,0,1.120000076,0,0.075));24-277(0,0,(1.120000076,0,1,0,0,0,1.120000076,0,0.075));25-212(0,0,(0.8,0,1,0,0,0,0.8,0,0.075));25-354(0,0,(2.640000153,0,1,0,0,0,2.640000153,0,0.075));26-260(0,0,(0.520000013,0,1,0,0,0,0.520000013,0,0.075));27-285(0,0,(1.120000076,0,1,0,0,0,1.120000076,0,0.075));28-225(0,0,(1.480000051,0,1,0,0,0,1.480000051,0,0.075));28-238(0,0,(1.880000051,0,1,0,0,0,1.880000051,0,0.075));29-230(0,0,(0.520000013,0,1,0,0,0,0.520000013,0,0.075));30-240(0,0,(1.040000025,0,1,0,0,0,1.040000025,0,0.075));30-245(0,0,(3.920000203,0,1,0,0,0,3.920000203,0,0.075));31-237(0,0,(3.800000254,0,1,0,0,0,3.800000254,0,0.075));31-239(0,0,(1.640000025,0,1,0,0,0,1.640000025,0,0.075));32-243(0,0,(0.520000013,0,1,0,0,0,0.520000013,0,0.075));33-273(0,0,(1.120000076,0,1,0,0,0,1.120000076,0,0.075));33-274(0,0,(1.120000076,0,1,0,0,0,1.120000076,0,0.075));33-294(0,0,(0.960000038,0,1,0,0,0,0.960000038,0,0.075));33-295(0,0,(1.2,0,1,0,0,0,1.2,0,0.075));34-272(0,0,(0.840000025,0,1,0,0,0,0.840000025,0,0.075));35-293(0,0,(0.560000038,0,1,0,0,0,0.560000038,0,0.075));36-300(0,0,(0.6,0,1,0,0,0,0.6,0,0.075));37-305(0,0,(0.840000025,0,1,0,0,0,0.840000025,0,0.075));38-289(0,0,(2.560000102,0,1,0,0,0,2.560000102,0,0.075));38-336(0,0,(2.960000102,0,1,0,0,0,2.960000102,0,0.075));38-340(0,0,(2.560000102,0,1,0,0,0,2.560000102,0,0.075));38-341(0,0,(2.960000102,0,1,0,0,0,2.960000102,0,0.075));39-327(0,0,(0.560000038,0,1,0,0,0,0.560000038,0,0.075));40-329(0,0,(0.6,0,1,0,0,0,0.6,0,0.075));41-311(0,0,(0.480000019,0,1,0,0,0,0.480000019,0,0.075));42-312(0,0,(1.520000076,0,1,0,0,0,1.520000076,0,0.075));42-313(0,0,(1.320000076,0,1,0,0,0,1.320000076,0,0.075));43-332(0,0,(0.920000013,0,1,0,0,0,0.920000013,0,0.075));44-319(0,0,(1.760000102,0,1,0,0,0,1.760000102,0,0.075));45-339(0,0,(1.680000051,0,1,0,0,0,1.680000051,0,0.075));46-321(0,0,(0.760000038,0,1,0,0,0,0.760000038,0,0.075));46-334(0,0,(0.760000038,0,1,0,0,0,0.760000038,0,0.075));47-360(0,0,(0.4,0,1,0,0,0,0.4,0,0.075));47-361(0,0,(0.4,0,1,0,0,0,0.4,0,0.075));47-362(0,0,(1.2,0,1,0,0,0,1.2,0,0.075));48-376(0,0,(0.720000013,0,1,0,0,0,0.720000013,0,0.075));49-447(0,0,(0.440000025,0,1,0,0,0,0.440000025,0,0.075));50-378(0,0,(1.520000076,0,1,0,0,0,1.520000076,0,0.075));51-377(0,0,(1.480000051,0,1,0,0,0,1.480000051,0,0.075));51-382(0,0,(1.000000064,0,1,0,0,0,1.000000064,0,0.075));52-383(0,0,(1.080000051,0,1,0,0,0,1.080000051,0,0.075));52-443(0,0,(0.920000013,0,1,0,0,0,0.920000013,0,0.075));52-444(0,0,(1.4,0,1,0,0,0,1.4,0,0.075));52-446(0,0,(1.360000102,0,1,0,0,0,1.360000102,0,0.075));53-405(0,0,(0.840000025,0,1,0,0,0,0.840000025,0,0.075));54-394(0,0,(1.360000102,0,1,0,0,0,1.360000102,0,0.075));54-400(0,0,(0.840000025,0,1,0,0,0,0.840000025,0,0.075));54-404(0,0,(0.960000038,0,1,0,0,0,0.960000038,0,0.075));55-395(0,0,(1.320000076,0,1,0,0,0,1.320000076,0,0.075));55-434(0,0,(3.800000254,0,1,0,0,0,3.800000254,0,0.075));55-1035(0,0,(1.160000102,0,1,0,0,0,1.160000102,0,0.075));56-393(0,0,(1.680000051,0,1,0,0,0,1.680000051,0,0.075));56-435(0,0,(3.400000254,0,1,0,0,0,3.400000254,0,0.075));57-406(0,0,(0.880000051,0,1,0,0,0,0.880000051,0,0.075));58-407(0,0,(0.760000038,0,1,0,0,0,0.760000038,0,0.075));58-432(0,0,(5.280000305,0,1,0,0,0,5.280000305,0,0.075));58-1035(0,0,(1.880000051,0,1,0,0,0,1.880000051,0,0.075));59-412(0,0,(0.760000038,0,1,0,0,0,0.760000038,0,0.075));59-413(0,0,(0.920000013,0,1,0,0,0,0.920000013,0,0.075));60-481(0,0,(0.760000038,0,1,0,0,0,0.760000038,0,0.075));61-477(0,0,(1.120000076,0,1,0,0,0,1.120000076,0,0.075));62-420(0,0,(2.280000051,0,1,0,0,0,2.280000051,0,0.075));62-421(0,0,(2.280000051,0,1,0,0,0,2.280000051,0,0.075));63-411(0,0,(0.440000025,0,1,0,0,0,0.440000025,0,0.075));63-418(0,0,(2.280000051,0,1,0,0,0,2.280000051,0,0.075));63-429(0,0,(2.280000051,0,1,0,0,0,2.280000051,0,0.075));64-418(0,0,(0.760000038,0,1,0,0,0,0.760000038,0,0.075));64-419(0,0,(0.760000038,0,1,0,0,0,0.760000038,0,0.075));65-426(0,0,(1.000000064,0,1,0,0,0,1.000000064,0,0.075));66-453(0,0,(0.920000013,0,1,0,0,0,0.920000013,0,0.075));66-454(0,0,(0.760000038,0,1,0,0,0,0.760000038,0,0.075));66-1034(0,0,(1.440000025,0,1,0,0,0,1.440000025,0,0.075));67-441(0,0,(1.000000064,0,1,0,0,0,1.000000064,0,0.075));68-465(0,0,(0.480000019,0,1,0,0,0,0.480000019,0,0.075));69-456(0,0,(0.840000025,0,1,0,0,0,0.840000025,0,0.075));70-468(0,0,(0.6,0,1,0,0,0,0.6,0,0.075));70-473(0,0,(0.840000025,0,1,0,0,0,0.840000025,0,0.075));71-467(0,0,(1.000000064,0,1,0,0,0,1.000000064,0,0.075));71-472(0,0,(1.960000102,0,1,0,0,0,1.960000102,0,0.075));72-462(0,0,(0.440000025,0,1,0,0,0,0.440000025,0,0.075));73-457(0,0,(1.2,0,1,0,0,0,1.2,0,0.075));73-464(0,0,(1.880000051,0,1,0,0,0,1.880000051,0,0.075));74-483(0,0,(1.080000051,0,1,0,0,0,1.080000051,0,0.075));74-500(0,0,(1.800000127,0,1,0,0,0,1.800000127,0,0.075));74-501(0,0,(1.640000025,0,1,0,0,0,1.640000025,0,0.075));75-503(0,0,(1.520000076,0,1,0,0,0,1.520000076,0,0.075));76-485(0,0,(2.720000203,0,1,0,0,0,2.720000203,0,0.075));76-498(0,0,(1.720000076,0,1,0,0,0,1.720000076,0,0.075));77-493(0,0,(1.440000025,0,1,0,0,0,1.440000025,0,0.075));77-507(0,0,(1.360000102,0,1,0,0,0,1.360000102,0,0.075));78-504(0,0,(1.520000076,0,1,0,0,0,1.520000076,0,0.075));79-492(0,0,(1.880000051,0,1,0,0,0,1.880000051,0,0.075));80-620(0,0,(0.440000025,0,1,0,0,0,0.440000025,0,0.075));80-621(0,0,(0.440000025,0,1,0,0,0,0.440000025,0,0.075));80-652(0,0,(0.640000025,0,1,0,0,0,0.640000025,0,0.075));81-628(0,0,(1.360000102,0,1,0,0,0,1.360000102,0,0.075));81-629(0,0,(1.360000102,0,1,0,0,0,1.360000102,0,0.075));81-657(0,0,(1.4,0,1,0,0,0,1.4,0,0.075));82-653(0,0,(0.480000019,0,1,0,0,0,0.480000019,0,0.075));82-658(0,0,(0.920000013,0,1,0,0,0,0.920000013,0,0.075));83-703(0,0,(0.440000025,0,1,0,0,0,0.440000025,0,0.075));84-700(0,0,(0.880000051,0,1,0,0,0,0.880000051,0,0.075));84-701(0,0,(0.880000051,0,1,0,0,0,0.880000051,0,0.075));84-720(0,0,(1.520000076,0,1,0,0,0,1.520000076,0,0.075));84-722(0,0,(1.520000076,0,1,0,0,0,1.520000076,0,0.075));85-721(0,0,(0.4,0,1,0,0,0,0.4,0,0.075));85-732(0,0,(0.680000051,0,1,0,0,0,0.680000051,0,0.075));86-770(0,0,(0.680000051,0,1,0,0,0,0.680000051,0,0.075));87-771(0,0,(0.960000038,0,1,0,0,0,0.960000038,0,0.075));88-777(0,0,(1.040000025,0,1,0,0,0,1.040000025,0,0.075));88-778(0,0,(1.360000102,0,1,0,0,0,1.360000102,0,0.075));89-797(0,0,(0.760000038,0,1,0,0,0,0.760000038,0,0.075));90-786(0,0,(1.760000102,0,1,0,0,0,1.760000102,0,0.075));90-788(0,0,(1.440000025,0,1,0,0,0,1.440000025,0,0.075));90-789(0,0,(1.440000025,0,1,0,0,0,1.440000025,0,0.075));90-793(0,0,(1.760000102,0,1,0,0,0,1.760000102,0,0.075));91-798(0,0,(1.880000051,0,1,0,0,0,1.880000051,0,0.075));91-799(0,0,(1.720000076,0,1,0,0,0,1.720000076,0,0.075));92-812(0,0,(1.320000076,0,1,0,0,0,1.320000076,0,0.075));92-814(0,0,(2.560000102,0,1,0,0,0,2.560000102,0,0.075));93-804(0,0,(4.520000203,0,1,0,0,0,4.520000203,0,0.075));93-817(0,0,(3,0,1,0,0,0,3,0,0.075));94-813(0,0,(2.440000153,0,1,0,0,0,2.440000153,0,0.075));95-818(0,0,(3.400000254,0,1,0,0,0,3.400000254,0,0.075));95-819(0,0,(2.040000025,0,1,0,0,0,2.040000025,0,0.075));96-558(0,0,(0.360000006,0,1,0,0,0,0.360000006,0,0.075));97-648(0,0,(1.2,0,1,0,0,0,1.2,0,0.075));97-659(0,0,(1.040000025,0,1,0,0,0,1.040000025,0,0.075));97-694(0,0,(1.320000076,0,1,0,0,0,1.320000076,0,0.075));97-695(0,0,(1.320000076,0,1,0,0,0,1.320000076,0,0.075));98-601(0,0,(0.920000013,0,1,0,0,0,0.920000013,0,0.075));98-647(0,0,(0.680000051,0,1,0,0,0,0.680000051,0,0.075));98-650(0,0,(1.4,0,1,0,0,0,1.4,0,0.075));99-600(0,0,(0.480000019,0,1,0,0,0,0.480000019,0,0.075));99-644(0,0,(0.880000051,0,1,0,0,0,0.880000051,0,0.075));100-694(0,0,(1.6,0,1,0,0,0,1.6,0,0.075));100-695(0,0,(1.6,0,1,0,0,0,1.6,0,0.075));100-718(0,0,(1.760000102,0,1,0,0,0,1.760000102,0,0.075));100-728(0,0,(1.6,0,1,0,0,0,1.6,0,0.075));101-688(0,0,(0.960000038,0,1,0,0,0,0.960000038,0,0.075));101-689(0,0,(0.960000038,0,1,0,0,0,0.960000038,0,0.075));102-677(0,0,(2.480000051,0,1,0,0,0,2.480000051,0,0.075));102-687(0,0,(0.720000013,0,1,0,0,0,0.720000013,0,0.075));103-751(0,0,(0.920000013,0,1,0,0,0,0.920000013,0,0.075));103-752(0,0,(0.680000051,0,1,0,0,0,0.680000051,0,0.075));104-708(0,0,(1.960000102,0,1,0,0,0,1.960000102,0,0.075));104-836(0,0,(1.080000051,0,1,0,0,0,1.080000051,0,0.075));105-755(0,0,(1.120000076,0,1,0,0,0,1.120000076,0,0.075));106-705(0,0,(1.120000076,0,1,0,0,0,1.120000076,0,0.075));106-742(0,0,(1.120000076,0,1,0,0,0,1.120000076,0,0.075));107-546(0,0,(1.080000051,0,1,0,0,0,1.080000051,0,0.075));107-548(0,0,(0.960000038,0,1,0,0,0,0.960000038,0,0.075));108-532(0,0,(0.680000051,0,1,0,0,0,0.680000051,0,0.075));108-533(0,0,(0.840000025,0,1,0,0,0,0.840000025,0,0.075));109-637(0,0,(1.120000076,0,1,0,0,0,1.120000076,0,0.075));109-639(0,0,(1.040000025,0,1,0,0,0,1.040000025,0,0.075));110-631(0,0,(1.240000025,0,1,0,0,0,1.240000025,0,0.075));110-633(0,0,(1.040000025,0,1,0,0,0,1.040000025,0,0.075));110-634(0,0,(1.4,0,1,0,0,0,1.4,0,0.075));110-670(0,0,(1.680000051,0,1,0,0,0,1.680000051,0,0.075));111-540(0,0,(0.960000038,0,1,0,0,0,0.960000038,0,0.075));111-541(0,0,(1.040000025,0,1,0,0,0,1.040000025,0,0.075));111-543(0,0,(1.520000076,0,1,0,0,0,1.520000076,0,0.075));111-578(0,0,(0.720000013,0,1,0,0,0,0.720000013,0,0.075));111-579(0,0,(0.720000013,0,1,0,0,0,0.720000013,0,0.075));112-524(0,0,(0.720000013,0,1,0,0,0,0.720000013,0,0.075));112-541(0,0,(1.4,0,1,0,0,0,1.4,0,0.075));113-684(0,0,(0.960000038,0,1,0,0,0,0.960000038,0,0.075));113-706(0,0,(0.960000038,0,1,0,0,0,0.960000038,0,0.075));114-670(0,0,(0.520000013,0,1,0,0,0,0.520000013,0,0.075));114-682(0,0,(1.880000051,0,1,0,0,0,1.880000051,0,0.075));114-686(0,0,(1.880000051,0,1,0,0,0,1.880000051,0,0.075));115-633(0,0,(1.840000025,0,1,0,0,0,1.840000025,0,0.075));115-667(0,0,(1.640000025,0,1,0,0,0,1.640000025,0,0.075));116-570(0,0,(0.520000013,0,1,0,0,0,0.520000013,0,0.075));116-571(0,0,(0.520000013,0,1,0,0,0,0.520000013,0,0.075));117-522(0,0,(0.8,0,1,0,0,0,0.8,0,0.075));117-538(0,0,(1.160000102,0,1,0,0,0,1.160000102,0,0.075));118-567(0,0,(0.920000013,0,1,0,0,0,0.920000013,0,0.075));118-665(0,0,(1.880000051,0,1,0,0,0,1.880000051,0,0.075));119-520(0,0,(0.920000013,0,1,0,0,0,0.920000013,0,0.075));120-667(0,0,(1.120000076,0,1,0,0,0,1.120000076,0,0.075));120-683(0,0,(1.120000076,0,1,0,0,0,1.120000076,0,0.075));121-519(0,0,(0.760000038,0,1,0,0,0,0.760000038,0,0.075));122-516(0,0,(0.760000038,0,1,0,0,0,0.760000038,0,0.075));123-662(0,0,(0.760000038,0,1,0,0,0,0.760000038,0,0.075));124-511(0,0,(1.120000076,0,1,0,0,0,1.120000076,0,0.075));125-803(0,0,(1.080000051,0,1,0,0,0,1.080000051,0,0.075));126-740(0,0,(1.120000076,0,1,0,0,0,1.120000076,0,0.075));127-338(0,0,(5.280000305,0,1,0,0,0,5.280000305,0,0.075));128-824(0,0,(2.840000153,0,1,0,0,0,2.840000153,0,0.075));128-831(0,0,(2.840000153,0,1,0,0,0,2.840000153,0,0.075));129-825(0,0,(3.400000254,0,1,0,0,0,3.400000254,0,0.075));129-830(0,0,(3.400000254,0,1,0,0,0,3.400000254,0,0.075));130-826(0,0,(3.800000254,0,1,0,0,0,3.800000254,0,0.075));130-829(0,0,(3.800000254,0,1,0,0,0,3.800000254,0,0.075));131-779(0,0,(1.120000076,0,1,0,0,0,1.120000076,0,0.075));132-1032(0,0,(2.000000127,0,1,0,0,0,2.000000127,0,0.075));133-1033(0,0,(2.000000127,0,1,0,0,0,2.000000127,0,0.075));134-241(0,0,(2.000000127,0,1,0,0,0,2.000000127,0,0.075));135-353(0,0,(2.000000127,0,1,0,0,0,2.000000127,0,0.075));136-335(0,0,(2.000000127,0,1,0,0,0,2.000000127,0,0.075));136-348(0,0,(2.000000127,0,1,0,0,0,2.000000127,0,0.075));137-324(0,0,(2.000000127,0,1,0,0,0,2.000000127,0,0.075));138-1030(0,0,(2.000000127,0,1,0,0,0,2.000000127,0,0.075));139-469(0,0,(2.000000127,0,1,0,0,0,2.000000127,0,0.075));140-488(0,0,(2.000000127,0,1,0,0,0,2.000000127,0,0.075));141-827(0,0,(2.000000127,0,1,0,0,0,2.000000127,0,0.075));141-828(0,0,(2.000000127,0,1,0,0,0,2.000000127,0,0.075));142-801(0,0,(2.000000127,0,1,0,0,0,2.000000127,0,0.075));143-800(0,0,(2.000000127,0,1,0,0,0,2.000000127,0,0.075));144-737(0,0,(2.000000127,0,1,0,0,0,2.000000127,0,0.075));145-660(0,0,(2.000000127,0,1,0,0,0,2.000000127,0,0.075));146-1031(0,0,(2.000000127,0,1,0,0,0,2.000000127,0,0.075));147-872(0,0,(1.560000038,0,1,0,0,0,1.560000038,0,0.075));147-1048(0,0,(0.780000019,0,1,0,0,0,0.780000019,0,0.075));160-162(0,0,(0.39093485,2.71E-20,1,5.5226,0,0,0.39093485,0,0.075));160-203(0,0,(0.730434832,5.16E-14,1,4.4683,0,0,0.730434832,0,0.075));161-204(0,0,(1.565217391,0.00000000013,1,3.5038,0,0,1.565217391,0,0.075));161-536(0,0,(0.373937699,2.71E-20,1,5.5226,0,0,0.373937699,0,0.075));162-161(0,0,(0.424929205,2.89E-21,1,5.5226,0,0,0.424929205,0,0.075));162-163(0,0,(0.01,0,1,0,0,0,0.01,0,0.075));162-164(0,0,(0.01,0,1,0,0,0,0.01,0,0.075));163-162(0,0,(0.01,0,1,0,0,0,0.01,0,0.075));163-164(0,0,(0.01,0,1,0,0,0,0.01,0,0.075));163-527(0,0,(1.8,7.11E-17,1,5.1644,0,0,1.8,0,0.075));164-162(0,0,(0.01,0,1,0,0,0,0.01,0,0.075));164-163(0,0,(0.01,0,1,0,0,0,0.01,0,0.075));164-165(0,0,(0.240740747,5.51E-17,1,4.9432,0,0,0.240740747,0,0.075));165-164(0,0,(0.240740747,7.42E-18,1,4.9432,0,0,0.240740747,0,0.075));165-166(0,0,(0.240740747,5.51E-17,1,4.9432,0,0,0.240740747,0,0.075));165-201(0,0,(1.513043611,0.0000000000115,1,3.5038,0,0,1.513043611,0,0.075));166-11(0,0,(1.560000102,0,1,0,0,0,1.560000102,0,0.075));166-165(0,0,(0.240740747,7.42E-18,1,4.9432,0,0,0.240740747,0,0.075));166-167(0,0,(0.444444462,5.51E-17,1,4.9432,0,0,0.444444462,0,0.075));167-12(0,0,(1.880000051,0,1,0,0,0,1.880000051,0,0.075));167-166(0,0,(0.444444462,7.42E-18,1,4.9432,0,0,0.444444462,0,0.075));167-168(0,0,(0.481481493,5.51E-17,1,4.9432,0,0,0.481481493,0,0.075));168-167(0,0,(0.481481493,7.42E-18,1,4.9432,0,0,0.481481493,0,0.075));168-169(0,0,(1.055555579,5.51E-17,1,4.9432,0,0,1.055555579,0,0.075));168-198(0,0,(1.643478394,5.16E-14,1,4.4683,0,0,1.643478394,0,0.075));169-14(0,0,(2.280000051,0,1,0,0,0,2.280000051,0,0.075));169-168(0,0,(1.055555579,7.42E-18,1,4.9432,0,0,1.055555579,0,0.075));169-170(0,0,(0.277777778,5.51E-17,1,4.9432,0,0,0.277777778,0,0.075));170-13(0,0,(0.840000025,0,1,0,0,0,0.840000025,0,0.075));170-169(0,0,(0.277777778,7.42E-18,1,4.9432,0,0,0.277777778,0,0.075));170-171(0,0,(0.722222269,5.51E-17,1,4.9432,0,0,0.722222269,0,0.075));171-15(0,0,(0.680000051,0,1,0,0,0,0.680000051,0,0.075));171-170(0,0,(0.722222269,7.42E-18,1,4.9432,0,0,0.722222269,0,0.075));171-172(0,0,(0.37037037,5.51E-17,1,4.9432,0,0,0.37037037,0,0.075));172-171(0,0,(0.37037037,7.42E-18,1,4.9432,0,0,0.37037037,0,0.075));172-173(0,0,(0.629629677,5.51E-17,1,4.9432,0,0,0.629629677,0,0.075));172-189(0,0,(1.669565284,5.16E-14,1,4.4683,0,0,1.669565284,0,0.075));173-17(0,0,(2.440000153,0,1,0,0,0,2.440000153,0,0.075));173-172(0,0,(0.629629677,7.42E-18,1,4.9432,0,0,0.629629677,0,0.075));173-174(0,0,(0.35185187,5.51E-17,1,4.9432,0,0,0.35185187,0,0.075));174-18(0,0,(1.680000051,0,1,0,0,0,1.680000051,0,0.075));174-173(0,0,(0.35185187,5.51E-17,1,4.9432,0,0,0.35185187,0,0.075));174-175(0,0,(0.611111146,5.51E-17,1,4.9432,0,0,0.611111146,0,0.075));175-174(0,0,(0.611111146,5.51E-17,1,4.9432,0,0,0.611111146,0,0.075));175-176(0,0,(0.01,0,1,0,0,0,0.01,0,0.075));176-175(0,0,(0.01,0,1,0,0,0,0.01,0,0.075));176-177(0,0,(1.518518542,5.51E-17,1,4.9432,0,0,1.518518542,0,0.075));177-20(0,0,(2.160000102,0,1,0,0,0,2.160000102,0,0.075));177-176(0,0,(1.518518542,5.51E-17,1,4.9432,0,0,1.518518542,0,0.075));177-178(0,0,(1.703703727,5.51E-17,1,4.9432,0,0,1.703703727,0,0.075));178-177(0,0,(1.703703727,1.69E-15,1,4.9432,0,0,1.703703727,0,0.075));178-179(0,0,(0.01,0,1,0,0,0,0.01,0,0.075));178-180(0,0,(0.01,0,1,0,0,0,0.01,0,0.075));178-181(0,0,(0.01,0,1,0,0,0,0.01,0,0.075));179-178(0,0,(0.01,0,1,0,0,0,0.01,0,0.075));179-180(0,0,(0.01,0,1,0,0,0,0.01,0,0.075));179-181(0,0,(0.01,0,1,0,0,0,0.01,0,0.075));179-215(0,0,(2.768116089,5.58E-24,1,6.5856,0,0,2.768116089,0,0.075));180-178(0,0,(0.01,0,1,0,0,0,0.01,0,0.075));180-179(0,0,(0.01,0,1,0,0,0,0.01,0,0.075));180-181(0,0,(0.01,0,1,0,0,0,0.01,0,0.075));180-182(0,0,(1.111111111,1.69E-15,1,4.9432,0,0,1.111111111,0,0.075));181-178(0,0,(0.01,0,1,0,0,0,0.01,0,0.075));181-179(0,0,(0.01,0,1,0,0,0,0.01,0,0.075));181-180(0,0,(0.01,0,1,0,0,0,0.01,0,0.075));181-514(0,0,(0.797101449,5.58E-24,1,6.5856,0,0,0.797101449,0,0.075));182-21(0,0,(0.760000038,0,1,0,0,0,0.760000038,0,0.075));182-180(0,0,(1.111111111,1.69E-15,1,4.9432,0,0,1.111111111,0,0.075));182-1032(0,0,(0.327272727,2.3E-17,1,5.3443,0,0,0.327272727,0,0.075));183-20(0,0,(2.520000203,0,1,0,0,0,2.520000203,0,0.075));183-184(0,0,(0.965217424,0.00000000013,1,3.5038,0,0,0.965217424,0,0.075));184-183(0,0,(0.965217424,0.00000000013,1,3.5038,0,0,0.965217424,0,0.075));184-185(0,0,(0.01,0,1,0,0,0,0.01,0,0.075));185-184(0,0,(0.01,0,1,0,0,0,0.01,0,0.075));185-186(0,0,(1.043478261,0.00000000013,1,3.5038,0,0,1.043478261,0,0.075));186-18(0,0,(2.440000153,0,1,0,0,0,2.440000153,0,0.075));186-185(0,0,(1.043478261,0.00000000013,1,3.5038,0,0,1.043478261,0,0.075));186-187(0,0,(0.756521805,0.00000000013,1,3.5038,0,0,0.756521805,0,0.075));187-17(0,0,(2.440000153,0,1,0,0,0,2.440000153,0,0.075));187-186(0,0,(0.756521805,0.00000000013,1,3.5038,0,0,0.756521805,0,0.075));187-188(0,0,(0.626086981,0.00000000013,1,3.5038,0,0,0.626086981,0,0.075));188-187(0,0,(0.626086981,0.00000000013,1,3.5038,0,0,0.626086981,0,0.075));188-189(0,0,(1.486956555,5.16E-14,1,4.4683,0,0,1.486956555,0,0.075));188-190(0,0,(0.886956588,0.00000000013,1,3.5038,0,0,0.886956588,0,0.075));188-220(0,0,(1.434782609,5.16E-14,1,4.4683,0,0,1.434782609,0,0.075));189-15(0,0,(0.24000001,0,1,0,0,0,0.24000001,0,0.075));189-172(0,0,(1.669565284,5.16E-14,1,4.4683,0,0,1.669565284,0,0.075));189-188(0,0,(1.486956555,5.16E-14,1,4.4683,0,0,1.486956555,0,0.075));190-19(0,0,(1.880000051,0,1,0,0,0,1.880000051,0,0.075));190-188(0,0,(0.886956588,0.00000000013,1,3.5038,0,0,0.886956588,0,0.075));190-191(0,0,(0.939130451,0.00000000013,1,3.5038,0,0,0.939130451,0,0.075));191-14(0,0,(2.280000051,0,1,0,0,0,2.280000051,0,0.075));191-190(0,0,(0.939130451,0.00000000013,1,3.5038,0,0,0.939130451,0,0.075));191-192(0,0,(0.782608696,0.00000000013,1,3.5038,0,0,0.782608696,0,0.075));192-191(0,0,(0.782608696,0.00000000013,1,3.5038,0,0,0.782608696,0,0.075));192-193(0,0,(0.01,0,1,0,0,0,0.01,0,0.075));192-194(0,0,(0.01,0,1,0,0,0,0.01,0,0.075));193-192(0,0,(0.01,0,1,0,0,0,0.01,0,0.075));193-194(0,0,(0.01,0,1,0,0,0,0.01,0,0.075));193-224(0,0,(0.759259271,1.69E-15,1,4.9432,0,0,0.759259271,0,0.075));194-192(0,0,(0.01,0,1,0,0,0,0.01,0,0.075));194-193(0,0,(0.01,0,1,0,0,0,0.01,0,0.075));194-195(0,0,(0.600000008,0.0000000000115,1,3.5038,0,0,0.600000008,0,0.075));195-16(0,0,(1.880000051,0,1,0,0,0,1.880000051,0,0.075));195-194(0,0,(0.600000008,0.00000000013,1,3.5038,0,0,0.600000008,0,0.075));195-196(0,0,(0.365217416,0.0000000000115,1,3.5038,0,0,0.365217416,0,0.075));196-195(0,0,(0.365217416,0.00000000013,1,3.5038,0,0,0.365217416,0,0.075));196-198(0,0,(1.200000017,5.16E-14,1,4.4683,0,0,1.200000017,0,0.075));196-209(0,0,(1.643478394,0.00000000013,1,3.5038,0,0,1.643478394,0,0.075));197-14(0,0,(1.120000076,0,1,0,0,0,1.120000076,0,0.075));197-198(0,0,(1.22608699,5.16E-14,1,4.4683,0,0,1.22608699,0,0.075));198-168(0,0,(1.643478394,5.16E-14,1,4.4683,0,0,1.643478394,0,0.075));198-196(0,0,(1.200000017,5.16E-14,1,4.4683,0,0,1.200000017,0,0.075));198-197(0,0,(1.22608699,5.16E-14,1,4.4683,0,0,1.22608699,0,0.075));198-199(0,0,(0.339130443,2.33E-15,1,4.4683,0,0,0.339130443,0,0.075));199-12(0,0,(1.2,0,1,0,0,0,1.2,0,0.075));199-198(0,0,(0.339130443,5.16E-14,1,4.4683,0,0,0.339130443,0,0.075));199-200(0,0,(0.600000008,5.16E-14,1,4.4683,0,0,0.600000008,0,0.075));200-11(0,0,(1.560000102,0,1,0,0,0,1.560000102,0,0.075));200-199(0,0,(0.600000008,5.16E-14,1,4.4683,0,0,0.600000008,0,0.075));200-201(0,0,(0.313043491,2.33E-15,1,4.4683,0,0,0.313043491,0,0.075));201-165(0,0,(1.513043611,0.0000000000115,1,3.5038,0,0,1.513043611,0,0.075));201-200(0,0,(0.313043491,5.16E-14,1,4.4683,0,0,0.313043491,0,0.075));201-202(0,0,(0.573913077,5.16E-14,1,4.4683,0,0,0.573913077,0,0.075));201-206(0,0,(0.417391321,2.33E-15,1,4.4683,0,0,0.417391321,0,0.075));202-201(0,0,(0.573913077,5.16E-14,1,4.4683,0,0,0.573913077,0,0.075));202-203(0,0,(0.600000008,5.16E-14,1,4.4683,0,0,0.600000008,0,0.075));203-160(0,0,(0.730434832,5.16E-14,1,4.4683,0,0,0.730434832,0,0.075));203-202(0,0,(0.600000008,5.16E-14,1,4.4683,0,0,0.600000008,0,0.075));203-204(0,0,(0.156521745,5.16E-14,1,4.4683,0,0,0.156521745,0,0.075));203-207(0,0,(0.834782642,5.16E-14,1,4.4683,0,0,0.834782642,0,0.075));204-161(0,0,(1.565217391,0.00000000013,1,3.5038,0,0,1.565217391,0,0.075));204-203(0,0,(0.156521745,5.16E-14,1,4.4683,0,0,0.156521745,0,0.075));204-205(0,0,(0.156521745,5.16E-14,1,4.4683,0,0,0.156521745,0,0.075));205-204(0,0,(0.156521745,5.16E-14,1,4.4683,0,0,0.156521745,0,0.075));205-208(0,0,(0.965217424,2.33E-15,1,4.4683,0,0,0.965217424,0,0.075));205-839(0,0,(0.475920712,1.25E-18,1,5.5226,0,0,0.475920712,0,0.075));206-201(0,0,(0.417391321,5.16E-14,1,4.4683,0,0,0.417391321,0,0.075));206-207(0,0,(0.469565226,2.33E-15,1,4.4683,0,0,0.469565226,0,0.075));207-203(0,0,(0.834782642,5.16E-14,1,4.4683,0,0,0.834782642,0,0.075));207-206(0,0,(0.469565226,5.16E-14,1,4.4683,0,0,0.469565226,0,0.075));207-208(0,0,(0.313043491,2.33E-15,1,4.4683,0,0,0.313043491,0,0.075));207-354(0,0,(0.52173913,0.00000000013,1,3.5038,0,0,0.52173913,0,0.075));208-205(0,0,(0.965217424,2.33E-15,1,4.4683,0,0,0.965217424,0,0.075));208-207(0,0,(0.313043491,5.16E-14,1,4.4683,0,0,0.313043491,0,0.075));208-211(0,0,(0.52173913,2.33E-15,1,4.4683,0,0,0.52173913,0,0.075));208-260(0,0,(1.128000031,1.98E-18,1,5.1644,0,0,1.128000031,0,0.075));209-196(0,0,(1.643478394,0.00000000013,1,3.5038,0,0,1.643478394,0,0.075));209-210(0,0,(0.01,0,1,0,0,0,0.01,0,0.075));210-209(0,0,(0.01,0,1,0,0,0,0.01,0,0.075));210-354(0,0,(0.443478294,0.00000000013,1,3.5038,0,0,0.443478294,0,0.075));211-208(0,0,(0.52173913,2.33E-15,1,4.4683,0,0,0.52173913,0,0.075));211-1036(0,0,(1.278260936,2.33E-15,1,4.4683,0,0,1.278260936,0,0.075));212-25(0,0,(0.8,0,1,0,0,0,0.8,0,0.075));212-227(0,0,(2.452173979,2.33E-15,1,4.4683,0,0,2.452173979,0,0.075));212-1037(0,0,(0.313043491,2.33E-15,1,4.4683,0,0,0.313043491,0,0.075));213-21(0,0,(3.760000102,0,1,0,0,0,3.760000102,0,0.075));213-214(0,0,(0.654545455,6.74E-25,1,6.8677,0,0,0.654545455,0,0.075));213-1033(0,0,(0.305454566,6.74E-25,1,6.8677,0,0,0.305454566,0,0.075));214-213(0,0,(0.654545455,6.74E-25,1,6.8677,0,0,0.654545455,0,0.075));214-215(0,0,(0.01,0,1,0,0,0,0.01,0,0.075));214-216(0,0,(0.01,0,1,0,0,0,0.01,0,0.075));215-179(0,0,(2.768116089,5.58E-24,1,6.5856,0,0,2.768116089,0,0.075));215-214(0,0,(0.01,0,1,0,0,0,0.01,0,0.075));215-216(0,0,(0.01,0,1,0,0,0,0.01,0,0.075));216-214(0,0,(0.01,0,1,0,0,0,0.01,0,0.075));216-215(0,0,(0.01,0,1,0,0,0,0.01,0,0.075));216-217(0,0,(2.666666704,5.58E-24,1,6.5856,0,0,2.666666704,0,0.075));217-216(0,0,(2.666666704,5.58E-24,1,6.5856,0,0,2.666666704,0,0.075));217-218(0,0,(0.01,0,1,0,0,0,0.01,0,0.075));218-217(0,0,(0.01,0,1,0,0,0,0.01,0,0.075));218-219(0,0,(0.652173959,5.58E-24,1,6.5856,0,0,0.652173959,0,0.075));219-218(0,0,(0.652173959,5.58E-24,1,6.5856,0,0,0.652173959,0,0.075));219-220(0,0,(1.382608745,5.16E-14,1,4.4683,0,0,1.382608745,0,0.075));219-221(0,0,(1.275362393,5.58E-24,1,6.5856,0,0,1.275362393,0,0.075));219-1049(0,0,(1.320000076,0.0000000000522,1,3.6544,0,0,1.320000076,0,0.075));220-19(0,0,(1.280000051,0,1,0,0,0,1.280000051,0,0.075));220-188(0,0,(1.434782609,5.16E-14,1,4.4683,0,0,1.434782609,0,0.075));220-219(0,0,(1.382608745,5.16E-14,1,4.4683,0,0,1.382608745,0,0.075));221-219(0,0,(1.275362393,5.58E-24,1,6.5856,0,0,1.275362393,0,0.075));221-222(0,0,(0.01,0,1,0,0,0,0.01,0,0.075));221-223(0,0,(0.01,0,1,0,0,0,0.01,0,0.075));222-221(0,0,(0.01,0,1,0,0,0,0.01,0,0.075));222-223(0,0,(0.01,0,1,0,0,0,0.01,0,0.075));222-224(0,0,(1.703703727,1.69E-15,1,4.9432,0,0,1.703703727,0,0.075));223-221(0,0,(0.01,0,1,0,0,0,0.01,0,0.075));223-222(0,0,(0.01,0,1,0,0,0,0.01,0,0.075));223-225(0,0,(0.753623207,5.58E-24,1,6.5856,0,0,0.753623207,0,0.075));224-16(0,0,(1.320000076,0,1,0,0,0,1.320000076,0,0.075));224-193(0,0,(0.759259271,1.69E-15,1,4.9432,0,0,0.759259271,0,0.075));224-222(0,0,(1.703703727,1.69E-15,1,4.9432,0,0,1.703703727,0,0.075));225-28(0,0,(1.480000051,0,1,0,0,0,1.480000051,0,0.075));225-223(0,0,(0.753623207,5.58E-24,1,6.5856,0,0,0.753623207,0,0.075));225-226(0,0,(0.884058026,1.36E-20,1,5.7894,0,0,0.884058026,0,0.075));226-225(0,0,(0.884058026,5.58E-24,1,6.5856,0,0,0.884058026,0,0.075));226-227(0,0,(0.01,0,1,0,0,0,0.01,0,0.075));226-228(0,0,(0.01,0,1,0,0,0,0.01,0,0.075));226-229(0,0,(0.01,0,1,0,0,0,0.01,0,0.075));227-212(0,0,(2.452173979,2.33E-15,1,4.4683,0,0,2.452173979,0,0.075));227-226(0,0,(0.01,0,1,0,0,0,0.01,0,0.075));227-228(0,0,(0.01,0,1,0,0,0,0.01,0,0.075));227-229(0,0,(0.01,0,1,0,0,0,0.01,0,0.075));228-226(0,0,(0.01,0,1,0,0,0,0.01,0,0.075));228-227(0,0,(0.01,0,1,0,0,0,0.01,0,0.075));228-229(0,0,(0.01,0,1,0,0,0,0.01,0,0.075));228-230(0,0,(0.611111146,5.51E-17,1,4.9432,0,0,0.611111146,0,0.075));229-226(0,0,(0.01,0,1,0,0,0,0.01,0,0.075));229-227(0,0,(0.01,0,1,0,0,0,0.01,0,0.075));229-228(0,0,(0.01,0,1,0,0,0,0.01,0,0.075));229-249(0,0,(0.434782609,5.58E-24,1,6.5856,0,0,0.434782609,0,0.075));230-228(0,0,(0.611111146,5.51E-17,1,4.9432,0,0,0.611111146,0,0.075));230-231(0,0,(1.425925949,5.51E-17,1,4.9432,0,0,1.425925949,0,0.075));231-230(0,0,(1.425925949,5.51E-17,1,4.9432,0,0,1.425925949,0,0.075));231-232(0,0,(0.01,0,1,0,0,0,0.01,0,0.075));232-231(0,0,(0.01,0,1,0,0,0,0.01,0,0.075));232-233(0,0,(0.481481493,5.51E-17,1,4.9432,0,0,0.481481493,0,0.075));233-29(0,0,(0.520000013,0,1,0,0,0,0.520000013,0,0.075));233-232(0,0,(0.481481493,5.51E-17,1,4.9432,0,0,0.481481493,0,0.075));233-234(0,0,(0.462962992,5.51E-17,1,4.9432,0,0,0.462962992,0,0.075));234-233(0,0,(0.462962992,5.51E-17,1,4.9432,0,0,0.462962992,0,0.075));234-235(0,0,(0.01,0,1,0,0,0,0.01,0,0.075));235-234(0,0,(0.01,0,1,0,0,0,0.01,0,0.075));235-236(0,0,(0.703703739,5.51E-17,1,4.9432,0,0,0.703703739,0,0.075));236-235(0,0,(0.703703739,5.51E-17,1,4.9432,0,0,0.703703739,0,0.075));236-237(0,0,(0.886956588,5.16E-14,1,4.</t>
  </si>
  <si>
    <t>DJ</t>
  </si>
  <si>
    <t>1-2</t>
  </si>
  <si>
    <t>1-3-2</t>
  </si>
  <si>
    <t>1-3-4-2</t>
  </si>
  <si>
    <t>1-4-2</t>
  </si>
  <si>
    <t>This workbook can be used to generate a custom seSue data file that contains the following information:</t>
  </si>
  <si>
    <t>l</t>
  </si>
  <si>
    <t>network topology (nodes and links),</t>
  </si>
  <si>
    <t>BPR link cost function parameters, and</t>
  </si>
  <si>
    <t>origin-destination (O-D) pairs and corresponding demands,</t>
  </si>
  <si>
    <t>Optionally the following inputs can also be entered:</t>
  </si>
  <si>
    <t>paths, and</t>
  </si>
  <si>
    <t>discrete route choice models of the O-D pairs.</t>
  </si>
  <si>
    <t>Path generation algorithms provided in seSue can be used the route choice sets. However, if you want to test a working route choice set, the paths need to be entered here.</t>
  </si>
  <si>
    <t>Route choice models can be entered either here or using seSue.</t>
  </si>
  <si>
    <t>In general, the cells to enter data are the ones with white background color.</t>
  </si>
  <si>
    <t>Label cells that have blue background color need not be filled since they will be generated automatically as follows:</t>
  </si>
  <si>
    <t>node labels will be obtained from the 'From' and 'To' columns of the 'Arcs' sheet,</t>
  </si>
  <si>
    <t>path label is the sequence of the node labels separated with dashes (e.g., the label of a path visiting nodes A, B, and C sequentially is A-B-C).</t>
  </si>
  <si>
    <t>Calculated cells that have yellow background color need not be filled since they will be calculated automatically.</t>
  </si>
  <si>
    <t>The steps to create a seSue file are described below.</t>
  </si>
  <si>
    <t>You can clear all the inputs entered in this workbook by clicking the button below:</t>
  </si>
  <si>
    <t>STEP 1. Entering the links</t>
  </si>
  <si>
    <t>Each link is defined by From and To fields (these should be unique), and has nine additional fields:</t>
  </si>
  <si>
    <t>Label of the start node of the link.</t>
  </si>
  <si>
    <t>Label of the end node of the link.</t>
  </si>
  <si>
    <t>From:</t>
  </si>
  <si>
    <t>To:</t>
  </si>
  <si>
    <t>FFTT:</t>
  </si>
  <si>
    <t>B:</t>
  </si>
  <si>
    <t>Capacity:</t>
  </si>
  <si>
    <t>Power:</t>
  </si>
  <si>
    <t>Toll:</t>
  </si>
  <si>
    <t>Toll Fac.:</t>
  </si>
  <si>
    <t>Length:</t>
  </si>
  <si>
    <t>Dist. Fac.:</t>
  </si>
  <si>
    <t>Exp. Coeff.:</t>
  </si>
  <si>
    <t>seSue uses the BPR (Bureau of Public Roads) function to measure the generalized link cost.</t>
  </si>
  <si>
    <t>Cost of a link as a function of the link flow is calculated as follows:</t>
  </si>
  <si>
    <t>deterministic user equilibrium,</t>
  </si>
  <si>
    <t>logit models, and</t>
  </si>
  <si>
    <t>MDM model with additive utility function.</t>
  </si>
  <si>
    <t>This cost function is used with discrete route choice models using an additive route travel cost (i.e., cost of a path is the sum of the costs of its links), which are:</t>
  </si>
  <si>
    <t>weibit models, and</t>
  </si>
  <si>
    <t>MDM model with multiplicative utility function.</t>
  </si>
  <si>
    <t>A sample link entry is given below.</t>
  </si>
  <si>
    <t>STEP 2. Entering the O-D pairs</t>
  </si>
  <si>
    <t>Demand:</t>
  </si>
  <si>
    <t>Choice Model:</t>
  </si>
  <si>
    <t>CM Param 1-2-3:</t>
  </si>
  <si>
    <t>Route choice model of the users in the O-D pair.</t>
  </si>
  <si>
    <t>Parameters of the route choice model. See the explanations below.</t>
  </si>
  <si>
    <t>Node labels entered in 'From' and 'To' fields can be numeric or text.</t>
  </si>
  <si>
    <t>Each O-D pair is defined by Origin and Destination (these should be unique), and has five additional fieldsç</t>
  </si>
  <si>
    <t>Origin:</t>
  </si>
  <si>
    <t>Label of the origin node.</t>
  </si>
  <si>
    <t>Label of the destination node.</t>
  </si>
  <si>
    <t>Destination:</t>
  </si>
  <si>
    <t>All fields are required to define a link.</t>
  </si>
  <si>
    <t>The required fields to enter an O-D pair are the Origin, the Destination and the Demand.</t>
  </si>
  <si>
    <t>Choice Model and CM parameters are optional and can be left blank (to be assigned later using seSue).</t>
  </si>
  <si>
    <t>Integrity Check:</t>
  </si>
  <si>
    <t>Ü</t>
  </si>
  <si>
    <t>Otherwise, you will get a warning message.</t>
  </si>
  <si>
    <t>Free-flow travel time (numeric).</t>
  </si>
  <si>
    <t>See the explanations below (numeric).</t>
  </si>
  <si>
    <t>The demand (flow) from origin to the destionation (numeric).</t>
  </si>
  <si>
    <t>If you want to enter the route choice models of the O-D pairs in this workbook, you can follow the instructions below.</t>
  </si>
  <si>
    <t>Note that the assigned route choice models can later be changed using seSue.</t>
  </si>
  <si>
    <t>seSue currently provides four major classes of traffic assignment methods:</t>
  </si>
  <si>
    <t>logit-based route choice models,</t>
  </si>
  <si>
    <t>MDM-based route choice models.</t>
  </si>
  <si>
    <t>weibit-based route choice models, and</t>
  </si>
  <si>
    <t>deterministic user equilibrium (DUE),</t>
  </si>
  <si>
    <t>Assigning DUE:</t>
  </si>
  <si>
    <t>Assigning a logit based route choice model:</t>
  </si>
  <si>
    <t>Correction terms for all paths will be one (i.e., there will be no correction for the overlapping routes).</t>
  </si>
  <si>
    <t>Logit-based route choice probabilities will be calculated as follows:</t>
  </si>
  <si>
    <t>Note that the correction terms are used to model the effect of overlapping routes.</t>
  </si>
  <si>
    <t>Assigning a weibit based route choice model:</t>
  </si>
  <si>
    <t>Weibit-based route choice probabilities will be calculated as follows:</t>
  </si>
  <si>
    <t>Assigning an MDM based route choice model:</t>
  </si>
  <si>
    <t>Add</t>
  </si>
  <si>
    <t>Mul</t>
  </si>
  <si>
    <t>Multiplicative disutility (U) is the product of the deterministic (systematic) component and the random perception error term (as in weibit-based models):</t>
  </si>
  <si>
    <t>where xi and beta are parameters.</t>
  </si>
  <si>
    <t>In MDM-based stochastic user equilibrium models, marginal distributions of the perception error terms of individual routes are inputs of the model. Therefore, if the route choice model of an O-D pair is set as MDM and the routes of connecting the origin to destination are provided, you will be asked to enter these marginal distributions.</t>
  </si>
  <si>
    <t>STEP 3. Entering the paths (optional)</t>
  </si>
  <si>
    <t>Four sample O-D pair entries with different choice models are given below.</t>
  </si>
  <si>
    <t>This step can be skipped and the route choice sets can be generated using the several path generation algorithms provided in seSue.</t>
  </si>
  <si>
    <t>Two sample paths entries that visit nodes 1-2-3-5 and 1-3-4 are given below:</t>
  </si>
  <si>
    <t>Once the first three steps are completed, press the button below to check the validity of the entries.</t>
  </si>
  <si>
    <t>STEP 4. Entering the marginal distributions of the route perception errors (optional)</t>
  </si>
  <si>
    <t>This step is only required if:</t>
  </si>
  <si>
    <t>the route choice model of at least one O-D pair is defined as MDM, and</t>
  </si>
  <si>
    <t>the paths of the corresponding O-D pair(s) are entered in Step 3.</t>
  </si>
  <si>
    <t>Currently, the following distributions are available in seSue:</t>
  </si>
  <si>
    <t>exponential distribution,</t>
  </si>
  <si>
    <t>normal distribution, and</t>
  </si>
  <si>
    <t>standard normal distribution.</t>
  </si>
  <si>
    <t>Exponential:</t>
  </si>
  <si>
    <t>Normal:</t>
  </si>
  <si>
    <t>Standard Normal:</t>
  </si>
  <si>
    <t>Sample marginal distribution entries for three paths 1-3-2,  1-3-4-2, and 1-4-2 for O-D pair 1-2 are given below:</t>
  </si>
  <si>
    <t>Once Step 4 is completed, press the button below to check the validity of the marginal distributions.</t>
  </si>
  <si>
    <t>If the first and second checks are valid, you can generate the seSue model file by clicking the button below. The process may require time depending on the size of the network.</t>
  </si>
  <si>
    <t>The data can be entered as values or Excel functions can be used to calculate them.</t>
  </si>
  <si>
    <r>
      <t xml:space="preserve">arc label is simply </t>
    </r>
    <r>
      <rPr>
        <b/>
        <sz val="18"/>
        <color theme="1"/>
        <rFont val="Calibri"/>
        <family val="2"/>
        <scheme val="minor"/>
      </rPr>
      <t xml:space="preserve">From-To </t>
    </r>
    <r>
      <rPr>
        <sz val="18"/>
        <color theme="1"/>
        <rFont val="Calibri"/>
        <family val="2"/>
        <scheme val="minor"/>
      </rPr>
      <t>(e.g., the label of an arc from A to B will be generated as A-B),</t>
    </r>
  </si>
  <si>
    <r>
      <t xml:space="preserve">O-D label is simply </t>
    </r>
    <r>
      <rPr>
        <b/>
        <sz val="18"/>
        <color theme="1"/>
        <rFont val="Calibri"/>
        <family val="2"/>
        <scheme val="minor"/>
      </rPr>
      <t xml:space="preserve">Origin-Destination </t>
    </r>
    <r>
      <rPr>
        <sz val="18"/>
        <color theme="1"/>
        <rFont val="Calibri"/>
        <family val="2"/>
        <scheme val="minor"/>
      </rPr>
      <t>(e.g., the label of an O-D pair with origin A and destination B will be generated as A-B),</t>
    </r>
  </si>
  <si>
    <r>
      <t xml:space="preserve">Links of the network are entered in the </t>
    </r>
    <r>
      <rPr>
        <b/>
        <sz val="18"/>
        <color theme="1"/>
        <rFont val="Calibri"/>
        <family val="2"/>
        <scheme val="minor"/>
      </rPr>
      <t>Arcs</t>
    </r>
    <r>
      <rPr>
        <sz val="18"/>
        <color theme="1"/>
        <rFont val="Calibri"/>
        <family val="2"/>
        <scheme val="minor"/>
      </rPr>
      <t xml:space="preserve"> sheet.</t>
    </r>
  </si>
  <si>
    <r>
      <t xml:space="preserve">The additive cost of route </t>
    </r>
    <r>
      <rPr>
        <i/>
        <sz val="18"/>
        <color theme="1"/>
        <rFont val="Calibri"/>
        <family val="2"/>
        <scheme val="minor"/>
      </rPr>
      <t xml:space="preserve">k </t>
    </r>
    <r>
      <rPr>
        <sz val="18"/>
        <color theme="1"/>
        <rFont val="Calibri"/>
        <family val="2"/>
        <scheme val="minor"/>
      </rPr>
      <t>is then calculated as follows:</t>
    </r>
  </si>
  <si>
    <r>
      <t xml:space="preserve">The </t>
    </r>
    <r>
      <rPr>
        <b/>
        <sz val="18"/>
        <color theme="1"/>
        <rFont val="Calibri"/>
        <family val="2"/>
        <scheme val="minor"/>
      </rPr>
      <t xml:space="preserve">Exp. Coeff. </t>
    </r>
    <r>
      <rPr>
        <sz val="18"/>
        <color theme="1"/>
        <rFont val="Calibri"/>
        <family val="2"/>
        <scheme val="minor"/>
      </rPr>
      <t>parameter is used for the discrete route choice models using a multiplicative route travel cost (i.e., cost of a path is the product of the costs of its links), which are:</t>
    </r>
  </si>
  <si>
    <r>
      <t xml:space="preserve">O-D pairs with positive demand are entered in the </t>
    </r>
    <r>
      <rPr>
        <b/>
        <sz val="18"/>
        <color theme="1"/>
        <rFont val="Calibri"/>
        <family val="2"/>
        <scheme val="minor"/>
      </rPr>
      <t>ODs</t>
    </r>
    <r>
      <rPr>
        <sz val="18"/>
        <color theme="1"/>
        <rFont val="Calibri"/>
        <family val="2"/>
        <scheme val="minor"/>
      </rPr>
      <t xml:space="preserve"> sheet.</t>
    </r>
  </si>
  <si>
    <r>
      <t xml:space="preserve">Labels of the origin and destination of an O-D pair entered in the </t>
    </r>
    <r>
      <rPr>
        <b/>
        <sz val="18"/>
        <color theme="1"/>
        <rFont val="Calibri"/>
        <family val="2"/>
        <scheme val="minor"/>
      </rPr>
      <t>ODs</t>
    </r>
    <r>
      <rPr>
        <sz val="18"/>
        <color theme="1"/>
        <rFont val="Calibri"/>
        <family val="2"/>
        <scheme val="minor"/>
      </rPr>
      <t xml:space="preserve"> sheet needs to exist in the From and To columns of the </t>
    </r>
    <r>
      <rPr>
        <b/>
        <sz val="18"/>
        <color theme="1"/>
        <rFont val="Calibri"/>
        <family val="2"/>
        <scheme val="minor"/>
      </rPr>
      <t>Arcs</t>
    </r>
    <r>
      <rPr>
        <sz val="18"/>
        <color theme="1"/>
        <rFont val="Calibri"/>
        <family val="2"/>
        <scheme val="minor"/>
      </rPr>
      <t xml:space="preserve"> sheet.</t>
    </r>
  </si>
  <si>
    <r>
      <t xml:space="preserve">In other words, the nodes designated as the origin and destination should exist in the network topology created in the </t>
    </r>
    <r>
      <rPr>
        <b/>
        <sz val="18"/>
        <color theme="1"/>
        <rFont val="Calibri"/>
        <family val="2"/>
        <scheme val="minor"/>
      </rPr>
      <t>Arcs</t>
    </r>
    <r>
      <rPr>
        <sz val="18"/>
        <color theme="1"/>
        <rFont val="Calibri"/>
        <family val="2"/>
        <scheme val="minor"/>
      </rPr>
      <t xml:space="preserve"> sheet.</t>
    </r>
  </si>
  <si>
    <r>
      <t xml:space="preserve">Type </t>
    </r>
    <r>
      <rPr>
        <b/>
        <sz val="18"/>
        <color theme="1"/>
        <rFont val="Calibri"/>
        <family val="2"/>
        <scheme val="minor"/>
      </rPr>
      <t>DUE</t>
    </r>
    <r>
      <rPr>
        <sz val="18"/>
        <color theme="1"/>
        <rFont val="Calibri"/>
        <family val="2"/>
        <scheme val="minor"/>
      </rPr>
      <t xml:space="preserve"> in the </t>
    </r>
    <r>
      <rPr>
        <sz val="18"/>
        <color rgb="FFC00000"/>
        <rFont val="Calibri"/>
        <family val="2"/>
        <scheme val="minor"/>
      </rPr>
      <t>Choice Model</t>
    </r>
    <r>
      <rPr>
        <sz val="18"/>
        <color theme="1"/>
        <rFont val="Calibri"/>
        <family val="2"/>
        <scheme val="minor"/>
      </rPr>
      <t xml:space="preserve"> field and leave CM Param fields empty.</t>
    </r>
  </si>
  <si>
    <r>
      <t xml:space="preserve">Type </t>
    </r>
    <r>
      <rPr>
        <b/>
        <sz val="18"/>
        <color theme="1"/>
        <rFont val="Calibri"/>
        <family val="2"/>
        <scheme val="minor"/>
      </rPr>
      <t>Logit</t>
    </r>
    <r>
      <rPr>
        <sz val="18"/>
        <color theme="1"/>
        <rFont val="Calibri"/>
        <family val="2"/>
        <scheme val="minor"/>
      </rPr>
      <t xml:space="preserve"> in the </t>
    </r>
    <r>
      <rPr>
        <sz val="18"/>
        <color rgb="FFC00000"/>
        <rFont val="Calibri"/>
        <family val="2"/>
        <scheme val="minor"/>
      </rPr>
      <t>Choice Model</t>
    </r>
    <r>
      <rPr>
        <sz val="18"/>
        <color theme="1"/>
        <rFont val="Calibri"/>
        <family val="2"/>
        <scheme val="minor"/>
      </rPr>
      <t xml:space="preserve"> field.</t>
    </r>
  </si>
  <si>
    <r>
      <rPr>
        <sz val="18"/>
        <color rgb="FFC00000"/>
        <rFont val="Calibri"/>
        <family val="2"/>
        <scheme val="minor"/>
      </rPr>
      <t xml:space="preserve">CM Param1 </t>
    </r>
    <r>
      <rPr>
        <sz val="18"/>
        <color theme="1"/>
        <rFont val="Calibri"/>
        <family val="2"/>
        <scheme val="minor"/>
      </rPr>
      <t xml:space="preserve">corresponds to the deterministic correction term (see the formulation below). Enter </t>
    </r>
    <r>
      <rPr>
        <b/>
        <sz val="18"/>
        <color theme="1"/>
        <rFont val="Calibri"/>
        <family val="2"/>
        <scheme val="minor"/>
      </rPr>
      <t>1</t>
    </r>
    <r>
      <rPr>
        <sz val="18"/>
        <color theme="1"/>
        <rFont val="Calibri"/>
        <family val="2"/>
        <scheme val="minor"/>
      </rPr>
      <t xml:space="preserve">, </t>
    </r>
    <r>
      <rPr>
        <b/>
        <sz val="18"/>
        <color theme="1"/>
        <rFont val="Calibri"/>
        <family val="2"/>
        <scheme val="minor"/>
      </rPr>
      <t>CF</t>
    </r>
    <r>
      <rPr>
        <sz val="18"/>
        <color theme="1"/>
        <rFont val="Calibri"/>
        <family val="2"/>
        <scheme val="minor"/>
      </rPr>
      <t xml:space="preserve"> or </t>
    </r>
    <r>
      <rPr>
        <b/>
        <sz val="18"/>
        <color theme="1"/>
        <rFont val="Calibri"/>
        <family val="2"/>
        <scheme val="minor"/>
      </rPr>
      <t>PS</t>
    </r>
    <r>
      <rPr>
        <sz val="18"/>
        <color theme="1"/>
        <rFont val="Calibri"/>
        <family val="2"/>
        <scheme val="minor"/>
      </rPr>
      <t xml:space="preserve"> in this field:</t>
    </r>
  </si>
  <si>
    <r>
      <t xml:space="preserve">Correction term of a path will be equal to the </t>
    </r>
    <r>
      <rPr>
        <i/>
        <sz val="18"/>
        <color theme="1"/>
        <rFont val="Calibri"/>
        <family val="2"/>
        <scheme val="minor"/>
      </rPr>
      <t>Commonality Factor</t>
    </r>
    <r>
      <rPr>
        <sz val="18"/>
        <color theme="1"/>
        <rFont val="Calibri"/>
        <family val="2"/>
        <scheme val="minor"/>
      </rPr>
      <t xml:space="preserve"> of that path (Cascetta et al. (1996)).</t>
    </r>
  </si>
  <si>
    <r>
      <t xml:space="preserve">Correction term of a path will be equal to the </t>
    </r>
    <r>
      <rPr>
        <i/>
        <sz val="18"/>
        <color theme="1"/>
        <rFont val="Calibri"/>
        <family val="2"/>
        <scheme val="minor"/>
      </rPr>
      <t>Path Size</t>
    </r>
    <r>
      <rPr>
        <sz val="18"/>
        <color theme="1"/>
        <rFont val="Calibri"/>
        <family val="2"/>
        <scheme val="minor"/>
      </rPr>
      <t xml:space="preserve"> of that path (Ben-Akiva and Bierlaire (1999)).</t>
    </r>
  </si>
  <si>
    <r>
      <rPr>
        <sz val="18"/>
        <rFont val="Calibri"/>
        <family val="2"/>
        <scheme val="minor"/>
      </rPr>
      <t xml:space="preserve">Enter the dispersion parameter (theta) into the field </t>
    </r>
    <r>
      <rPr>
        <sz val="18"/>
        <color rgb="FFC00000"/>
        <rFont val="Calibri"/>
        <family val="2"/>
        <scheme val="minor"/>
      </rPr>
      <t>CM Param2</t>
    </r>
    <r>
      <rPr>
        <sz val="18"/>
        <color theme="1"/>
        <rFont val="Calibri"/>
        <family val="2"/>
        <scheme val="minor"/>
      </rPr>
      <t>.</t>
    </r>
  </si>
  <si>
    <r>
      <t xml:space="preserve">Leave </t>
    </r>
    <r>
      <rPr>
        <sz val="18"/>
        <color rgb="FFC00000"/>
        <rFont val="Calibri"/>
        <family val="2"/>
        <scheme val="minor"/>
      </rPr>
      <t>CM Param3</t>
    </r>
    <r>
      <rPr>
        <sz val="18"/>
        <color theme="1"/>
        <rFont val="Calibri"/>
        <family val="2"/>
        <scheme val="minor"/>
      </rPr>
      <t xml:space="preserve"> empty.</t>
    </r>
  </si>
  <si>
    <r>
      <t xml:space="preserve">Type </t>
    </r>
    <r>
      <rPr>
        <b/>
        <sz val="18"/>
        <color theme="1"/>
        <rFont val="Calibri"/>
        <family val="2"/>
        <scheme val="minor"/>
      </rPr>
      <t>Weibit</t>
    </r>
    <r>
      <rPr>
        <sz val="18"/>
        <color theme="1"/>
        <rFont val="Calibri"/>
        <family val="2"/>
        <scheme val="minor"/>
      </rPr>
      <t xml:space="preserve"> in the </t>
    </r>
    <r>
      <rPr>
        <sz val="18"/>
        <color rgb="FFC00000"/>
        <rFont val="Calibri"/>
        <family val="2"/>
        <scheme val="minor"/>
      </rPr>
      <t>Choice Model</t>
    </r>
    <r>
      <rPr>
        <sz val="18"/>
        <color theme="1"/>
        <rFont val="Calibri"/>
        <family val="2"/>
        <scheme val="minor"/>
      </rPr>
      <t xml:space="preserve"> field.</t>
    </r>
  </si>
  <si>
    <r>
      <rPr>
        <sz val="18"/>
        <rFont val="Calibri"/>
        <family val="2"/>
        <scheme val="minor"/>
      </rPr>
      <t xml:space="preserve">Enter the location parameter of the underlying Weibull distribution (xi) into the field </t>
    </r>
    <r>
      <rPr>
        <sz val="18"/>
        <color rgb="FFC00000"/>
        <rFont val="Calibri"/>
        <family val="2"/>
        <scheme val="minor"/>
      </rPr>
      <t>CM Param2</t>
    </r>
    <r>
      <rPr>
        <sz val="18"/>
        <color theme="1"/>
        <rFont val="Calibri"/>
        <family val="2"/>
        <scheme val="minor"/>
      </rPr>
      <t>.</t>
    </r>
  </si>
  <si>
    <r>
      <rPr>
        <sz val="18"/>
        <rFont val="Calibri"/>
        <family val="2"/>
        <scheme val="minor"/>
      </rPr>
      <t xml:space="preserve">Enter the shape parameter of the underlying Weibull distribution (beta) into the field </t>
    </r>
    <r>
      <rPr>
        <sz val="18"/>
        <color rgb="FFC00000"/>
        <rFont val="Calibri"/>
        <family val="2"/>
        <scheme val="minor"/>
      </rPr>
      <t>CM Param2</t>
    </r>
    <r>
      <rPr>
        <sz val="18"/>
        <color theme="1"/>
        <rFont val="Calibri"/>
        <family val="2"/>
        <scheme val="minor"/>
      </rPr>
      <t>.</t>
    </r>
  </si>
  <si>
    <r>
      <t xml:space="preserve">Type </t>
    </r>
    <r>
      <rPr>
        <b/>
        <sz val="18"/>
        <color theme="1"/>
        <rFont val="Calibri"/>
        <family val="2"/>
        <scheme val="minor"/>
      </rPr>
      <t>MDM</t>
    </r>
    <r>
      <rPr>
        <sz val="18"/>
        <color theme="1"/>
        <rFont val="Calibri"/>
        <family val="2"/>
        <scheme val="minor"/>
      </rPr>
      <t xml:space="preserve"> in the </t>
    </r>
    <r>
      <rPr>
        <sz val="18"/>
        <color rgb="FFC00000"/>
        <rFont val="Calibri"/>
        <family val="2"/>
        <scheme val="minor"/>
      </rPr>
      <t>Choice Model</t>
    </r>
    <r>
      <rPr>
        <sz val="18"/>
        <color theme="1"/>
        <rFont val="Calibri"/>
        <family val="2"/>
        <scheme val="minor"/>
      </rPr>
      <t xml:space="preserve"> field.</t>
    </r>
  </si>
  <si>
    <r>
      <rPr>
        <sz val="18"/>
        <color rgb="FFC00000"/>
        <rFont val="Calibri"/>
        <family val="2"/>
        <scheme val="minor"/>
      </rPr>
      <t xml:space="preserve">CM Param1 </t>
    </r>
    <r>
      <rPr>
        <sz val="18"/>
        <color theme="1"/>
        <rFont val="Calibri"/>
        <family val="2"/>
        <scheme val="minor"/>
      </rPr>
      <t xml:space="preserve">corresponds to the type of the utility function. Type </t>
    </r>
    <r>
      <rPr>
        <b/>
        <sz val="18"/>
        <color theme="1"/>
        <rFont val="Calibri"/>
        <family val="2"/>
        <scheme val="minor"/>
      </rPr>
      <t>Add</t>
    </r>
    <r>
      <rPr>
        <sz val="18"/>
        <color theme="1"/>
        <rFont val="Calibri"/>
        <family val="2"/>
        <scheme val="minor"/>
      </rPr>
      <t xml:space="preserve"> or </t>
    </r>
    <r>
      <rPr>
        <b/>
        <sz val="18"/>
        <color theme="1"/>
        <rFont val="Calibri"/>
        <family val="2"/>
        <scheme val="minor"/>
      </rPr>
      <t>Mul</t>
    </r>
    <r>
      <rPr>
        <sz val="18"/>
        <color theme="1"/>
        <rFont val="Calibri"/>
        <family val="2"/>
        <scheme val="minor"/>
      </rPr>
      <t xml:space="preserve"> in this field:</t>
    </r>
  </si>
  <si>
    <r>
      <t>Additive utility (</t>
    </r>
    <r>
      <rPr>
        <i/>
        <sz val="18"/>
        <color theme="1"/>
        <rFont val="Calibri"/>
        <family val="2"/>
        <scheme val="minor"/>
      </rPr>
      <t>U</t>
    </r>
    <r>
      <rPr>
        <sz val="18"/>
        <color theme="1"/>
        <rFont val="Calibri"/>
        <family val="2"/>
        <scheme val="minor"/>
      </rPr>
      <t>) is the summation of the deterministic (systematic) component and the random perception error term (as in logit-based models):</t>
    </r>
  </si>
  <si>
    <r>
      <rPr>
        <sz val="18"/>
        <color rgb="FFC00000"/>
        <rFont val="Calibri"/>
        <family val="2"/>
        <scheme val="minor"/>
      </rPr>
      <t xml:space="preserve">CM Param2 </t>
    </r>
    <r>
      <rPr>
        <sz val="18"/>
        <color theme="1"/>
        <rFont val="Calibri"/>
        <family val="2"/>
        <scheme val="minor"/>
      </rPr>
      <t>corresponds to a MDM solution algorithm parameter which is used for precision in the bisection search. Enter a sufficiently small number (i.e., 0.0001).</t>
    </r>
  </si>
  <si>
    <r>
      <t xml:space="preserve">On the other hand, paths may be entered explicitly in the </t>
    </r>
    <r>
      <rPr>
        <b/>
        <sz val="18"/>
        <color theme="1"/>
        <rFont val="Calibri"/>
        <family val="2"/>
        <scheme val="minor"/>
      </rPr>
      <t>Paths</t>
    </r>
    <r>
      <rPr>
        <sz val="18"/>
        <color theme="1"/>
        <rFont val="Calibri"/>
        <family val="2"/>
        <scheme val="minor"/>
      </rPr>
      <t xml:space="preserve"> sheet if working route choice sets are available.</t>
    </r>
  </si>
  <si>
    <r>
      <t xml:space="preserve">In order to enter a path visiting nodes n1, n2, …, nK sequentially, enter the labels of these nodes in the columns starting with </t>
    </r>
    <r>
      <rPr>
        <b/>
        <sz val="18"/>
        <color theme="1"/>
        <rFont val="Calibri"/>
        <family val="2"/>
        <scheme val="minor"/>
      </rPr>
      <t xml:space="preserve">1 </t>
    </r>
    <r>
      <rPr>
        <sz val="18"/>
        <color theme="1"/>
        <rFont val="Calibri"/>
        <family val="2"/>
        <scheme val="minor"/>
      </rPr>
      <t>(column G).</t>
    </r>
  </si>
  <si>
    <r>
      <t xml:space="preserve">Every arc used in the paths needs to exist in the </t>
    </r>
    <r>
      <rPr>
        <b/>
        <sz val="18"/>
        <color theme="1"/>
        <rFont val="Calibri"/>
        <family val="2"/>
        <scheme val="minor"/>
      </rPr>
      <t>Arcs</t>
    </r>
    <r>
      <rPr>
        <sz val="18"/>
        <color theme="1"/>
        <rFont val="Calibri"/>
        <family val="2"/>
        <scheme val="minor"/>
      </rPr>
      <t xml:space="preserve"> sheet.</t>
    </r>
  </si>
  <si>
    <r>
      <t xml:space="preserve">For instance, in order to enter the two paths above, arcs 1-2, 2-3, 3-5, 1-3, and 3-4 need to exist in the </t>
    </r>
    <r>
      <rPr>
        <b/>
        <sz val="18"/>
        <color theme="1"/>
        <rFont val="Calibri"/>
        <family val="2"/>
        <scheme val="minor"/>
      </rPr>
      <t>Arcs</t>
    </r>
    <r>
      <rPr>
        <sz val="18"/>
        <color theme="1"/>
        <rFont val="Calibri"/>
        <family val="2"/>
        <scheme val="minor"/>
      </rPr>
      <t xml:space="preserve"> sheet.</t>
    </r>
  </si>
  <si>
    <r>
      <rPr>
        <b/>
        <sz val="18"/>
        <color theme="0"/>
        <rFont val="Wingdings"/>
        <charset val="2"/>
      </rPr>
      <t>þ</t>
    </r>
    <r>
      <rPr>
        <b/>
        <sz val="18"/>
        <color theme="0"/>
        <rFont val="Calibri"/>
        <family val="2"/>
        <scheme val="minor"/>
      </rPr>
      <t xml:space="preserve"> FIRST CHECK</t>
    </r>
  </si>
  <si>
    <r>
      <t xml:space="preserve">When FIRST CHECK button is clicked, paths of the O-D pairs with choice model MDM are copied in </t>
    </r>
    <r>
      <rPr>
        <b/>
        <sz val="18"/>
        <color theme="1"/>
        <rFont val="Calibri"/>
        <family val="2"/>
        <scheme val="minor"/>
      </rPr>
      <t xml:space="preserve">PathsMDs </t>
    </r>
    <r>
      <rPr>
        <sz val="18"/>
        <color theme="1"/>
        <rFont val="Calibri"/>
        <family val="2"/>
        <scheme val="minor"/>
      </rPr>
      <t>sheet. At this step, the marginal distributions of the perception errors of these routes need to be entered. MDM route choice probabilities are calculated as follows:</t>
    </r>
  </si>
  <si>
    <r>
      <t xml:space="preserve">The columns </t>
    </r>
    <r>
      <rPr>
        <b/>
        <sz val="18"/>
        <color theme="1"/>
        <rFont val="Calibri"/>
        <family val="2"/>
        <scheme val="minor"/>
      </rPr>
      <t>DistParam1, DistParam2</t>
    </r>
    <r>
      <rPr>
        <sz val="18"/>
        <color theme="1"/>
        <rFont val="Calibri"/>
        <family val="2"/>
        <scheme val="minor"/>
      </rPr>
      <t xml:space="preserve">, and </t>
    </r>
    <r>
      <rPr>
        <b/>
        <sz val="18"/>
        <color theme="1"/>
        <rFont val="Calibri"/>
        <family val="2"/>
        <scheme val="minor"/>
      </rPr>
      <t>DistParam3</t>
    </r>
    <r>
      <rPr>
        <sz val="18"/>
        <color theme="1"/>
        <rFont val="Calibri"/>
        <family val="2"/>
        <scheme val="minor"/>
      </rPr>
      <t xml:space="preserve"> correspond to the parameters of the distributions:</t>
    </r>
  </si>
  <si>
    <r>
      <t xml:space="preserve">Type </t>
    </r>
    <r>
      <rPr>
        <b/>
        <sz val="18"/>
        <color theme="1"/>
        <rFont val="Calibri"/>
        <family val="2"/>
        <scheme val="minor"/>
      </rPr>
      <t>Exp</t>
    </r>
    <r>
      <rPr>
        <sz val="18"/>
        <color theme="1"/>
        <rFont val="Calibri"/>
        <family val="2"/>
        <scheme val="minor"/>
      </rPr>
      <t xml:space="preserve"> in </t>
    </r>
    <r>
      <rPr>
        <b/>
        <sz val="18"/>
        <color theme="1"/>
        <rFont val="Calibri"/>
        <family val="2"/>
        <scheme val="minor"/>
      </rPr>
      <t xml:space="preserve">Distribution </t>
    </r>
    <r>
      <rPr>
        <sz val="18"/>
        <color theme="1"/>
        <rFont val="Calibri"/>
        <family val="2"/>
        <scheme val="minor"/>
      </rPr>
      <t>column (column C).</t>
    </r>
  </si>
  <si>
    <r>
      <t>DistParam1</t>
    </r>
    <r>
      <rPr>
        <sz val="18"/>
        <color theme="1"/>
        <rFont val="Calibri"/>
        <family val="2"/>
        <scheme val="minor"/>
      </rPr>
      <t xml:space="preserve"> is the location parameter (A).</t>
    </r>
  </si>
  <si>
    <r>
      <t>DistParam2</t>
    </r>
    <r>
      <rPr>
        <sz val="18"/>
        <color theme="1"/>
        <rFont val="Calibri"/>
        <family val="2"/>
        <scheme val="minor"/>
      </rPr>
      <t xml:space="preserve"> is the location parameter (B).</t>
    </r>
  </si>
  <si>
    <r>
      <rPr>
        <sz val="18"/>
        <color theme="1"/>
        <rFont val="Calibri"/>
        <family val="2"/>
        <scheme val="minor"/>
      </rPr>
      <t xml:space="preserve">Leave </t>
    </r>
    <r>
      <rPr>
        <b/>
        <sz val="18"/>
        <color theme="1"/>
        <rFont val="Calibri"/>
        <family val="2"/>
        <scheme val="minor"/>
      </rPr>
      <t>DistParam3</t>
    </r>
    <r>
      <rPr>
        <sz val="18"/>
        <color theme="1"/>
        <rFont val="Calibri"/>
        <family val="2"/>
        <scheme val="minor"/>
      </rPr>
      <t xml:space="preserve"> empty.</t>
    </r>
  </si>
  <si>
    <r>
      <t xml:space="preserve">Type </t>
    </r>
    <r>
      <rPr>
        <b/>
        <sz val="18"/>
        <color theme="1"/>
        <rFont val="Calibri"/>
        <family val="2"/>
        <scheme val="minor"/>
      </rPr>
      <t>N</t>
    </r>
    <r>
      <rPr>
        <sz val="18"/>
        <color theme="1"/>
        <rFont val="Calibri"/>
        <family val="2"/>
        <scheme val="minor"/>
      </rPr>
      <t xml:space="preserve"> in </t>
    </r>
    <r>
      <rPr>
        <b/>
        <sz val="18"/>
        <color theme="1"/>
        <rFont val="Calibri"/>
        <family val="2"/>
        <scheme val="minor"/>
      </rPr>
      <t xml:space="preserve">Distribution </t>
    </r>
    <r>
      <rPr>
        <sz val="18"/>
        <color theme="1"/>
        <rFont val="Calibri"/>
        <family val="2"/>
        <scheme val="minor"/>
      </rPr>
      <t>column (column C).</t>
    </r>
  </si>
  <si>
    <r>
      <t>DistParam1</t>
    </r>
    <r>
      <rPr>
        <sz val="18"/>
        <color theme="1"/>
        <rFont val="Calibri"/>
        <family val="2"/>
        <scheme val="minor"/>
      </rPr>
      <t xml:space="preserve"> is the mean (mu).</t>
    </r>
  </si>
  <si>
    <r>
      <t>DistParam2</t>
    </r>
    <r>
      <rPr>
        <sz val="18"/>
        <color theme="1"/>
        <rFont val="Calibri"/>
        <family val="2"/>
        <scheme val="minor"/>
      </rPr>
      <t xml:space="preserve"> is the standard deviation (sigma).</t>
    </r>
  </si>
  <si>
    <r>
      <t xml:space="preserve">Type </t>
    </r>
    <r>
      <rPr>
        <b/>
        <sz val="18"/>
        <color theme="1"/>
        <rFont val="Calibri"/>
        <family val="2"/>
        <scheme val="minor"/>
      </rPr>
      <t xml:space="preserve">StaN </t>
    </r>
    <r>
      <rPr>
        <sz val="18"/>
        <color theme="1"/>
        <rFont val="Calibri"/>
        <family val="2"/>
        <scheme val="minor"/>
      </rPr>
      <t xml:space="preserve">in </t>
    </r>
    <r>
      <rPr>
        <b/>
        <sz val="18"/>
        <color theme="1"/>
        <rFont val="Calibri"/>
        <family val="2"/>
        <scheme val="minor"/>
      </rPr>
      <t xml:space="preserve">Distribution </t>
    </r>
    <r>
      <rPr>
        <sz val="18"/>
        <color theme="1"/>
        <rFont val="Calibri"/>
        <family val="2"/>
        <scheme val="minor"/>
      </rPr>
      <t>column (column C).</t>
    </r>
  </si>
  <si>
    <r>
      <rPr>
        <sz val="18"/>
        <color theme="1"/>
        <rFont val="Calibri"/>
        <family val="2"/>
        <scheme val="minor"/>
      </rPr>
      <t xml:space="preserve">Leave </t>
    </r>
    <r>
      <rPr>
        <b/>
        <sz val="18"/>
        <color theme="1"/>
        <rFont val="Calibri"/>
        <family val="2"/>
        <scheme val="minor"/>
      </rPr>
      <t xml:space="preserve">DistParam1, DistParam2, </t>
    </r>
    <r>
      <rPr>
        <sz val="18"/>
        <color theme="1"/>
        <rFont val="Calibri"/>
        <family val="2"/>
        <scheme val="minor"/>
      </rPr>
      <t>and</t>
    </r>
    <r>
      <rPr>
        <b/>
        <sz val="18"/>
        <color theme="1"/>
        <rFont val="Calibri"/>
        <family val="2"/>
        <scheme val="minor"/>
      </rPr>
      <t xml:space="preserve"> DistParam3</t>
    </r>
    <r>
      <rPr>
        <sz val="18"/>
        <color theme="1"/>
        <rFont val="Calibri"/>
        <family val="2"/>
        <scheme val="minor"/>
      </rPr>
      <t xml:space="preserve"> empty.</t>
    </r>
  </si>
  <si>
    <r>
      <rPr>
        <b/>
        <sz val="18"/>
        <color theme="0"/>
        <rFont val="Wingdings"/>
        <charset val="2"/>
      </rPr>
      <t>þ</t>
    </r>
    <r>
      <rPr>
        <b/>
        <sz val="18"/>
        <color theme="0"/>
        <rFont val="Calibri"/>
        <family val="2"/>
        <scheme val="minor"/>
      </rPr>
      <t xml:space="preserve"> SECOND CHECK</t>
    </r>
  </si>
  <si>
    <r>
      <rPr>
        <b/>
        <sz val="18"/>
        <color theme="0"/>
        <rFont val="Wingdings"/>
        <charset val="2"/>
      </rPr>
      <t>þ</t>
    </r>
    <r>
      <rPr>
        <b/>
        <sz val="18"/>
        <color theme="0"/>
        <rFont val="Calibri"/>
        <family val="2"/>
        <scheme val="minor"/>
      </rPr>
      <t xml:space="preserve"> FINALIZATION</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</si>
</sst>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21" x14ac:knownFonts="1">
    <font>
      <sz val="11"/>
      <color theme="1"/>
      <name val="Calibri"/>
      <family val="2"/>
      <scheme val="minor"/>
    </font>
    <font>
      <b/>
      <sz val="11"/>
      <color theme="0"/>
      <name val="Calibri"/>
      <family val="2"/>
      <scheme val="minor"/>
    </font>
    <font>
      <sz val="11"/>
      <color rgb="FF000000"/>
      <name val="Calibri"/>
      <family val="2"/>
    </font>
    <font>
      <sz val="10"/>
      <color theme="1"/>
      <name val="Calibri"/>
      <family val="2"/>
      <scheme val="minor"/>
    </font>
    <font>
      <sz val="10"/>
      <color theme="0"/>
      <name val="Calibri"/>
      <family val="2"/>
      <scheme val="minor"/>
    </font>
    <font>
      <sz val="11"/>
      <color theme="1"/>
      <name val="Calibri"/>
      <family val="2"/>
      <scheme val="minor"/>
    </font>
    <font>
      <sz val="8"/>
      <name val="Calibri"/>
      <family val="2"/>
      <scheme val="minor"/>
    </font>
    <font>
      <sz val="14"/>
      <color theme="1"/>
      <name val="Calibri"/>
      <family val="2"/>
      <scheme val="minor"/>
    </font>
    <font>
      <b/>
      <sz val="14"/>
      <color theme="0"/>
      <name val="Calibri"/>
      <family val="2"/>
      <scheme val="minor"/>
    </font>
    <font>
      <sz val="14"/>
      <color theme="0"/>
      <name val="Calibri"/>
      <family val="2"/>
      <scheme val="minor"/>
    </font>
    <font>
      <sz val="18"/>
      <color theme="1"/>
      <name val="Calibri"/>
      <family val="2"/>
      <scheme val="minor"/>
    </font>
    <font>
      <sz val="18"/>
      <color theme="1"/>
      <name val="Wingdings"/>
      <charset val="2"/>
    </font>
    <font>
      <b/>
      <sz val="18"/>
      <color theme="1"/>
      <name val="Calibri"/>
      <family val="2"/>
      <scheme val="minor"/>
    </font>
    <font>
      <b/>
      <sz val="18"/>
      <color theme="0"/>
      <name val="Calibri"/>
      <family val="2"/>
      <scheme val="minor"/>
    </font>
    <font>
      <sz val="18"/>
      <color rgb="FFC00000"/>
      <name val="Calibri"/>
      <family val="2"/>
      <scheme val="minor"/>
    </font>
    <font>
      <i/>
      <sz val="18"/>
      <color theme="1"/>
      <name val="Calibri"/>
      <family val="2"/>
      <scheme val="minor"/>
    </font>
    <font>
      <sz val="18"/>
      <color rgb="FFC00000"/>
      <name val="Wingdings"/>
      <charset val="2"/>
    </font>
    <font>
      <sz val="18"/>
      <name val="Calibri"/>
      <family val="2"/>
      <scheme val="minor"/>
    </font>
    <font>
      <b/>
      <sz val="18"/>
      <color theme="0"/>
      <name val="Wingdings"/>
      <charset val="2"/>
    </font>
    <font>
      <u/>
      <sz val="11"/>
      <color theme="10"/>
      <name val="Calibri"/>
      <family val="2"/>
      <scheme val="minor"/>
    </font>
    <font>
      <u/>
      <sz val="11"/>
      <color theme="11"/>
      <name val="Calibri"/>
      <family val="2"/>
      <scheme val="minor"/>
    </font>
  </fonts>
  <fills count="7">
    <fill>
      <patternFill patternType="none"/>
    </fill>
    <fill>
      <patternFill patternType="gray125"/>
    </fill>
    <fill>
      <patternFill patternType="solid">
        <fgColor theme="4" tint="-0.499984740745262"/>
        <bgColor indexed="64"/>
      </patternFill>
    </fill>
    <fill>
      <patternFill patternType="solid">
        <fgColor theme="7" tint="0.79998168889431442"/>
        <bgColor indexed="64"/>
      </patternFill>
    </fill>
    <fill>
      <patternFill patternType="solid">
        <fgColor rgb="FF1F4E78"/>
        <bgColor indexed="64"/>
      </patternFill>
    </fill>
    <fill>
      <patternFill patternType="solid">
        <fgColor rgb="FFC00000"/>
        <bgColor indexed="64"/>
      </patternFill>
    </fill>
    <fill>
      <patternFill patternType="solid">
        <fgColor rgb="FF235725"/>
        <bgColor indexed="64"/>
      </patternFill>
    </fill>
  </fills>
  <borders count="71">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right style="thin">
        <color theme="1" tint="0.499984740745262"/>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1"/>
      </left>
      <right style="thin">
        <color theme="1"/>
      </right>
      <top style="thin">
        <color theme="1"/>
      </top>
      <bottom style="thin">
        <color theme="1"/>
      </bottom>
      <diagonal/>
    </border>
    <border>
      <left style="thin">
        <color theme="1" tint="0.499984740745262"/>
      </left>
      <right style="thin">
        <color theme="1" tint="0.499984740745262"/>
      </right>
      <top/>
      <bottom style="thin">
        <color theme="1" tint="0.499984740745262"/>
      </bottom>
      <diagonal/>
    </border>
    <border>
      <left style="thin">
        <color rgb="FF235685"/>
      </left>
      <right style="thin">
        <color rgb="FF235685"/>
      </right>
      <top style="thin">
        <color rgb="FF235685"/>
      </top>
      <bottom style="thin">
        <color rgb="FF235685"/>
      </bottom>
      <diagonal/>
    </border>
    <border>
      <left style="thin">
        <color auto="1"/>
      </left>
      <right/>
      <top/>
      <bottom/>
      <diagonal/>
    </border>
    <border>
      <left/>
      <right style="thin">
        <color theme="1" tint="0.499984740745262"/>
      </right>
      <top/>
      <bottom style="thin">
        <color theme="1" tint="0.499984740745262"/>
      </bottom>
      <diagonal/>
    </border>
    <border>
      <left/>
      <right style="thin">
        <color rgb="FF235685"/>
      </right>
      <top/>
      <bottom style="thin">
        <color rgb="FF235685"/>
      </bottom>
      <diagonal/>
    </border>
    <border>
      <left style="thin">
        <color auto="1"/>
      </left>
      <right/>
      <top/>
      <bottom style="thin">
        <color auto="1"/>
      </bottom>
      <diagonal/>
    </border>
    <border>
      <left/>
      <right style="thin">
        <color rgb="FF235685"/>
      </right>
      <top/>
      <bottom style="thin">
        <color auto="1"/>
      </bottom>
      <diagonal/>
    </border>
    <border>
      <left/>
      <right style="thin">
        <color theme="1" tint="0.499984740745262"/>
      </right>
      <top/>
      <bottom style="thin">
        <color auto="1"/>
      </bottom>
      <diagonal/>
    </border>
    <border>
      <left style="thin">
        <color theme="1" tint="0.499984740745262"/>
      </left>
      <right style="thin">
        <color theme="1" tint="0.499984740745262"/>
      </right>
      <top/>
      <bottom style="thin">
        <color auto="1"/>
      </bottom>
      <diagonal/>
    </border>
    <border>
      <left style="thin">
        <color theme="1" tint="0.499984740745262"/>
      </left>
      <right style="thin">
        <color auto="1"/>
      </right>
      <top/>
      <bottom style="thin">
        <color auto="1"/>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rgb="FF235685"/>
      </left>
      <right style="thin">
        <color theme="1" tint="0.499984740745262"/>
      </right>
      <top style="thin">
        <color theme="1"/>
      </top>
      <bottom style="thin">
        <color theme="1" tint="0.499984740745262"/>
      </bottom>
      <diagonal/>
    </border>
    <border>
      <left style="thin">
        <color theme="1" tint="0.499984740745262"/>
      </left>
      <right style="thin">
        <color theme="1" tint="0.499984740745262"/>
      </right>
      <top style="thin">
        <color theme="1"/>
      </top>
      <bottom style="thin">
        <color theme="1" tint="0.499984740745262"/>
      </bottom>
      <diagonal/>
    </border>
    <border>
      <left style="thin">
        <color rgb="FF235685"/>
      </left>
      <right style="thin">
        <color theme="1" tint="0.499984740745262"/>
      </right>
      <top style="thin">
        <color theme="1" tint="0.499984740745262"/>
      </top>
      <bottom style="thin">
        <color theme="1" tint="0.499984740745262"/>
      </bottom>
      <diagonal/>
    </border>
    <border>
      <left/>
      <right style="thin">
        <color rgb="FF235685"/>
      </right>
      <top style="thin">
        <color theme="1"/>
      </top>
      <bottom style="thin">
        <color rgb="FF235685"/>
      </bottom>
      <diagonal/>
    </border>
    <border>
      <left/>
      <right style="thin">
        <color rgb="FF235685"/>
      </right>
      <top style="thin">
        <color rgb="FF235685"/>
      </top>
      <bottom style="thin">
        <color rgb="FF235685"/>
      </bottom>
      <diagonal/>
    </border>
    <border>
      <left style="thin">
        <color theme="1"/>
      </left>
      <right/>
      <top style="thin">
        <color theme="1"/>
      </top>
      <bottom style="thin">
        <color rgb="FF235685"/>
      </bottom>
      <diagonal/>
    </border>
    <border>
      <left style="thin">
        <color theme="1" tint="0.499984740745262"/>
      </left>
      <right style="thin">
        <color theme="1"/>
      </right>
      <top style="thin">
        <color theme="1"/>
      </top>
      <bottom style="thin">
        <color theme="1" tint="0.499984740745262"/>
      </bottom>
      <diagonal/>
    </border>
    <border>
      <left style="thin">
        <color theme="1"/>
      </left>
      <right/>
      <top style="thin">
        <color rgb="FF235685"/>
      </top>
      <bottom style="thin">
        <color rgb="FF235685"/>
      </bottom>
      <diagonal/>
    </border>
    <border>
      <left style="thin">
        <color theme="1" tint="0.499984740745262"/>
      </left>
      <right style="thin">
        <color theme="1"/>
      </right>
      <top style="thin">
        <color theme="1" tint="0.499984740745262"/>
      </top>
      <bottom style="thin">
        <color theme="1" tint="0.499984740745262"/>
      </bottom>
      <diagonal/>
    </border>
    <border>
      <left style="thin">
        <color theme="1"/>
      </left>
      <right/>
      <top style="thin">
        <color rgb="FF235685"/>
      </top>
      <bottom style="thin">
        <color theme="1"/>
      </bottom>
      <diagonal/>
    </border>
    <border>
      <left/>
      <right style="thin">
        <color rgb="FF235685"/>
      </right>
      <top style="thin">
        <color rgb="FF235685"/>
      </top>
      <bottom style="thin">
        <color theme="1"/>
      </bottom>
      <diagonal/>
    </border>
    <border>
      <left style="thin">
        <color rgb="FF235685"/>
      </left>
      <right style="thin">
        <color theme="1" tint="0.499984740745262"/>
      </right>
      <top style="thin">
        <color theme="1" tint="0.499984740745262"/>
      </top>
      <bottom style="thin">
        <color theme="1"/>
      </bottom>
      <diagonal/>
    </border>
    <border>
      <left style="thin">
        <color theme="1" tint="0.499984740745262"/>
      </left>
      <right style="thin">
        <color theme="1" tint="0.499984740745262"/>
      </right>
      <top style="thin">
        <color theme="1" tint="0.499984740745262"/>
      </top>
      <bottom style="thin">
        <color theme="1"/>
      </bottom>
      <diagonal/>
    </border>
    <border>
      <left style="thin">
        <color theme="1" tint="0.499984740745262"/>
      </left>
      <right style="thin">
        <color theme="1"/>
      </right>
      <top style="thin">
        <color theme="1" tint="0.499984740745262"/>
      </top>
      <bottom style="thin">
        <color theme="1"/>
      </bottom>
      <diagonal/>
    </border>
    <border>
      <left/>
      <right style="thin">
        <color theme="1" tint="0.499984740745262"/>
      </right>
      <top style="thin">
        <color theme="1" tint="0.499984740745262"/>
      </top>
      <bottom style="thin">
        <color theme="1" tint="0.499984740745262"/>
      </bottom>
      <diagonal/>
    </border>
    <border>
      <left style="thin">
        <color theme="1" tint="0.14993743705557422"/>
      </left>
      <right/>
      <top style="thin">
        <color theme="1" tint="0.14993743705557422"/>
      </top>
      <bottom style="thin">
        <color theme="1" tint="0.14993743705557422"/>
      </bottom>
      <diagonal/>
    </border>
    <border>
      <left style="thin">
        <color theme="1" tint="0.14990691854609822"/>
      </left>
      <right/>
      <top style="thin">
        <color theme="1" tint="0.14990691854609822"/>
      </top>
      <bottom style="thin">
        <color theme="1" tint="0.14993743705557422"/>
      </bottom>
      <diagonal/>
    </border>
    <border>
      <left/>
      <right style="thin">
        <color theme="1" tint="0.14996795556505021"/>
      </right>
      <top style="thin">
        <color theme="1" tint="0.14990691854609822"/>
      </top>
      <bottom style="thin">
        <color theme="1" tint="0.14993743705557422"/>
      </bottom>
      <diagonal/>
    </border>
    <border>
      <left style="thin">
        <color theme="1" tint="0.14996795556505021"/>
      </left>
      <right/>
      <top style="thin">
        <color theme="1" tint="0.14990691854609822"/>
      </top>
      <bottom style="thin">
        <color theme="1" tint="0.14993743705557422"/>
      </bottom>
      <diagonal/>
    </border>
    <border>
      <left/>
      <right/>
      <top style="thin">
        <color theme="1" tint="0.14990691854609822"/>
      </top>
      <bottom style="thin">
        <color theme="1" tint="0.14993743705557422"/>
      </bottom>
      <diagonal/>
    </border>
    <border>
      <left style="thin">
        <color theme="1" tint="0.14990691854609822"/>
      </left>
      <right/>
      <top/>
      <bottom style="thin">
        <color rgb="FF235685"/>
      </bottom>
      <diagonal/>
    </border>
    <border>
      <left style="thin">
        <color theme="1" tint="0.14990691854609822"/>
      </left>
      <right/>
      <top style="thin">
        <color rgb="FF235685"/>
      </top>
      <bottom style="thin">
        <color rgb="FF235685"/>
      </bottom>
      <diagonal/>
    </border>
    <border>
      <left style="thin">
        <color theme="1" tint="0.499984740745262"/>
      </left>
      <right/>
      <top style="thin">
        <color theme="1" tint="0.499984740745262"/>
      </top>
      <bottom style="thin">
        <color theme="1" tint="0.499984740745262"/>
      </bottom>
      <diagonal/>
    </border>
    <border>
      <left style="thin">
        <color theme="1" tint="0.499984740745262"/>
      </left>
      <right/>
      <top/>
      <bottom style="thin">
        <color theme="1" tint="0.499984740745262"/>
      </bottom>
      <diagonal/>
    </border>
    <border>
      <left/>
      <right style="thin">
        <color theme="1" tint="0.14993743705557422"/>
      </right>
      <top style="thin">
        <color theme="1" tint="0.14993743705557422"/>
      </top>
      <bottom style="thin">
        <color theme="1" tint="0.14993743705557422"/>
      </bottom>
      <diagonal/>
    </border>
    <border>
      <left/>
      <right/>
      <top style="thin">
        <color theme="1" tint="0.499984740745262"/>
      </top>
      <bottom style="thin">
        <color theme="1" tint="0.499984740745262"/>
      </bottom>
      <diagonal/>
    </border>
    <border>
      <left style="thin">
        <color rgb="FF235685"/>
      </left>
      <right style="thin">
        <color rgb="FF235685"/>
      </right>
      <top/>
      <bottom style="thin">
        <color rgb="FF235685"/>
      </bottom>
      <diagonal/>
    </border>
    <border>
      <left/>
      <right/>
      <top/>
      <bottom style="thin">
        <color theme="1" tint="0.499984740745262"/>
      </bottom>
      <diagonal/>
    </border>
    <border>
      <left style="thin">
        <color theme="1"/>
      </left>
      <right style="thin">
        <color rgb="FF235685"/>
      </right>
      <top/>
      <bottom style="thin">
        <color rgb="FF235685"/>
      </bottom>
      <diagonal/>
    </border>
    <border>
      <left/>
      <right style="thin">
        <color theme="1"/>
      </right>
      <top/>
      <bottom style="thin">
        <color theme="1" tint="0.499984740745262"/>
      </bottom>
      <diagonal/>
    </border>
    <border>
      <left style="thin">
        <color theme="1"/>
      </left>
      <right style="thin">
        <color rgb="FF235685"/>
      </right>
      <top style="thin">
        <color rgb="FF235685"/>
      </top>
      <bottom style="thin">
        <color rgb="FF235685"/>
      </bottom>
      <diagonal/>
    </border>
    <border>
      <left/>
      <right style="thin">
        <color theme="1"/>
      </right>
      <top style="thin">
        <color theme="1" tint="0.499984740745262"/>
      </top>
      <bottom style="thin">
        <color theme="1" tint="0.499984740745262"/>
      </bottom>
      <diagonal/>
    </border>
    <border>
      <left style="thin">
        <color theme="1"/>
      </left>
      <right style="thin">
        <color rgb="FF235685"/>
      </right>
      <top style="thin">
        <color rgb="FF235685"/>
      </top>
      <bottom style="thin">
        <color theme="1"/>
      </bottom>
      <diagonal/>
    </border>
    <border>
      <left style="thin">
        <color rgb="FF235685"/>
      </left>
      <right style="thin">
        <color rgb="FF235685"/>
      </right>
      <top style="thin">
        <color rgb="FF235685"/>
      </top>
      <bottom style="thin">
        <color theme="1"/>
      </bottom>
      <diagonal/>
    </border>
    <border>
      <left/>
      <right/>
      <top style="thin">
        <color theme="1" tint="0.499984740745262"/>
      </top>
      <bottom style="thin">
        <color theme="1"/>
      </bottom>
      <diagonal/>
    </border>
    <border>
      <left/>
      <right style="thin">
        <color theme="1" tint="0.499984740745262"/>
      </right>
      <top style="thin">
        <color theme="1" tint="0.499984740745262"/>
      </top>
      <bottom style="thin">
        <color theme="1"/>
      </bottom>
      <diagonal/>
    </border>
    <border>
      <left style="thin">
        <color theme="1" tint="0.499984740745262"/>
      </left>
      <right/>
      <top style="thin">
        <color theme="1" tint="0.499984740745262"/>
      </top>
      <bottom style="thin">
        <color theme="1"/>
      </bottom>
      <diagonal/>
    </border>
    <border>
      <left/>
      <right style="thin">
        <color theme="1"/>
      </right>
      <top style="thin">
        <color theme="1" tint="0.499984740745262"/>
      </top>
      <bottom style="thin">
        <color theme="1"/>
      </bottom>
      <diagonal/>
    </border>
    <border>
      <left style="thin">
        <color auto="1"/>
      </left>
      <right/>
      <top style="thin">
        <color auto="1"/>
      </top>
      <bottom/>
      <diagonal/>
    </border>
    <border>
      <left/>
      <right/>
      <top style="thin">
        <color auto="1"/>
      </top>
      <bottom/>
      <diagonal/>
    </border>
    <border>
      <left/>
      <right style="medium">
        <color auto="1"/>
      </right>
      <top style="thin">
        <color auto="1"/>
      </top>
      <bottom/>
      <diagonal/>
    </border>
    <border>
      <left/>
      <right style="medium">
        <color auto="1"/>
      </right>
      <top/>
      <bottom/>
      <diagonal/>
    </border>
    <border>
      <left style="thin">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6">
    <xf numFmtId="0" fontId="0" fillId="0" borderId="0"/>
    <xf numFmtId="164" fontId="5" fillId="0" borderId="0" applyFon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130">
    <xf numFmtId="0" fontId="0" fillId="0" borderId="0" xfId="0"/>
    <xf numFmtId="0" fontId="1" fillId="2" borderId="3" xfId="0" applyFont="1" applyFill="1" applyBorder="1" applyAlignment="1">
      <alignment horizontal="center" vertical="center" textRotation="90"/>
    </xf>
    <xf numFmtId="0" fontId="0" fillId="0" borderId="2" xfId="0" quotePrefix="1" applyBorder="1" applyAlignment="1" applyProtection="1">
      <alignment horizontal="left" vertical="center" wrapText="1" indent="1"/>
      <protection locked="0"/>
    </xf>
    <xf numFmtId="0" fontId="0" fillId="0" borderId="0" xfId="0" applyAlignment="1">
      <alignment horizontal="center"/>
    </xf>
    <xf numFmtId="0" fontId="0" fillId="0" borderId="5" xfId="0" applyBorder="1"/>
    <xf numFmtId="0" fontId="0" fillId="0" borderId="5" xfId="0" applyBorder="1" applyAlignment="1">
      <alignment horizontal="center"/>
    </xf>
    <xf numFmtId="0" fontId="1" fillId="2" borderId="6" xfId="0" quotePrefix="1" applyFont="1" applyFill="1" applyBorder="1" applyAlignment="1" applyProtection="1">
      <alignment horizontal="left" indent="1"/>
    </xf>
    <xf numFmtId="0" fontId="1" fillId="2" borderId="6" xfId="0" quotePrefix="1" applyFont="1" applyFill="1" applyBorder="1" applyAlignment="1" applyProtection="1">
      <alignment horizontal="right" indent="1"/>
    </xf>
    <xf numFmtId="0" fontId="1" fillId="2" borderId="6" xfId="0" quotePrefix="1" applyFont="1" applyFill="1" applyBorder="1" applyAlignment="1" applyProtection="1">
      <alignment horizontal="center"/>
    </xf>
    <xf numFmtId="0" fontId="1" fillId="2" borderId="5" xfId="0" quotePrefix="1" applyFont="1" applyFill="1" applyBorder="1" applyAlignment="1" applyProtection="1">
      <alignment horizontal="left" indent="1"/>
    </xf>
    <xf numFmtId="0" fontId="1" fillId="2" borderId="5" xfId="0" quotePrefix="1" applyFont="1" applyFill="1" applyBorder="1" applyAlignment="1" applyProtection="1">
      <alignment horizontal="right" indent="1"/>
    </xf>
    <xf numFmtId="0" fontId="1" fillId="2" borderId="7" xfId="0" quotePrefix="1" applyFont="1" applyFill="1" applyBorder="1" applyAlignment="1" applyProtection="1">
      <alignment horizontal="left" indent="1"/>
    </xf>
    <xf numFmtId="0" fontId="1" fillId="2" borderId="7" xfId="0" quotePrefix="1" applyFont="1" applyFill="1" applyBorder="1" applyAlignment="1" applyProtection="1">
      <alignment horizontal="right" indent="1"/>
    </xf>
    <xf numFmtId="0" fontId="0" fillId="0" borderId="0" xfId="0" quotePrefix="1"/>
    <xf numFmtId="0" fontId="3" fillId="0" borderId="0" xfId="0" applyFont="1"/>
    <xf numFmtId="0" fontId="3" fillId="0" borderId="1" xfId="0" quotePrefix="1" applyFont="1" applyBorder="1" applyAlignment="1" applyProtection="1">
      <alignment horizontal="left" indent="1"/>
      <protection locked="0"/>
    </xf>
    <xf numFmtId="0" fontId="3" fillId="0" borderId="1" xfId="0" quotePrefix="1" applyFont="1" applyBorder="1" applyAlignment="1" applyProtection="1">
      <alignment horizontal="right" indent="1"/>
      <protection locked="0"/>
    </xf>
    <xf numFmtId="0" fontId="3" fillId="0" borderId="0" xfId="0" applyFont="1" applyAlignment="1">
      <alignment horizontal="right"/>
    </xf>
    <xf numFmtId="2" fontId="3" fillId="3" borderId="1" xfId="0" quotePrefix="1" applyNumberFormat="1" applyFont="1" applyFill="1" applyBorder="1" applyAlignment="1" applyProtection="1">
      <alignment horizontal="right" indent="1"/>
      <protection locked="0"/>
    </xf>
    <xf numFmtId="0" fontId="3" fillId="0" borderId="1" xfId="0" quotePrefix="1" applyFont="1" applyBorder="1" applyAlignment="1" applyProtection="1">
      <alignment horizontal="center"/>
      <protection locked="0"/>
    </xf>
    <xf numFmtId="3" fontId="3" fillId="0" borderId="0" xfId="0" quotePrefix="1" applyNumberFormat="1" applyFont="1"/>
    <xf numFmtId="0" fontId="3" fillId="0" borderId="0" xfId="0" quotePrefix="1" applyFont="1"/>
    <xf numFmtId="0" fontId="1" fillId="4" borderId="5" xfId="0" quotePrefix="1" applyFont="1" applyFill="1" applyBorder="1" applyAlignment="1" applyProtection="1">
      <alignment horizontal="left" indent="1"/>
    </xf>
    <xf numFmtId="0" fontId="3" fillId="0" borderId="8" xfId="0" quotePrefix="1" applyFont="1" applyBorder="1" applyAlignment="1" applyProtection="1">
      <alignment horizontal="left" indent="1"/>
      <protection locked="0"/>
    </xf>
    <xf numFmtId="0" fontId="4" fillId="4" borderId="9" xfId="0" quotePrefix="1" applyFont="1" applyFill="1" applyBorder="1" applyAlignment="1" applyProtection="1">
      <alignment horizontal="left" indent="1"/>
      <protection locked="0"/>
    </xf>
    <xf numFmtId="0" fontId="4" fillId="4" borderId="9" xfId="0" quotePrefix="1" applyFont="1" applyFill="1" applyBorder="1" applyAlignment="1" applyProtection="1">
      <alignment horizontal="left" indent="1"/>
      <protection locked="0"/>
    </xf>
    <xf numFmtId="0" fontId="3" fillId="0" borderId="1" xfId="0" quotePrefix="1" applyFont="1" applyBorder="1" applyAlignment="1" applyProtection="1">
      <alignment horizontal="center"/>
      <protection locked="0"/>
    </xf>
    <xf numFmtId="0" fontId="0" fillId="0" borderId="4" xfId="0" applyBorder="1" applyAlignment="1">
      <alignment horizontal="center" vertical="center" textRotation="90"/>
    </xf>
    <xf numFmtId="0" fontId="0" fillId="0" borderId="5" xfId="0" applyBorder="1" applyAlignment="1">
      <alignment horizontal="center"/>
    </xf>
    <xf numFmtId="0" fontId="0" fillId="0" borderId="0" xfId="0" applyBorder="1" applyAlignment="1">
      <alignment horizontal="center" vertical="center" textRotation="90"/>
    </xf>
    <xf numFmtId="0" fontId="8" fillId="2" borderId="5" xfId="0" quotePrefix="1" applyFont="1" applyFill="1" applyBorder="1" applyAlignment="1" applyProtection="1">
      <alignment horizontal="center"/>
    </xf>
    <xf numFmtId="0" fontId="8" fillId="4" borderId="5" xfId="0" quotePrefix="1" applyFont="1" applyFill="1" applyBorder="1" applyAlignment="1" applyProtection="1">
      <alignment horizontal="center"/>
    </xf>
    <xf numFmtId="0" fontId="9" fillId="4" borderId="13" xfId="0" quotePrefix="1" applyFont="1" applyFill="1" applyBorder="1" applyAlignment="1" applyProtection="1">
      <alignment horizontal="center"/>
      <protection locked="0"/>
    </xf>
    <xf numFmtId="0" fontId="9" fillId="4" borderId="14" xfId="0" quotePrefix="1" applyFont="1" applyFill="1" applyBorder="1" applyAlignment="1" applyProtection="1">
      <alignment horizontal="center"/>
      <protection locked="0"/>
    </xf>
    <xf numFmtId="0" fontId="7" fillId="0" borderId="15" xfId="0" quotePrefix="1" applyFont="1" applyBorder="1" applyAlignment="1" applyProtection="1">
      <alignment horizontal="center"/>
      <protection locked="0"/>
    </xf>
    <xf numFmtId="0" fontId="7" fillId="0" borderId="16" xfId="0" quotePrefix="1" applyFont="1" applyBorder="1" applyAlignment="1" applyProtection="1">
      <alignment horizontal="center"/>
      <protection locked="0"/>
    </xf>
    <xf numFmtId="0" fontId="7" fillId="0" borderId="17" xfId="0" quotePrefix="1" applyFont="1" applyBorder="1" applyAlignment="1" applyProtection="1">
      <alignment horizontal="center"/>
      <protection locked="0"/>
    </xf>
    <xf numFmtId="164" fontId="8" fillId="2" borderId="7" xfId="1" quotePrefix="1" applyFont="1" applyFill="1" applyBorder="1" applyAlignment="1" applyProtection="1">
      <alignment horizontal="center"/>
    </xf>
    <xf numFmtId="0" fontId="8" fillId="2" borderId="7" xfId="0" quotePrefix="1" applyFont="1" applyFill="1" applyBorder="1" applyAlignment="1" applyProtection="1">
      <alignment horizontal="center"/>
    </xf>
    <xf numFmtId="164" fontId="9" fillId="4" borderId="31" xfId="1" quotePrefix="1" applyFont="1" applyFill="1" applyBorder="1" applyAlignment="1" applyProtection="1">
      <alignment horizontal="center"/>
      <protection locked="0"/>
    </xf>
    <xf numFmtId="164" fontId="9" fillId="4" borderId="29" xfId="1" quotePrefix="1" applyFont="1" applyFill="1" applyBorder="1" applyAlignment="1" applyProtection="1">
      <alignment horizontal="center"/>
      <protection locked="0"/>
    </xf>
    <xf numFmtId="0" fontId="7" fillId="0" borderId="26" xfId="0" quotePrefix="1" applyFont="1" applyBorder="1" applyAlignment="1" applyProtection="1">
      <alignment horizontal="center"/>
      <protection locked="0"/>
    </xf>
    <xf numFmtId="0" fontId="7" fillId="0" borderId="27" xfId="0" quotePrefix="1" applyFont="1" applyBorder="1" applyAlignment="1" applyProtection="1">
      <alignment horizontal="center"/>
      <protection locked="0"/>
    </xf>
    <xf numFmtId="0" fontId="7" fillId="0" borderId="27" xfId="0" applyFont="1" applyBorder="1" applyAlignment="1">
      <alignment horizontal="center"/>
    </xf>
    <xf numFmtId="0" fontId="7" fillId="0" borderId="32" xfId="0" applyFont="1" applyBorder="1" applyAlignment="1">
      <alignment horizontal="center"/>
    </xf>
    <xf numFmtId="164" fontId="9" fillId="4" borderId="33" xfId="1" quotePrefix="1" applyFont="1" applyFill="1" applyBorder="1" applyAlignment="1" applyProtection="1">
      <alignment horizontal="center"/>
      <protection locked="0"/>
    </xf>
    <xf numFmtId="164" fontId="9" fillId="4" borderId="30" xfId="1" quotePrefix="1" applyFont="1" applyFill="1" applyBorder="1" applyAlignment="1" applyProtection="1">
      <alignment horizontal="center"/>
      <protection locked="0"/>
    </xf>
    <xf numFmtId="0" fontId="7" fillId="0" borderId="28" xfId="0" quotePrefix="1" applyFont="1" applyBorder="1" applyAlignment="1" applyProtection="1">
      <alignment horizontal="center"/>
      <protection locked="0"/>
    </xf>
    <xf numFmtId="0" fontId="7" fillId="0" borderId="1" xfId="0" quotePrefix="1" applyFont="1" applyBorder="1" applyAlignment="1" applyProtection="1">
      <alignment horizontal="center"/>
      <protection locked="0"/>
    </xf>
    <xf numFmtId="0" fontId="7" fillId="0" borderId="1" xfId="0" applyFont="1" applyBorder="1" applyAlignment="1">
      <alignment horizontal="center"/>
    </xf>
    <xf numFmtId="0" fontId="7" fillId="0" borderId="34" xfId="0" applyFont="1" applyBorder="1" applyAlignment="1">
      <alignment horizontal="center"/>
    </xf>
    <xf numFmtId="0" fontId="7" fillId="0" borderId="34" xfId="0" quotePrefix="1" applyFont="1" applyBorder="1" applyAlignment="1" applyProtection="1">
      <alignment horizontal="center"/>
      <protection locked="0"/>
    </xf>
    <xf numFmtId="164" fontId="9" fillId="4" borderId="35" xfId="1" quotePrefix="1" applyFont="1" applyFill="1" applyBorder="1" applyAlignment="1" applyProtection="1">
      <alignment horizontal="center"/>
      <protection locked="0"/>
    </xf>
    <xf numFmtId="164" fontId="9" fillId="4" borderId="36" xfId="1" quotePrefix="1" applyFont="1" applyFill="1" applyBorder="1" applyAlignment="1" applyProtection="1">
      <alignment horizontal="center"/>
      <protection locked="0"/>
    </xf>
    <xf numFmtId="0" fontId="7" fillId="0" borderId="37" xfId="0" quotePrefix="1" applyFont="1" applyBorder="1" applyAlignment="1" applyProtection="1">
      <alignment horizontal="center"/>
      <protection locked="0"/>
    </xf>
    <xf numFmtId="0" fontId="7" fillId="0" borderId="38" xfId="0" quotePrefix="1" applyFont="1" applyBorder="1" applyAlignment="1" applyProtection="1">
      <alignment horizontal="center"/>
      <protection locked="0"/>
    </xf>
    <xf numFmtId="0" fontId="7" fillId="0" borderId="38" xfId="0" applyFont="1" applyBorder="1" applyAlignment="1">
      <alignment horizontal="center"/>
    </xf>
    <xf numFmtId="0" fontId="7" fillId="0" borderId="39" xfId="0" applyFont="1" applyBorder="1" applyAlignment="1">
      <alignment horizontal="center"/>
    </xf>
    <xf numFmtId="0" fontId="8" fillId="2" borderId="42" xfId="0" quotePrefix="1" applyFont="1" applyFill="1" applyBorder="1" applyAlignment="1" applyProtection="1">
      <alignment horizontal="center"/>
    </xf>
    <xf numFmtId="0" fontId="8" fillId="2" borderId="43" xfId="0" quotePrefix="1" applyFont="1" applyFill="1" applyBorder="1" applyAlignment="1" applyProtection="1">
      <alignment horizontal="center"/>
    </xf>
    <xf numFmtId="0" fontId="8" fillId="2" borderId="44" xfId="0" quotePrefix="1" applyFont="1" applyFill="1" applyBorder="1" applyAlignment="1" applyProtection="1">
      <alignment horizontal="center"/>
    </xf>
    <xf numFmtId="0" fontId="8" fillId="2" borderId="45" xfId="0" quotePrefix="1" applyFont="1" applyFill="1" applyBorder="1" applyAlignment="1" applyProtection="1">
      <alignment horizontal="center"/>
    </xf>
    <xf numFmtId="0" fontId="8" fillId="2" borderId="41" xfId="0" quotePrefix="1" applyFont="1" applyFill="1" applyBorder="1" applyAlignment="1" applyProtection="1">
      <alignment horizontal="center"/>
    </xf>
    <xf numFmtId="0" fontId="8" fillId="2" borderId="50" xfId="0" quotePrefix="1" applyFont="1" applyFill="1" applyBorder="1" applyAlignment="1" applyProtection="1">
      <alignment horizontal="center"/>
    </xf>
    <xf numFmtId="0" fontId="9" fillId="4" borderId="46" xfId="0" quotePrefix="1" applyFont="1" applyFill="1" applyBorder="1" applyAlignment="1" applyProtection="1">
      <alignment horizontal="center"/>
      <protection locked="0"/>
    </xf>
    <xf numFmtId="0" fontId="9" fillId="4" borderId="12" xfId="0" quotePrefix="1" applyFont="1" applyFill="1" applyBorder="1" applyAlignment="1" applyProtection="1">
      <alignment horizontal="center"/>
      <protection locked="0"/>
    </xf>
    <xf numFmtId="2" fontId="7" fillId="3" borderId="11" xfId="0" quotePrefix="1" applyNumberFormat="1" applyFont="1" applyFill="1" applyBorder="1" applyAlignment="1" applyProtection="1">
      <alignment horizontal="center"/>
      <protection locked="0"/>
    </xf>
    <xf numFmtId="2" fontId="7" fillId="3" borderId="8" xfId="0" quotePrefix="1" applyNumberFormat="1" applyFont="1" applyFill="1" applyBorder="1" applyAlignment="1" applyProtection="1">
      <alignment horizontal="center"/>
      <protection locked="0"/>
    </xf>
    <xf numFmtId="0" fontId="7" fillId="0" borderId="49" xfId="0" quotePrefix="1" applyFont="1" applyBorder="1" applyAlignment="1" applyProtection="1">
      <alignment horizontal="center"/>
      <protection locked="0"/>
    </xf>
    <xf numFmtId="0" fontId="7" fillId="0" borderId="11" xfId="0" quotePrefix="1" applyFont="1" applyBorder="1" applyAlignment="1" applyProtection="1">
      <alignment horizontal="center"/>
      <protection locked="0"/>
    </xf>
    <xf numFmtId="0" fontId="9" fillId="4" borderId="47" xfId="0" quotePrefix="1" applyFont="1" applyFill="1" applyBorder="1" applyAlignment="1" applyProtection="1">
      <alignment horizontal="center"/>
      <protection locked="0"/>
    </xf>
    <xf numFmtId="0" fontId="9" fillId="4" borderId="30" xfId="0" quotePrefix="1" applyFont="1" applyFill="1" applyBorder="1" applyAlignment="1" applyProtection="1">
      <alignment horizontal="center"/>
      <protection locked="0"/>
    </xf>
    <xf numFmtId="2" fontId="7" fillId="3" borderId="40" xfId="0" quotePrefix="1" applyNumberFormat="1" applyFont="1" applyFill="1" applyBorder="1" applyAlignment="1" applyProtection="1">
      <alignment horizontal="center"/>
      <protection locked="0"/>
    </xf>
    <xf numFmtId="2" fontId="7" fillId="3" borderId="1" xfId="0" quotePrefix="1" applyNumberFormat="1" applyFont="1" applyFill="1" applyBorder="1" applyAlignment="1" applyProtection="1">
      <alignment horizontal="center"/>
      <protection locked="0"/>
    </xf>
    <xf numFmtId="0" fontId="7" fillId="0" borderId="48" xfId="0" quotePrefix="1" applyFont="1" applyBorder="1" applyAlignment="1" applyProtection="1">
      <alignment horizontal="center"/>
      <protection locked="0"/>
    </xf>
    <xf numFmtId="0" fontId="7" fillId="0" borderId="40" xfId="0" quotePrefix="1" applyFont="1" applyBorder="1" applyAlignment="1" applyProtection="1">
      <alignment horizontal="center"/>
      <protection locked="0"/>
    </xf>
    <xf numFmtId="0" fontId="8" fillId="2" borderId="7" xfId="0" quotePrefix="1" applyFont="1" applyFill="1" applyBorder="1" applyAlignment="1" applyProtection="1">
      <alignment horizontal="left" indent="1"/>
    </xf>
    <xf numFmtId="0" fontId="8" fillId="2" borderId="7" xfId="0" quotePrefix="1" applyFont="1" applyFill="1" applyBorder="1" applyAlignment="1" applyProtection="1">
      <alignment horizontal="right" indent="1"/>
    </xf>
    <xf numFmtId="0" fontId="9" fillId="4" borderId="54" xfId="0" quotePrefix="1" applyFont="1" applyFill="1" applyBorder="1" applyAlignment="1" applyProtection="1">
      <alignment horizontal="left" indent="1"/>
      <protection locked="0"/>
    </xf>
    <xf numFmtId="0" fontId="9" fillId="4" borderId="52" xfId="0" quotePrefix="1" applyFont="1" applyFill="1" applyBorder="1" applyAlignment="1" applyProtection="1">
      <alignment horizontal="left" indent="1"/>
      <protection locked="0"/>
    </xf>
    <xf numFmtId="0" fontId="7" fillId="0" borderId="53" xfId="0" quotePrefix="1" applyFont="1" applyBorder="1" applyAlignment="1" applyProtection="1">
      <alignment horizontal="right" indent="1"/>
      <protection locked="0"/>
    </xf>
    <xf numFmtId="0" fontId="7" fillId="0" borderId="11" xfId="0" quotePrefix="1" applyFont="1" applyBorder="1" applyAlignment="1" applyProtection="1">
      <alignment horizontal="right" indent="1"/>
      <protection locked="0"/>
    </xf>
    <xf numFmtId="0" fontId="7" fillId="0" borderId="49" xfId="0" quotePrefix="1" applyFont="1" applyBorder="1" applyAlignment="1" applyProtection="1">
      <alignment horizontal="right" indent="1"/>
      <protection locked="0"/>
    </xf>
    <xf numFmtId="0" fontId="7" fillId="0" borderId="55" xfId="0" quotePrefix="1" applyFont="1" applyBorder="1" applyAlignment="1" applyProtection="1">
      <alignment horizontal="right" indent="1"/>
      <protection locked="0"/>
    </xf>
    <xf numFmtId="0" fontId="9" fillId="4" borderId="56" xfId="0" quotePrefix="1" applyFont="1" applyFill="1" applyBorder="1" applyAlignment="1" applyProtection="1">
      <alignment horizontal="left" indent="1"/>
      <protection locked="0"/>
    </xf>
    <xf numFmtId="0" fontId="9" fillId="4" borderId="9" xfId="0" quotePrefix="1" applyFont="1" applyFill="1" applyBorder="1" applyAlignment="1" applyProtection="1">
      <alignment horizontal="left" indent="1"/>
      <protection locked="0"/>
    </xf>
    <xf numFmtId="0" fontId="7" fillId="0" borderId="51" xfId="0" quotePrefix="1" applyFont="1" applyBorder="1" applyAlignment="1" applyProtection="1">
      <alignment horizontal="right" indent="1"/>
      <protection locked="0"/>
    </xf>
    <xf numFmtId="0" fontId="7" fillId="0" borderId="40" xfId="0" quotePrefix="1" applyFont="1" applyBorder="1" applyAlignment="1" applyProtection="1">
      <alignment horizontal="right" indent="1"/>
      <protection locked="0"/>
    </xf>
    <xf numFmtId="0" fontId="7" fillId="0" borderId="48" xfId="0" quotePrefix="1" applyFont="1" applyBorder="1" applyAlignment="1" applyProtection="1">
      <alignment horizontal="right" indent="1"/>
      <protection locked="0"/>
    </xf>
    <xf numFmtId="0" fontId="7" fillId="0" borderId="57" xfId="0" quotePrefix="1" applyFont="1" applyBorder="1" applyAlignment="1" applyProtection="1">
      <alignment horizontal="right" indent="1"/>
      <protection locked="0"/>
    </xf>
    <xf numFmtId="0" fontId="9" fillId="4" borderId="58" xfId="0" quotePrefix="1" applyFont="1" applyFill="1" applyBorder="1" applyAlignment="1" applyProtection="1">
      <alignment horizontal="left" indent="1"/>
      <protection locked="0"/>
    </xf>
    <xf numFmtId="0" fontId="9" fillId="4" borderId="59" xfId="0" quotePrefix="1" applyFont="1" applyFill="1" applyBorder="1" applyAlignment="1" applyProtection="1">
      <alignment horizontal="left" indent="1"/>
      <protection locked="0"/>
    </xf>
    <xf numFmtId="0" fontId="7" fillId="0" borderId="60" xfId="0" quotePrefix="1" applyFont="1" applyBorder="1" applyAlignment="1" applyProtection="1">
      <alignment horizontal="right" indent="1"/>
      <protection locked="0"/>
    </xf>
    <xf numFmtId="0" fontId="7" fillId="0" borderId="61" xfId="0" quotePrefix="1" applyFont="1" applyBorder="1" applyAlignment="1" applyProtection="1">
      <alignment horizontal="right" indent="1"/>
      <protection locked="0"/>
    </xf>
    <xf numFmtId="0" fontId="7" fillId="0" borderId="62" xfId="0" quotePrefix="1" applyFont="1" applyBorder="1" applyAlignment="1" applyProtection="1">
      <alignment horizontal="right" indent="1"/>
      <protection locked="0"/>
    </xf>
    <xf numFmtId="0" fontId="7" fillId="0" borderId="63" xfId="0" quotePrefix="1" applyFont="1" applyBorder="1" applyAlignment="1" applyProtection="1">
      <alignment horizontal="right" indent="1"/>
      <protection locked="0"/>
    </xf>
    <xf numFmtId="0" fontId="10" fillId="0" borderId="64" xfId="0" applyFont="1" applyBorder="1" applyAlignment="1">
      <alignment horizontal="center"/>
    </xf>
    <xf numFmtId="0" fontId="10" fillId="0" borderId="65" xfId="0" applyFont="1" applyBorder="1"/>
    <xf numFmtId="0" fontId="10" fillId="0" borderId="66" xfId="0" applyFont="1" applyBorder="1"/>
    <xf numFmtId="0" fontId="10" fillId="0" borderId="0" xfId="0" applyFont="1"/>
    <xf numFmtId="0" fontId="10" fillId="0" borderId="10" xfId="0" applyFont="1" applyBorder="1" applyAlignment="1">
      <alignment horizontal="center"/>
    </xf>
    <xf numFmtId="0" fontId="10" fillId="0" borderId="0" xfId="0" applyFont="1" applyBorder="1" applyAlignment="1">
      <alignment horizontal="left"/>
    </xf>
    <xf numFmtId="0" fontId="10" fillId="0" borderId="67" xfId="0" applyFont="1" applyBorder="1"/>
    <xf numFmtId="0" fontId="11" fillId="0" borderId="0" xfId="0" applyFont="1" applyBorder="1" applyAlignment="1">
      <alignment horizontal="center"/>
    </xf>
    <xf numFmtId="0" fontId="10" fillId="0" borderId="0" xfId="0" applyFont="1" applyBorder="1"/>
    <xf numFmtId="0" fontId="10" fillId="0" borderId="68" xfId="0" applyFont="1" applyBorder="1" applyAlignment="1">
      <alignment horizontal="center"/>
    </xf>
    <xf numFmtId="0" fontId="10" fillId="0" borderId="69" xfId="0" applyFont="1" applyBorder="1"/>
    <xf numFmtId="0" fontId="10" fillId="0" borderId="70" xfId="0" applyFont="1" applyBorder="1"/>
    <xf numFmtId="0" fontId="13" fillId="6" borderId="0" xfId="0" applyFont="1" applyFill="1" applyBorder="1" applyAlignment="1">
      <alignment horizontal="left" indent="1"/>
    </xf>
    <xf numFmtId="0" fontId="14" fillId="0" borderId="0" xfId="0" applyFont="1" applyBorder="1" applyAlignment="1">
      <alignment horizontal="right" indent="1"/>
    </xf>
    <xf numFmtId="0" fontId="10" fillId="0" borderId="0" xfId="0" applyFont="1" applyBorder="1" applyAlignment="1">
      <alignment horizontal="left"/>
    </xf>
    <xf numFmtId="0" fontId="14" fillId="0" borderId="0" xfId="0" applyFont="1" applyBorder="1" applyAlignment="1"/>
    <xf numFmtId="0" fontId="14" fillId="0" borderId="18" xfId="0" applyFont="1" applyBorder="1" applyAlignment="1">
      <alignment horizontal="left"/>
    </xf>
    <xf numFmtId="0" fontId="14" fillId="0" borderId="19" xfId="0" applyFont="1" applyBorder="1" applyAlignment="1">
      <alignment horizontal="left"/>
    </xf>
    <xf numFmtId="0" fontId="14" fillId="0" borderId="20" xfId="0" applyFont="1" applyBorder="1" applyAlignment="1">
      <alignment horizontal="left"/>
    </xf>
    <xf numFmtId="0" fontId="16" fillId="0" borderId="21" xfId="0" applyFont="1" applyBorder="1" applyAlignment="1">
      <alignment horizontal="center"/>
    </xf>
    <xf numFmtId="0" fontId="10" fillId="0" borderId="22" xfId="0" applyFont="1" applyBorder="1" applyAlignment="1">
      <alignment horizontal="left"/>
    </xf>
    <xf numFmtId="0" fontId="10" fillId="0" borderId="0" xfId="0" applyFont="1" applyBorder="1" applyAlignment="1"/>
    <xf numFmtId="0" fontId="10" fillId="0" borderId="21" xfId="0" applyFont="1" applyBorder="1"/>
    <xf numFmtId="0" fontId="10" fillId="0" borderId="23" xfId="0" applyFont="1" applyBorder="1"/>
    <xf numFmtId="0" fontId="10" fillId="0" borderId="24" xfId="0" applyFont="1" applyBorder="1" applyAlignment="1">
      <alignment horizontal="left"/>
    </xf>
    <xf numFmtId="0" fontId="10" fillId="0" borderId="25" xfId="0" applyFont="1" applyBorder="1" applyAlignment="1">
      <alignment horizontal="left"/>
    </xf>
    <xf numFmtId="0" fontId="12" fillId="0" borderId="0" xfId="0" applyFont="1" applyBorder="1" applyAlignment="1">
      <alignment horizontal="left"/>
    </xf>
    <xf numFmtId="0" fontId="10" fillId="0" borderId="0" xfId="0" applyFont="1" applyBorder="1" applyAlignment="1">
      <alignment horizontal="center"/>
    </xf>
    <xf numFmtId="0" fontId="10" fillId="0" borderId="0" xfId="0" applyFont="1" applyBorder="1" applyAlignment="1">
      <alignment horizontal="center"/>
    </xf>
    <xf numFmtId="0" fontId="10" fillId="0" borderId="0" xfId="0" applyFont="1" applyBorder="1" applyAlignment="1">
      <alignment horizontal="left" vertical="top" wrapText="1"/>
    </xf>
    <xf numFmtId="0" fontId="10" fillId="0" borderId="67" xfId="0" applyFont="1" applyBorder="1" applyAlignment="1">
      <alignment horizontal="left"/>
    </xf>
    <xf numFmtId="0" fontId="13" fillId="5" borderId="0" xfId="0" applyFont="1" applyFill="1" applyBorder="1" applyAlignment="1">
      <alignment horizontal="left" indent="1"/>
    </xf>
    <xf numFmtId="49" fontId="3" fillId="0" borderId="8" xfId="0" quotePrefix="1" applyNumberFormat="1" applyFont="1" applyBorder="1" applyAlignment="1" applyProtection="1">
      <alignment horizontal="left" indent="1"/>
      <protection locked="0"/>
    </xf>
    <xf numFmtId="2" fontId="3" fillId="0" borderId="1" xfId="0" quotePrefix="1" applyNumberFormat="1" applyFont="1" applyBorder="1" applyAlignment="1" applyProtection="1">
      <alignment horizontal="right" indent="1"/>
      <protection locked="0"/>
    </xf>
  </cellXfs>
  <cellStyles count="6">
    <cellStyle name="Hipervínculo" xfId="2" builtinId="8" hidden="1"/>
    <cellStyle name="Hipervínculo" xfId="4" builtinId="8" hidden="1"/>
    <cellStyle name="Hipervínculo visitado" xfId="3" builtinId="9" hidden="1"/>
    <cellStyle name="Hipervínculo visitado" xfId="5" builtinId="9" hidden="1"/>
    <cellStyle name="Millares" xfId="1" builtinId="3"/>
    <cellStyle name="Normal" xfId="0" builtinId="0"/>
  </cellStyles>
  <dxfs count="0"/>
  <tableStyles count="0" defaultTableStyle="TableStyleMedium2" defaultPivotStyle="PivotStyleLight16"/>
  <colors>
    <mruColors>
      <color rgb="FF235725"/>
      <color rgb="FF235685"/>
      <color rgb="FF1F4E78"/>
      <color rgb="FFFFD243"/>
      <color rgb="FFFFF7E1"/>
      <color rgb="FFFFFAEB"/>
      <color rgb="FF255D8F"/>
      <color rgb="FF546882"/>
      <color rgb="FF8496AE"/>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368300</xdr:colOff>
          <xdr:row>3</xdr:row>
          <xdr:rowOff>711200</xdr:rowOff>
        </xdr:from>
        <xdr:to>
          <xdr:col>5</xdr:col>
          <xdr:colOff>330200</xdr:colOff>
          <xdr:row>3</xdr:row>
          <xdr:rowOff>1168400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0" i="0" u="none" strike="noStrike" baseline="0">
                  <a:solidFill>
                    <a:srgbClr val="000000"/>
                  </a:solidFill>
                  <a:latin typeface="Calibri"/>
                  <a:ea typeface="Calibri"/>
                  <a:cs typeface="Calibri"/>
                </a:rPr>
                <a:t>SUE String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368300</xdr:colOff>
          <xdr:row>1</xdr:row>
          <xdr:rowOff>711200</xdr:rowOff>
        </xdr:from>
        <xdr:to>
          <xdr:col>5</xdr:col>
          <xdr:colOff>330200</xdr:colOff>
          <xdr:row>1</xdr:row>
          <xdr:rowOff>1168400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0" i="0" u="none" strike="noStrike" baseline="0">
                  <a:solidFill>
                    <a:srgbClr val="000000"/>
                  </a:solidFill>
                  <a:latin typeface="Calibri"/>
                  <a:ea typeface="Calibri"/>
                  <a:cs typeface="Calibri"/>
                </a:rPr>
                <a:t>Graph String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203200</xdr:colOff>
          <xdr:row>9</xdr:row>
          <xdr:rowOff>165100</xdr:rowOff>
        </xdr:from>
        <xdr:to>
          <xdr:col>9</xdr:col>
          <xdr:colOff>0</xdr:colOff>
          <xdr:row>12</xdr:row>
          <xdr:rowOff>38100</xdr:rowOff>
        </xdr:to>
        <xdr:sp macro="" textlink="">
          <xdr:nvSpPr>
            <xdr:cNvPr id="24579" name="Button 3" hidden="1">
              <a:extLst>
                <a:ext uri="{63B3BB69-23CF-44E3-9099-C40C66FF867C}">
                  <a14:compatExt spid="_x0000_s245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0" i="0" u="none" strike="noStrike" baseline="0">
                  <a:solidFill>
                    <a:srgbClr val="000000"/>
                  </a:solidFill>
                  <a:latin typeface="Calibri"/>
                  <a:ea typeface="Calibri"/>
                  <a:cs typeface="Calibri"/>
                </a:rPr>
                <a:t>Check Arc &amp; Path &amp; 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25400</xdr:colOff>
          <xdr:row>23</xdr:row>
          <xdr:rowOff>50800</xdr:rowOff>
        </xdr:from>
        <xdr:to>
          <xdr:col>9</xdr:col>
          <xdr:colOff>63500</xdr:colOff>
          <xdr:row>24</xdr:row>
          <xdr:rowOff>177800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0" i="0" u="none" strike="noStrike" baseline="0">
                  <a:solidFill>
                    <a:srgbClr val="000000"/>
                  </a:solidFill>
                  <a:latin typeface="Calibri"/>
                  <a:ea typeface="Calibri"/>
                  <a:cs typeface="Calibri"/>
                </a:rPr>
                <a:t>CLEAR</a:t>
              </a:r>
            </a:p>
          </xdr:txBody>
        </xdr:sp>
        <xdr:clientData fLocksWithSheet="0"/>
      </xdr:twoCellAnchor>
    </mc:Choice>
    <mc:Fallback/>
  </mc:AlternateContent>
  <xdr:twoCellAnchor editAs="oneCell">
    <xdr:from>
      <xdr:col>3</xdr:col>
      <xdr:colOff>47624</xdr:colOff>
      <xdr:row>46</xdr:row>
      <xdr:rowOff>9526</xdr:rowOff>
    </xdr:from>
    <xdr:to>
      <xdr:col>37</xdr:col>
      <xdr:colOff>266699</xdr:colOff>
      <xdr:row>55</xdr:row>
      <xdr:rowOff>0</xdr:rowOff>
    </xdr:to>
    <mc:AlternateContent xmlns:mc="http://schemas.openxmlformats.org/markup-compatibility/2006" xmlns:a14="http://schemas.microsoft.com/office/drawing/2010/main">
      <mc:Choice Requires="a14">
        <xdr:sp macro="" textlink="">
          <xdr:nvSpPr>
            <xdr:cNvPr id="4" name="TextBox 3"/>
            <xdr:cNvSpPr txBox="1"/>
          </xdr:nvSpPr>
          <xdr:spPr>
            <a:xfrm>
              <a:off x="885824" y="14043026"/>
              <a:ext cx="9718675" cy="2733674"/>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
                    <m:sSubPr>
                      <m:ctrlPr>
                        <a:rPr lang="en-SG" sz="1600" b="0" i="1">
                          <a:latin typeface="Cambria Math" charset="0"/>
                        </a:rPr>
                      </m:ctrlPr>
                    </m:sSubPr>
                    <m:e>
                      <m:r>
                        <a:rPr lang="en-SG" sz="1600" b="0" i="1">
                          <a:latin typeface="Cambria Math" panose="02040503050406030204" pitchFamily="18" charset="0"/>
                        </a:rPr>
                        <m:t>𝑓</m:t>
                      </m:r>
                    </m:e>
                    <m:sub>
                      <m:r>
                        <a:rPr lang="en-SG" sz="1600" b="0" i="1">
                          <a:latin typeface="Cambria Math" panose="02040503050406030204" pitchFamily="18" charset="0"/>
                        </a:rPr>
                        <m:t>𝑎</m:t>
                      </m:r>
                    </m:sub>
                  </m:sSub>
                </m:oMath>
              </a14:m>
              <a:r>
                <a:rPr lang="en-SG" sz="1600" b="0" i="0">
                  <a:latin typeface="Cambria Math" panose="02040503050406030204" pitchFamily="18" charset="0"/>
                </a:rPr>
                <a:t> : flow on link </a:t>
              </a:r>
              <a14:m>
                <m:oMath xmlns:m="http://schemas.openxmlformats.org/officeDocument/2006/math">
                  <m:r>
                    <m:rPr>
                      <m:sty m:val="p"/>
                    </m:rPr>
                    <a:rPr lang="en-SG" sz="1600" b="0" i="0">
                      <a:latin typeface="Cambria Math" panose="02040503050406030204" pitchFamily="18" charset="0"/>
                    </a:rPr>
                    <m:t>a</m:t>
                  </m:r>
                </m:oMath>
              </a14:m>
              <a:endParaRPr lang="en-SG" sz="1600" b="0" i="0">
                <a:latin typeface="Cambria Math" panose="02040503050406030204" pitchFamily="18" charset="0"/>
              </a:endParaRPr>
            </a:p>
            <a:p>
              <a:pPr algn="l">
                <a:lnSpc>
                  <a:spcPct val="200000"/>
                </a:lnSpc>
              </a:pPr>
              <a14:m>
                <m:oMath xmlns:m="http://schemas.openxmlformats.org/officeDocument/2006/math">
                  <m:sSubSup>
                    <m:sSubSupPr>
                      <m:ctrlPr>
                        <a:rPr lang="en-SG" sz="1600" b="0" i="1">
                          <a:latin typeface="Cambria Math" charset="0"/>
                        </a:rPr>
                      </m:ctrlPr>
                    </m:sSubSupPr>
                    <m:e>
                      <m:r>
                        <a:rPr lang="en-SG" sz="1600" b="0" i="1">
                          <a:latin typeface="Cambria Math" panose="02040503050406030204" pitchFamily="18" charset="0"/>
                        </a:rPr>
                        <m:t>𝜏</m:t>
                      </m:r>
                    </m:e>
                    <m:sub>
                      <m:r>
                        <a:rPr lang="en-SG" sz="1600" b="0" i="1">
                          <a:latin typeface="Cambria Math" panose="02040503050406030204" pitchFamily="18" charset="0"/>
                        </a:rPr>
                        <m:t>𝑎</m:t>
                      </m:r>
                    </m:sub>
                    <m:sup>
                      <m:r>
                        <a:rPr lang="en-SG" sz="1600" b="0" i="1">
                          <a:latin typeface="Cambria Math" panose="02040503050406030204" pitchFamily="18" charset="0"/>
                        </a:rPr>
                        <m:t>+</m:t>
                      </m:r>
                    </m:sup>
                  </m:sSubSup>
                  <m:r>
                    <a:rPr lang="en-SG" sz="1600" b="0" i="1">
                      <a:latin typeface="Cambria Math" panose="02040503050406030204" pitchFamily="18" charset="0"/>
                    </a:rPr>
                    <m:t>(</m:t>
                  </m:r>
                  <m:sSub>
                    <m:sSubPr>
                      <m:ctrlPr>
                        <a:rPr lang="en-SG" sz="1600" b="0" i="1">
                          <a:latin typeface="Cambria Math" charset="0"/>
                        </a:rPr>
                      </m:ctrlPr>
                    </m:sSubPr>
                    <m:e>
                      <m:r>
                        <a:rPr lang="en-SG" sz="1600" b="0" i="1">
                          <a:latin typeface="Cambria Math" panose="02040503050406030204" pitchFamily="18" charset="0"/>
                        </a:rPr>
                        <m:t>𝑓</m:t>
                      </m:r>
                    </m:e>
                    <m:sub>
                      <m:r>
                        <a:rPr lang="en-SG" sz="1600" b="0" i="1">
                          <a:latin typeface="Cambria Math" panose="02040503050406030204" pitchFamily="18" charset="0"/>
                        </a:rPr>
                        <m:t>𝑎</m:t>
                      </m:r>
                    </m:sub>
                  </m:sSub>
                  <m:r>
                    <a:rPr lang="en-SG" sz="1600" b="0" i="1">
                      <a:latin typeface="Cambria Math" panose="02040503050406030204" pitchFamily="18" charset="0"/>
                    </a:rPr>
                    <m:t>)</m:t>
                  </m:r>
                </m:oMath>
              </a14:m>
              <a:r>
                <a:rPr lang="en-SG" sz="1600" b="0" i="0">
                  <a:latin typeface="Cambria Math" panose="02040503050406030204" pitchFamily="18" charset="0"/>
                </a:rPr>
                <a:t>: generalized travel</a:t>
              </a:r>
              <a:r>
                <a:rPr lang="en-SG" sz="1600" b="0" i="0" baseline="0">
                  <a:latin typeface="Cambria Math" panose="02040503050406030204" pitchFamily="18" charset="0"/>
                </a:rPr>
                <a:t> cost of link </a:t>
              </a:r>
              <a14:m>
                <m:oMath xmlns:m="http://schemas.openxmlformats.org/officeDocument/2006/math">
                  <m:r>
                    <m:rPr>
                      <m:sty m:val="p"/>
                    </m:rPr>
                    <a:rPr lang="en-SG" sz="1600" b="0" i="0" baseline="0">
                      <a:latin typeface="Cambria Math" panose="02040503050406030204" pitchFamily="18" charset="0"/>
                    </a:rPr>
                    <m:t>a</m:t>
                  </m:r>
                </m:oMath>
              </a14:m>
              <a:r>
                <a:rPr lang="en-SG" sz="1600" b="0" i="0">
                  <a:latin typeface="Cambria Math" panose="02040503050406030204" pitchFamily="18" charset="0"/>
                </a:rPr>
                <a:t> given the link flow </a:t>
              </a:r>
              <a14:m>
                <m:oMath xmlns:m="http://schemas.openxmlformats.org/officeDocument/2006/math">
                  <m:sSub>
                    <m:sSubPr>
                      <m:ctrlPr>
                        <a:rPr lang="en-SG" sz="1600" b="0" i="1">
                          <a:latin typeface="Cambria Math" charset="0"/>
                        </a:rPr>
                      </m:ctrlPr>
                    </m:sSubPr>
                    <m:e>
                      <m:r>
                        <m:rPr>
                          <m:sty m:val="p"/>
                        </m:rPr>
                        <a:rPr lang="en-SG" sz="1600" b="0" i="0">
                          <a:latin typeface="Cambria Math" panose="02040503050406030204" pitchFamily="18" charset="0"/>
                        </a:rPr>
                        <m:t>f</m:t>
                      </m:r>
                    </m:e>
                    <m:sub>
                      <m:r>
                        <m:rPr>
                          <m:sty m:val="p"/>
                        </m:rPr>
                        <a:rPr lang="en-SG" sz="1600" b="0" i="0">
                          <a:latin typeface="Cambria Math" panose="02040503050406030204" pitchFamily="18" charset="0"/>
                        </a:rPr>
                        <m:t>a</m:t>
                      </m:r>
                    </m:sub>
                  </m:sSub>
                </m:oMath>
              </a14:m>
              <a:endParaRPr lang="en-SG" sz="1600" b="0" i="0">
                <a:latin typeface="Cambria Math" panose="02040503050406030204" pitchFamily="18" charset="0"/>
              </a:endParaRPr>
            </a:p>
            <a:p>
              <a:pPr lvl="1" algn="l">
                <a:lnSpc>
                  <a:spcPct val="200000"/>
                </a:lnSpc>
              </a:pPr>
              <a14:m>
                <m:oMathPara xmlns:m="http://schemas.openxmlformats.org/officeDocument/2006/math">
                  <m:oMathParaPr>
                    <m:jc m:val="left"/>
                  </m:oMathParaPr>
                  <m:oMath xmlns:m="http://schemas.openxmlformats.org/officeDocument/2006/math">
                    <m:sSubSup>
                      <m:sSubSupPr>
                        <m:ctrlPr>
                          <a:rPr lang="en-SG" sz="1600" b="0" i="1">
                            <a:latin typeface="Cambria Math" charset="0"/>
                          </a:rPr>
                        </m:ctrlPr>
                      </m:sSubSupPr>
                      <m:e>
                        <m:r>
                          <a:rPr lang="en-SG" sz="1600" b="0" i="1">
                            <a:latin typeface="Cambria Math" panose="02040503050406030204" pitchFamily="18" charset="0"/>
                          </a:rPr>
                          <m:t>𝜏</m:t>
                        </m:r>
                      </m:e>
                      <m:sub>
                        <m:r>
                          <a:rPr lang="en-SG" sz="1600" b="0" i="1">
                            <a:latin typeface="Cambria Math" panose="02040503050406030204" pitchFamily="18" charset="0"/>
                          </a:rPr>
                          <m:t>𝑎</m:t>
                        </m:r>
                      </m:sub>
                      <m:sup>
                        <m:r>
                          <a:rPr lang="en-SG" sz="1600" b="0" i="1">
                            <a:latin typeface="Cambria Math" panose="02040503050406030204" pitchFamily="18" charset="0"/>
                          </a:rPr>
                          <m:t>+</m:t>
                        </m:r>
                      </m:sup>
                    </m:sSubSup>
                    <m:d>
                      <m:dPr>
                        <m:ctrlPr>
                          <a:rPr lang="en-SG" sz="1600" b="0" i="1">
                            <a:latin typeface="Cambria Math" charset="0"/>
                          </a:rPr>
                        </m:ctrlPr>
                      </m:dPr>
                      <m:e>
                        <m:sSub>
                          <m:sSubPr>
                            <m:ctrlPr>
                              <a:rPr lang="en-SG" sz="1600" b="0" i="1">
                                <a:latin typeface="Cambria Math" charset="0"/>
                              </a:rPr>
                            </m:ctrlPr>
                          </m:sSubPr>
                          <m:e>
                            <m:r>
                              <a:rPr lang="en-SG" sz="1600" b="0" i="1">
                                <a:latin typeface="Cambria Math" panose="02040503050406030204" pitchFamily="18" charset="0"/>
                              </a:rPr>
                              <m:t>𝑓</m:t>
                            </m:r>
                          </m:e>
                          <m:sub>
                            <m:r>
                              <a:rPr lang="en-SG" sz="1600" b="0" i="1">
                                <a:latin typeface="Cambria Math" panose="02040503050406030204" pitchFamily="18" charset="0"/>
                              </a:rPr>
                              <m:t>𝑎</m:t>
                            </m:r>
                          </m:sub>
                        </m:sSub>
                      </m:e>
                    </m:d>
                    <m:r>
                      <a:rPr lang="en-SG" sz="1600" b="0" i="1">
                        <a:latin typeface="Cambria Math" panose="02040503050406030204" pitchFamily="18" charset="0"/>
                      </a:rPr>
                      <m:t>=</m:t>
                    </m:r>
                    <m:r>
                      <a:rPr lang="en-SG" sz="1600" b="0" i="1">
                        <a:latin typeface="Cambria Math" panose="02040503050406030204" pitchFamily="18" charset="0"/>
                      </a:rPr>
                      <m:t>𝐹𝐹𝑇𝑇</m:t>
                    </m:r>
                    <m:r>
                      <a:rPr lang="en-SG" sz="1600" b="0" i="1">
                        <a:latin typeface="Cambria Math" panose="02040503050406030204" pitchFamily="18" charset="0"/>
                      </a:rPr>
                      <m:t>×</m:t>
                    </m:r>
                    <m:d>
                      <m:dPr>
                        <m:ctrlPr>
                          <a:rPr lang="en-SG" sz="1600" b="0" i="1">
                            <a:latin typeface="Cambria Math" charset="0"/>
                          </a:rPr>
                        </m:ctrlPr>
                      </m:dPr>
                      <m:e>
                        <m:r>
                          <a:rPr lang="en-SG" sz="1600" b="0" i="1">
                            <a:solidFill>
                              <a:schemeClr val="dk1"/>
                            </a:solidFill>
                            <a:effectLst/>
                            <a:latin typeface="Cambria Math" panose="02040503050406030204" pitchFamily="18" charset="0"/>
                            <a:ea typeface="+mn-ea"/>
                            <a:cs typeface="+mn-cs"/>
                          </a:rPr>
                          <m:t>1+</m:t>
                        </m:r>
                        <m:r>
                          <a:rPr lang="en-SG" sz="1600" b="0" i="1">
                            <a:solidFill>
                              <a:schemeClr val="dk1"/>
                            </a:solidFill>
                            <a:effectLst/>
                            <a:latin typeface="Cambria Math" panose="02040503050406030204" pitchFamily="18" charset="0"/>
                            <a:ea typeface="+mn-ea"/>
                            <a:cs typeface="+mn-cs"/>
                          </a:rPr>
                          <m:t>𝐵</m:t>
                        </m:r>
                        <m:r>
                          <a:rPr lang="en-SG" sz="1600" b="0" i="1">
                            <a:solidFill>
                              <a:schemeClr val="dk1"/>
                            </a:solidFill>
                            <a:effectLst/>
                            <a:latin typeface="Cambria Math" panose="02040503050406030204" pitchFamily="18" charset="0"/>
                            <a:ea typeface="+mn-ea"/>
                            <a:cs typeface="+mn-cs"/>
                          </a:rPr>
                          <m:t>×</m:t>
                        </m:r>
                        <m:sSup>
                          <m:sSupPr>
                            <m:ctrlPr>
                              <a:rPr lang="en-SG" sz="1600" b="0" i="1">
                                <a:solidFill>
                                  <a:schemeClr val="dk1"/>
                                </a:solidFill>
                                <a:effectLst/>
                                <a:latin typeface="Cambria Math" charset="0"/>
                                <a:ea typeface="+mn-ea"/>
                                <a:cs typeface="+mn-cs"/>
                              </a:rPr>
                            </m:ctrlPr>
                          </m:sSupPr>
                          <m:e>
                            <m:d>
                              <m:dPr>
                                <m:ctrlPr>
                                  <a:rPr lang="en-SG" sz="1600" b="0" i="1">
                                    <a:solidFill>
                                      <a:schemeClr val="dk1"/>
                                    </a:solidFill>
                                    <a:effectLst/>
                                    <a:latin typeface="Cambria Math" charset="0"/>
                                    <a:ea typeface="+mn-ea"/>
                                    <a:cs typeface="+mn-cs"/>
                                  </a:rPr>
                                </m:ctrlPr>
                              </m:dPr>
                              <m:e>
                                <m:f>
                                  <m:fPr>
                                    <m:ctrlPr>
                                      <a:rPr lang="en-SG" sz="1600" b="0" i="1">
                                        <a:solidFill>
                                          <a:schemeClr val="dk1"/>
                                        </a:solidFill>
                                        <a:effectLst/>
                                        <a:latin typeface="Cambria Math" charset="0"/>
                                        <a:ea typeface="+mn-ea"/>
                                        <a:cs typeface="+mn-cs"/>
                                      </a:rPr>
                                    </m:ctrlPr>
                                  </m:fPr>
                                  <m:num>
                                    <m:sSub>
                                      <m:sSubPr>
                                        <m:ctrlPr>
                                          <a:rPr lang="en-SG" sz="1600" b="0" i="1">
                                            <a:solidFill>
                                              <a:schemeClr val="dk1"/>
                                            </a:solidFill>
                                            <a:effectLst/>
                                            <a:latin typeface="Cambria Math" charset="0"/>
                                            <a:ea typeface="+mn-ea"/>
                                            <a:cs typeface="+mn-cs"/>
                                          </a:rPr>
                                        </m:ctrlPr>
                                      </m:sSubPr>
                                      <m:e>
                                        <m:r>
                                          <a:rPr lang="en-SG" sz="1600" b="0" i="1">
                                            <a:solidFill>
                                              <a:schemeClr val="dk1"/>
                                            </a:solidFill>
                                            <a:effectLst/>
                                            <a:latin typeface="Cambria Math" panose="02040503050406030204" pitchFamily="18" charset="0"/>
                                            <a:ea typeface="+mn-ea"/>
                                            <a:cs typeface="+mn-cs"/>
                                          </a:rPr>
                                          <m:t>𝑓</m:t>
                                        </m:r>
                                      </m:e>
                                      <m:sub>
                                        <m:r>
                                          <a:rPr lang="en-SG" sz="1600" b="0" i="1">
                                            <a:solidFill>
                                              <a:schemeClr val="dk1"/>
                                            </a:solidFill>
                                            <a:effectLst/>
                                            <a:latin typeface="Cambria Math" panose="02040503050406030204" pitchFamily="18" charset="0"/>
                                            <a:ea typeface="+mn-ea"/>
                                            <a:cs typeface="+mn-cs"/>
                                          </a:rPr>
                                          <m:t>𝑎</m:t>
                                        </m:r>
                                      </m:sub>
                                    </m:sSub>
                                  </m:num>
                                  <m:den>
                                    <m:r>
                                      <a:rPr lang="en-SG" sz="1600" b="0" i="1">
                                        <a:solidFill>
                                          <a:schemeClr val="dk1"/>
                                        </a:solidFill>
                                        <a:effectLst/>
                                        <a:latin typeface="Cambria Math" panose="02040503050406030204" pitchFamily="18" charset="0"/>
                                        <a:ea typeface="+mn-ea"/>
                                        <a:cs typeface="+mn-cs"/>
                                      </a:rPr>
                                      <m:t>𝑐𝑎𝑝𝑎𝑐𝑖𝑡𝑦</m:t>
                                    </m:r>
                                  </m:den>
                                </m:f>
                              </m:e>
                            </m:d>
                          </m:e>
                          <m:sup>
                            <m:r>
                              <a:rPr lang="en-SG" sz="1600" b="0" i="1">
                                <a:solidFill>
                                  <a:schemeClr val="dk1"/>
                                </a:solidFill>
                                <a:effectLst/>
                                <a:latin typeface="Cambria Math" panose="02040503050406030204" pitchFamily="18" charset="0"/>
                                <a:ea typeface="+mn-ea"/>
                                <a:cs typeface="+mn-cs"/>
                              </a:rPr>
                              <m:t>𝑝𝑜𝑤𝑒𝑟</m:t>
                            </m:r>
                          </m:sup>
                        </m:sSup>
                      </m:e>
                    </m:d>
                    <m:r>
                      <a:rPr lang="en-SG" sz="1600" b="0" i="1">
                        <a:latin typeface="Cambria Math" panose="02040503050406030204" pitchFamily="18" charset="0"/>
                      </a:rPr>
                      <m:t>+</m:t>
                    </m:r>
                    <m:r>
                      <a:rPr lang="en-SG" sz="1600" b="0" i="1">
                        <a:latin typeface="Cambria Math" panose="02040503050406030204" pitchFamily="18" charset="0"/>
                      </a:rPr>
                      <m:t>𝑡𝑜𝑙𝑙</m:t>
                    </m:r>
                    <m:r>
                      <a:rPr lang="en-SG" sz="1600" b="0" i="1">
                        <a:latin typeface="Cambria Math" panose="02040503050406030204" pitchFamily="18" charset="0"/>
                      </a:rPr>
                      <m:t>×</m:t>
                    </m:r>
                    <m:r>
                      <a:rPr lang="en-SG" sz="1600" b="0" i="1">
                        <a:latin typeface="Cambria Math" panose="02040503050406030204" pitchFamily="18" charset="0"/>
                      </a:rPr>
                      <m:t>𝑡𝑜𝑙𝑙</m:t>
                    </m:r>
                    <m:r>
                      <a:rPr lang="en-SG" sz="1600" b="0" i="1">
                        <a:latin typeface="Cambria Math" panose="02040503050406030204" pitchFamily="18" charset="0"/>
                      </a:rPr>
                      <m:t> </m:t>
                    </m:r>
                    <m:r>
                      <a:rPr lang="en-SG" sz="1600" b="0" i="1">
                        <a:latin typeface="Cambria Math" panose="02040503050406030204" pitchFamily="18" charset="0"/>
                      </a:rPr>
                      <m:t>𝑓𝑎𝑐</m:t>
                    </m:r>
                    <m:r>
                      <a:rPr lang="en-SG" sz="1600" b="0" i="1">
                        <a:latin typeface="Cambria Math" panose="02040503050406030204" pitchFamily="18" charset="0"/>
                      </a:rPr>
                      <m:t>+</m:t>
                    </m:r>
                    <m:r>
                      <a:rPr lang="en-SG" sz="1600" b="0" i="1">
                        <a:latin typeface="Cambria Math" panose="02040503050406030204" pitchFamily="18" charset="0"/>
                      </a:rPr>
                      <m:t>𝑙𝑒𝑛𝑔𝑡h</m:t>
                    </m:r>
                    <m:r>
                      <a:rPr lang="en-SG" sz="1600" b="0" i="1">
                        <a:latin typeface="Cambria Math" panose="02040503050406030204" pitchFamily="18" charset="0"/>
                      </a:rPr>
                      <m:t>×</m:t>
                    </m:r>
                    <m:r>
                      <a:rPr lang="en-SG" sz="1600" b="0" i="1">
                        <a:latin typeface="Cambria Math" panose="02040503050406030204" pitchFamily="18" charset="0"/>
                      </a:rPr>
                      <m:t>𝑑𝑖𝑠𝑡𝑎𝑛𝑐𝑒</m:t>
                    </m:r>
                    <m:r>
                      <a:rPr lang="en-SG" sz="1600" b="0" i="1">
                        <a:latin typeface="Cambria Math" panose="02040503050406030204" pitchFamily="18" charset="0"/>
                      </a:rPr>
                      <m:t> </m:t>
                    </m:r>
                    <m:r>
                      <a:rPr lang="en-SG" sz="1600" b="0" i="1">
                        <a:latin typeface="Cambria Math" panose="02040503050406030204" pitchFamily="18" charset="0"/>
                      </a:rPr>
                      <m:t>𝑓𝑎𝑐</m:t>
                    </m:r>
                  </m:oMath>
                </m:oMathPara>
              </a14:m>
              <a:endParaRPr lang="en-SG" sz="1600" i="1">
                <a:effectLst/>
              </a:endParaRPr>
            </a:p>
          </xdr:txBody>
        </xdr:sp>
      </mc:Choice>
      <mc:Fallback xmlns="">
        <xdr:sp macro="" textlink="">
          <xdr:nvSpPr>
            <xdr:cNvPr id="4" name="TextBox 3"/>
            <xdr:cNvSpPr txBox="1"/>
          </xdr:nvSpPr>
          <xdr:spPr>
            <a:xfrm>
              <a:off x="1038225" y="8010526"/>
              <a:ext cx="6648450" cy="1685924"/>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SG" sz="1100" b="0" i="0">
                  <a:latin typeface="Cambria Math" panose="02040503050406030204" pitchFamily="18" charset="0"/>
                </a:rPr>
                <a:t>𝑓_𝑎 : flow on link a</a:t>
              </a:r>
            </a:p>
            <a:p>
              <a:pPr algn="l">
                <a:lnSpc>
                  <a:spcPct val="200000"/>
                </a:lnSpc>
              </a:pPr>
              <a:r>
                <a:rPr lang="en-SG" sz="1100" b="0" i="0">
                  <a:latin typeface="Cambria Math" panose="02040503050406030204" pitchFamily="18" charset="0"/>
                </a:rPr>
                <a:t>𝜏_𝑎^+ (𝑓_𝑎): generalized travel</a:t>
              </a:r>
              <a:r>
                <a:rPr lang="en-SG" sz="1100" b="0" i="0" baseline="0">
                  <a:latin typeface="Cambria Math" panose="02040503050406030204" pitchFamily="18" charset="0"/>
                </a:rPr>
                <a:t> cost of link a</a:t>
              </a:r>
              <a:r>
                <a:rPr lang="en-SG" sz="1100" b="0" i="0">
                  <a:latin typeface="Cambria Math" panose="02040503050406030204" pitchFamily="18" charset="0"/>
                </a:rPr>
                <a:t> given the link flow f_a</a:t>
              </a:r>
            </a:p>
            <a:p>
              <a:pPr lvl="1" algn="l">
                <a:lnSpc>
                  <a:spcPct val="200000"/>
                </a:lnSpc>
              </a:pPr>
              <a:r>
                <a:rPr lang="en-SG" sz="1100" b="0" i="0">
                  <a:latin typeface="Cambria Math" panose="02040503050406030204" pitchFamily="18" charset="0"/>
                </a:rPr>
                <a:t>𝜏_𝑎^+ (𝑓_𝑎 )=𝐹𝐹𝑇𝑇×(</a:t>
              </a:r>
              <a:r>
                <a:rPr lang="en-SG" sz="1100" b="0" i="0">
                  <a:solidFill>
                    <a:schemeClr val="dk1"/>
                  </a:solidFill>
                  <a:effectLst/>
                  <a:latin typeface="Cambria Math" panose="02040503050406030204" pitchFamily="18" charset="0"/>
                  <a:ea typeface="+mn-ea"/>
                  <a:cs typeface="+mn-cs"/>
                </a:rPr>
                <a:t>1+𝐵×(𝑓_𝑎/𝑐𝑎𝑝𝑎𝑐𝑖𝑡𝑦)^𝑝𝑜𝑤𝑒𝑟 )</a:t>
              </a:r>
              <a:r>
                <a:rPr lang="en-SG" sz="1100" b="0" i="0">
                  <a:latin typeface="Cambria Math" panose="02040503050406030204" pitchFamily="18" charset="0"/>
                </a:rPr>
                <a:t>+𝑡𝑜𝑙𝑙×𝑡𝑜𝑙𝑙 𝑓𝑎𝑐+𝑙𝑒𝑛𝑔𝑡ℎ×𝑑𝑖𝑠𝑡𝑎𝑛𝑐𝑒 𝑓𝑎𝑐</a:t>
              </a:r>
              <a:endParaRPr lang="en-SG" i="1">
                <a:effectLst/>
              </a:endParaRPr>
            </a:p>
          </xdr:txBody>
        </xdr:sp>
      </mc:Fallback>
    </mc:AlternateContent>
    <xdr:clientData/>
  </xdr:twoCellAnchor>
  <xdr:twoCellAnchor editAs="oneCell">
    <xdr:from>
      <xdr:col>3</xdr:col>
      <xdr:colOff>47625</xdr:colOff>
      <xdr:row>60</xdr:row>
      <xdr:rowOff>9524</xdr:rowOff>
    </xdr:from>
    <xdr:to>
      <xdr:col>30</xdr:col>
      <xdr:colOff>9525</xdr:colOff>
      <xdr:row>66</xdr:row>
      <xdr:rowOff>279399</xdr:rowOff>
    </xdr:to>
    <mc:AlternateContent xmlns:mc="http://schemas.openxmlformats.org/markup-compatibility/2006" xmlns:a14="http://schemas.microsoft.com/office/drawing/2010/main">
      <mc:Choice Requires="a14">
        <xdr:sp macro="" textlink="">
          <xdr:nvSpPr>
            <xdr:cNvPr id="5" name="TextBox 4"/>
            <xdr:cNvSpPr txBox="1"/>
          </xdr:nvSpPr>
          <xdr:spPr>
            <a:xfrm>
              <a:off x="885825" y="18310224"/>
              <a:ext cx="7505700" cy="2098675"/>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Sup>
                    <m:sSubSupPr>
                      <m:ctrlPr>
                        <a:rPr lang="en-US" sz="1600" b="0" i="1">
                          <a:latin typeface="Cambria Math" charset="0"/>
                        </a:rPr>
                      </m:ctrlPr>
                    </m:sSubSupPr>
                    <m:e>
                      <m:r>
                        <a:rPr lang="en-US" sz="1600" b="0" i="1">
                          <a:latin typeface="Cambria Math" panose="02040503050406030204" pitchFamily="18" charset="0"/>
                        </a:rPr>
                        <m:t>𝑐</m:t>
                      </m:r>
                    </m:e>
                    <m:sub>
                      <m:r>
                        <a:rPr lang="en-US" sz="1600" b="0" i="1">
                          <a:latin typeface="Cambria Math" panose="02040503050406030204" pitchFamily="18" charset="0"/>
                        </a:rPr>
                        <m:t>𝑘𝑤</m:t>
                      </m:r>
                    </m:sub>
                    <m:sup>
                      <m:r>
                        <a:rPr lang="en-US" sz="1600" b="0" i="1">
                          <a:latin typeface="Cambria Math" panose="02040503050406030204" pitchFamily="18" charset="0"/>
                        </a:rPr>
                        <m:t>+</m:t>
                      </m:r>
                    </m:sup>
                  </m:sSubSup>
                </m:oMath>
              </a14:m>
              <a:r>
                <a:rPr lang="en-SG" sz="1600" b="0" i="0">
                  <a:latin typeface="Cambria Math" panose="02040503050406030204" pitchFamily="18" charset="0"/>
                </a:rPr>
                <a:t> : additive cost of route </a:t>
              </a:r>
              <a14:m>
                <m:oMath xmlns:m="http://schemas.openxmlformats.org/officeDocument/2006/math">
                  <m:r>
                    <a:rPr lang="en-US" sz="1600" b="0" i="1">
                      <a:latin typeface="Cambria Math" panose="02040503050406030204" pitchFamily="18" charset="0"/>
                    </a:rPr>
                    <m:t>𝑘</m:t>
                  </m:r>
                </m:oMath>
              </a14:m>
              <a:r>
                <a:rPr lang="en-SG" sz="1600" b="0" i="0">
                  <a:latin typeface="Cambria Math" panose="02040503050406030204" pitchFamily="18" charset="0"/>
                </a:rPr>
                <a:t> in O-D pair </a:t>
              </a:r>
              <a14:m>
                <m:oMath xmlns:m="http://schemas.openxmlformats.org/officeDocument/2006/math">
                  <m:r>
                    <a:rPr lang="en-US" sz="1600" b="0" i="1">
                      <a:latin typeface="Cambria Math" panose="02040503050406030204" pitchFamily="18" charset="0"/>
                    </a:rPr>
                    <m:t>𝑤</m:t>
                  </m:r>
                </m:oMath>
              </a14:m>
              <a:r>
                <a:rPr lang="en-SG" sz="1600" b="0" i="0">
                  <a:latin typeface="Cambria Math" panose="02040503050406030204" pitchFamily="18" charset="0"/>
                </a:rPr>
                <a:t>.</a:t>
              </a:r>
            </a:p>
            <a:p>
              <a:pPr lvl="1" algn="l">
                <a:lnSpc>
                  <a:spcPct val="200000"/>
                </a:lnSpc>
              </a:pPr>
              <a14:m>
                <m:oMathPara xmlns:m="http://schemas.openxmlformats.org/officeDocument/2006/math">
                  <m:oMathParaPr>
                    <m:jc m:val="left"/>
                  </m:oMathParaPr>
                  <m:oMath xmlns:m="http://schemas.openxmlformats.org/officeDocument/2006/math">
                    <m:sSubSup>
                      <m:sSubSupPr>
                        <m:ctrlPr>
                          <a:rPr lang="en-US" sz="1600" b="0" i="1">
                            <a:latin typeface="Cambria Math" charset="0"/>
                          </a:rPr>
                        </m:ctrlPr>
                      </m:sSubSupPr>
                      <m:e>
                        <m:r>
                          <a:rPr lang="en-US" sz="1600" b="0" i="1">
                            <a:latin typeface="Cambria Math" panose="02040503050406030204" pitchFamily="18" charset="0"/>
                          </a:rPr>
                          <m:t>𝑐</m:t>
                        </m:r>
                      </m:e>
                      <m:sub>
                        <m:r>
                          <a:rPr lang="en-US" sz="1600" b="0" i="1">
                            <a:latin typeface="Cambria Math" panose="02040503050406030204" pitchFamily="18" charset="0"/>
                          </a:rPr>
                          <m:t>𝑘𝑤</m:t>
                        </m:r>
                      </m:sub>
                      <m:sup>
                        <m:r>
                          <a:rPr lang="en-US" sz="1600" b="0" i="1">
                            <a:latin typeface="Cambria Math" panose="02040503050406030204" pitchFamily="18" charset="0"/>
                          </a:rPr>
                          <m:t>+</m:t>
                        </m:r>
                      </m:sup>
                    </m:sSubSup>
                    <m:r>
                      <a:rPr lang="en-SG" sz="1600" b="0" i="1">
                        <a:latin typeface="Cambria Math" panose="02040503050406030204" pitchFamily="18" charset="0"/>
                      </a:rPr>
                      <m:t>=</m:t>
                    </m:r>
                    <m:nary>
                      <m:naryPr>
                        <m:chr m:val="∑"/>
                        <m:supHide m:val="on"/>
                        <m:ctrlPr>
                          <a:rPr lang="en-US" sz="1600" b="0" i="1">
                            <a:latin typeface="Cambria Math" charset="0"/>
                          </a:rPr>
                        </m:ctrlPr>
                      </m:naryPr>
                      <m:sub>
                        <m:r>
                          <a:rPr lang="en-US" sz="1600" b="0" i="1">
                            <a:latin typeface="Cambria Math" panose="02040503050406030204" pitchFamily="18" charset="0"/>
                          </a:rPr>
                          <m:t>𝑎</m:t>
                        </m:r>
                        <m:r>
                          <a:rPr lang="en-US" sz="1600" b="0" i="1">
                            <a:latin typeface="Cambria Math" panose="02040503050406030204" pitchFamily="18" charset="0"/>
                          </a:rPr>
                          <m:t>∈</m:t>
                        </m:r>
                        <m:r>
                          <a:rPr lang="en-US" sz="1600" b="0" i="1">
                            <a:latin typeface="Cambria Math" panose="02040503050406030204" pitchFamily="18" charset="0"/>
                          </a:rPr>
                          <m:t>𝑘</m:t>
                        </m:r>
                      </m:sub>
                      <m:sup/>
                      <m:e>
                        <m:sSubSup>
                          <m:sSubSupPr>
                            <m:ctrlPr>
                              <a:rPr lang="en-SG" sz="1600" b="0" i="1">
                                <a:solidFill>
                                  <a:schemeClr val="dk1"/>
                                </a:solidFill>
                                <a:effectLst/>
                                <a:latin typeface="Cambria Math" charset="0"/>
                                <a:ea typeface="+mn-ea"/>
                                <a:cs typeface="+mn-cs"/>
                              </a:rPr>
                            </m:ctrlPr>
                          </m:sSubSupPr>
                          <m:e>
                            <m:r>
                              <a:rPr lang="en-SG" sz="1600" b="0" i="1">
                                <a:solidFill>
                                  <a:schemeClr val="dk1"/>
                                </a:solidFill>
                                <a:effectLst/>
                                <a:latin typeface="Cambria Math" panose="02040503050406030204" pitchFamily="18" charset="0"/>
                                <a:ea typeface="+mn-ea"/>
                                <a:cs typeface="+mn-cs"/>
                              </a:rPr>
                              <m:t>𝜏</m:t>
                            </m:r>
                          </m:e>
                          <m:sub>
                            <m:r>
                              <a:rPr lang="en-SG" sz="1600" b="0" i="1">
                                <a:solidFill>
                                  <a:schemeClr val="dk1"/>
                                </a:solidFill>
                                <a:effectLst/>
                                <a:latin typeface="Cambria Math" panose="02040503050406030204" pitchFamily="18" charset="0"/>
                                <a:ea typeface="+mn-ea"/>
                                <a:cs typeface="+mn-cs"/>
                              </a:rPr>
                              <m:t>𝑎</m:t>
                            </m:r>
                          </m:sub>
                          <m:sup>
                            <m:r>
                              <a:rPr lang="en-SG" sz="1600" b="0" i="1">
                                <a:solidFill>
                                  <a:schemeClr val="dk1"/>
                                </a:solidFill>
                                <a:effectLst/>
                                <a:latin typeface="Cambria Math" panose="02040503050406030204" pitchFamily="18" charset="0"/>
                                <a:ea typeface="+mn-ea"/>
                                <a:cs typeface="+mn-cs"/>
                              </a:rPr>
                              <m:t>+</m:t>
                            </m:r>
                          </m:sup>
                        </m:sSubSup>
                        <m:r>
                          <a:rPr lang="en-SG" sz="1600" b="0" i="1">
                            <a:solidFill>
                              <a:schemeClr val="dk1"/>
                            </a:solidFill>
                            <a:effectLst/>
                            <a:latin typeface="Cambria Math" panose="02040503050406030204" pitchFamily="18" charset="0"/>
                            <a:ea typeface="+mn-ea"/>
                            <a:cs typeface="+mn-cs"/>
                          </a:rPr>
                          <m:t>(</m:t>
                        </m:r>
                        <m:sSub>
                          <m:sSubPr>
                            <m:ctrlPr>
                              <a:rPr lang="en-SG" sz="1600" b="0" i="1">
                                <a:solidFill>
                                  <a:schemeClr val="dk1"/>
                                </a:solidFill>
                                <a:effectLst/>
                                <a:latin typeface="Cambria Math" charset="0"/>
                                <a:ea typeface="+mn-ea"/>
                                <a:cs typeface="+mn-cs"/>
                              </a:rPr>
                            </m:ctrlPr>
                          </m:sSubPr>
                          <m:e>
                            <m:r>
                              <a:rPr lang="en-SG" sz="1600" b="0" i="1">
                                <a:solidFill>
                                  <a:schemeClr val="dk1"/>
                                </a:solidFill>
                                <a:effectLst/>
                                <a:latin typeface="Cambria Math" panose="02040503050406030204" pitchFamily="18" charset="0"/>
                                <a:ea typeface="+mn-ea"/>
                                <a:cs typeface="+mn-cs"/>
                              </a:rPr>
                              <m:t>𝑓</m:t>
                            </m:r>
                          </m:e>
                          <m:sub>
                            <m:r>
                              <a:rPr lang="en-SG" sz="1600" b="0" i="1">
                                <a:solidFill>
                                  <a:schemeClr val="dk1"/>
                                </a:solidFill>
                                <a:effectLst/>
                                <a:latin typeface="Cambria Math" panose="02040503050406030204" pitchFamily="18" charset="0"/>
                                <a:ea typeface="+mn-ea"/>
                                <a:cs typeface="+mn-cs"/>
                              </a:rPr>
                              <m:t>𝑎</m:t>
                            </m:r>
                          </m:sub>
                        </m:sSub>
                        <m:r>
                          <a:rPr lang="en-SG" sz="1600" b="0" i="1">
                            <a:solidFill>
                              <a:schemeClr val="dk1"/>
                            </a:solidFill>
                            <a:effectLst/>
                            <a:latin typeface="Cambria Math" panose="02040503050406030204" pitchFamily="18" charset="0"/>
                            <a:ea typeface="+mn-ea"/>
                            <a:cs typeface="+mn-cs"/>
                          </a:rPr>
                          <m:t>)</m:t>
                        </m:r>
                      </m:e>
                    </m:nary>
                  </m:oMath>
                </m:oMathPara>
              </a14:m>
              <a:endParaRPr lang="en-SG" sz="1600" i="1">
                <a:effectLst/>
              </a:endParaRPr>
            </a:p>
          </xdr:txBody>
        </xdr:sp>
      </mc:Choice>
      <mc:Fallback xmlns="">
        <xdr:sp macro="" textlink="">
          <xdr:nvSpPr>
            <xdr:cNvPr id="5" name="TextBox 4"/>
            <xdr:cNvSpPr txBox="1"/>
          </xdr:nvSpPr>
          <xdr:spPr>
            <a:xfrm>
              <a:off x="1038225" y="10677525"/>
              <a:ext cx="6648450" cy="12573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𝑐_𝑘𝑤^+</a:t>
              </a:r>
              <a:r>
                <a:rPr lang="en-SG" sz="1100" b="0" i="0">
                  <a:latin typeface="Cambria Math" panose="02040503050406030204" pitchFamily="18" charset="0"/>
                </a:rPr>
                <a:t> : additive cost of route </a:t>
              </a:r>
              <a:r>
                <a:rPr lang="en-US" sz="1100" b="0" i="0">
                  <a:latin typeface="Cambria Math" panose="02040503050406030204" pitchFamily="18" charset="0"/>
                </a:rPr>
                <a:t>𝑘</a:t>
              </a:r>
              <a:r>
                <a:rPr lang="en-SG" sz="1100" b="0" i="0">
                  <a:latin typeface="Cambria Math" panose="02040503050406030204" pitchFamily="18" charset="0"/>
                </a:rPr>
                <a:t> in O-D pair </a:t>
              </a:r>
              <a:r>
                <a:rPr lang="en-US" sz="1100" b="0" i="0">
                  <a:latin typeface="Cambria Math" panose="02040503050406030204" pitchFamily="18" charset="0"/>
                </a:rPr>
                <a:t>𝑤</a:t>
              </a:r>
              <a:r>
                <a:rPr lang="en-SG" sz="1100" b="0" i="0">
                  <a:latin typeface="Cambria Math" panose="02040503050406030204" pitchFamily="18" charset="0"/>
                </a:rPr>
                <a:t>.</a:t>
              </a:r>
            </a:p>
            <a:p>
              <a:pPr lvl="1" algn="l">
                <a:lnSpc>
                  <a:spcPct val="200000"/>
                </a:lnSpc>
              </a:pPr>
              <a:r>
                <a:rPr lang="en-US" sz="1100" b="0" i="0">
                  <a:latin typeface="Cambria Math" panose="02040503050406030204" pitchFamily="18" charset="0"/>
                </a:rPr>
                <a:t>𝑐_𝑘𝑤^+</a:t>
              </a:r>
              <a:r>
                <a:rPr lang="en-SG" sz="1100" b="0" i="0">
                  <a:latin typeface="Cambria Math" panose="02040503050406030204" pitchFamily="18" charset="0"/>
                </a:rPr>
                <a:t>=</a:t>
              </a:r>
              <a:r>
                <a:rPr lang="en-US" sz="1100" b="0" i="0">
                  <a:latin typeface="Cambria Math" panose="02040503050406030204" pitchFamily="18" charset="0"/>
                </a:rPr>
                <a:t>∑8_(𝑎∈𝑘)▒〖</a:t>
              </a:r>
              <a:r>
                <a:rPr lang="en-SG" sz="1100" b="0" i="0">
                  <a:solidFill>
                    <a:schemeClr val="dk1"/>
                  </a:solidFill>
                  <a:effectLst/>
                  <a:latin typeface="+mn-lt"/>
                  <a:ea typeface="+mn-ea"/>
                  <a:cs typeface="+mn-cs"/>
                </a:rPr>
                <a:t>𝜏_𝑎^+ (𝑓_𝑎)</a:t>
              </a:r>
              <a:r>
                <a:rPr lang="en-US" sz="1100" b="0" i="0">
                  <a:solidFill>
                    <a:schemeClr val="dk1"/>
                  </a:solidFill>
                  <a:effectLst/>
                  <a:latin typeface="Cambria Math" panose="02040503050406030204" pitchFamily="18" charset="0"/>
                  <a:ea typeface="+mn-ea"/>
                  <a:cs typeface="+mn-cs"/>
                </a:rPr>
                <a:t>〗</a:t>
              </a:r>
              <a:endParaRPr lang="en-SG" i="1">
                <a:effectLst/>
              </a:endParaRPr>
            </a:p>
          </xdr:txBody>
        </xdr:sp>
      </mc:Fallback>
    </mc:AlternateContent>
    <xdr:clientData/>
  </xdr:twoCellAnchor>
  <xdr:twoCellAnchor editAs="oneCell">
    <xdr:from>
      <xdr:col>3</xdr:col>
      <xdr:colOff>47625</xdr:colOff>
      <xdr:row>71</xdr:row>
      <xdr:rowOff>19050</xdr:rowOff>
    </xdr:from>
    <xdr:to>
      <xdr:col>30</xdr:col>
      <xdr:colOff>9525</xdr:colOff>
      <xdr:row>77</xdr:row>
      <xdr:rowOff>228600</xdr:rowOff>
    </xdr:to>
    <mc:AlternateContent xmlns:mc="http://schemas.openxmlformats.org/markup-compatibility/2006" xmlns:a14="http://schemas.microsoft.com/office/drawing/2010/main">
      <mc:Choice Requires="a14">
        <xdr:sp macro="" textlink="">
          <xdr:nvSpPr>
            <xdr:cNvPr id="6" name="TextBox 5"/>
            <xdr:cNvSpPr txBox="1"/>
          </xdr:nvSpPr>
          <xdr:spPr>
            <a:xfrm>
              <a:off x="885825" y="21672550"/>
              <a:ext cx="7505700" cy="203835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Sup>
                    <m:sSubSupPr>
                      <m:ctrlPr>
                        <a:rPr lang="en-US" sz="1600" b="0" i="1">
                          <a:latin typeface="Cambria Math" charset="0"/>
                        </a:rPr>
                      </m:ctrlPr>
                    </m:sSubSupPr>
                    <m:e>
                      <m:r>
                        <a:rPr lang="en-US" sz="1600" b="0" i="1">
                          <a:latin typeface="Cambria Math" panose="02040503050406030204" pitchFamily="18" charset="0"/>
                        </a:rPr>
                        <m:t>𝑐</m:t>
                      </m:r>
                    </m:e>
                    <m:sub>
                      <m:r>
                        <a:rPr lang="en-US" sz="1600" b="0" i="1">
                          <a:latin typeface="Cambria Math" panose="02040503050406030204" pitchFamily="18" charset="0"/>
                        </a:rPr>
                        <m:t>𝑘𝑤</m:t>
                      </m:r>
                    </m:sub>
                    <m:sup>
                      <m:r>
                        <a:rPr lang="en-US" sz="1600" b="0" i="1">
                          <a:latin typeface="Cambria Math" panose="02040503050406030204" pitchFamily="18" charset="0"/>
                        </a:rPr>
                        <m:t>×</m:t>
                      </m:r>
                    </m:sup>
                  </m:sSubSup>
                </m:oMath>
              </a14:m>
              <a:r>
                <a:rPr lang="en-SG" sz="1600" b="0" i="0">
                  <a:latin typeface="Cambria Math" panose="02040503050406030204" pitchFamily="18" charset="0"/>
                </a:rPr>
                <a:t> : multiplicative cost of route </a:t>
              </a:r>
              <a14:m>
                <m:oMath xmlns:m="http://schemas.openxmlformats.org/officeDocument/2006/math">
                  <m:r>
                    <a:rPr lang="en-US" sz="1600" b="0" i="1">
                      <a:latin typeface="Cambria Math" panose="02040503050406030204" pitchFamily="18" charset="0"/>
                    </a:rPr>
                    <m:t>𝑘</m:t>
                  </m:r>
                </m:oMath>
              </a14:m>
              <a:r>
                <a:rPr lang="en-SG" sz="1600" b="0" i="0">
                  <a:latin typeface="Cambria Math" panose="02040503050406030204" pitchFamily="18" charset="0"/>
                </a:rPr>
                <a:t> in O-D pair </a:t>
              </a:r>
              <a14:m>
                <m:oMath xmlns:m="http://schemas.openxmlformats.org/officeDocument/2006/math">
                  <m:r>
                    <a:rPr lang="en-US" sz="1600" b="0" i="1">
                      <a:latin typeface="Cambria Math" panose="02040503050406030204" pitchFamily="18" charset="0"/>
                    </a:rPr>
                    <m:t>𝑤</m:t>
                  </m:r>
                </m:oMath>
              </a14:m>
              <a:r>
                <a:rPr lang="en-SG" sz="1600" b="0" i="0">
                  <a:latin typeface="Cambria Math" panose="02040503050406030204" pitchFamily="18" charset="0"/>
                </a:rPr>
                <a:t>.</a:t>
              </a:r>
            </a:p>
            <a:p>
              <a:pPr lvl="1" algn="l">
                <a:lnSpc>
                  <a:spcPct val="200000"/>
                </a:lnSpc>
              </a:pPr>
              <a14:m>
                <m:oMathPara xmlns:m="http://schemas.openxmlformats.org/officeDocument/2006/math">
                  <m:oMathParaPr>
                    <m:jc m:val="left"/>
                  </m:oMathParaPr>
                  <m:oMath xmlns:m="http://schemas.openxmlformats.org/officeDocument/2006/math">
                    <m:sSubSup>
                      <m:sSubSupPr>
                        <m:ctrlPr>
                          <a:rPr lang="en-US" sz="1600" b="0" i="1">
                            <a:latin typeface="Cambria Math" charset="0"/>
                          </a:rPr>
                        </m:ctrlPr>
                      </m:sSubSupPr>
                      <m:e>
                        <m:r>
                          <a:rPr lang="en-US" sz="1600" b="0" i="1">
                            <a:latin typeface="Cambria Math" panose="02040503050406030204" pitchFamily="18" charset="0"/>
                          </a:rPr>
                          <m:t>𝑐</m:t>
                        </m:r>
                      </m:e>
                      <m:sub>
                        <m:r>
                          <a:rPr lang="en-US" sz="1600" b="0" i="1">
                            <a:latin typeface="Cambria Math" panose="02040503050406030204" pitchFamily="18" charset="0"/>
                          </a:rPr>
                          <m:t>𝑘𝑤</m:t>
                        </m:r>
                      </m:sub>
                      <m:sup>
                        <m:r>
                          <a:rPr lang="en-US" sz="1600" b="0" i="1">
                            <a:latin typeface="Cambria Math" panose="02040503050406030204" pitchFamily="18" charset="0"/>
                          </a:rPr>
                          <m:t>×</m:t>
                        </m:r>
                      </m:sup>
                    </m:sSubSup>
                    <m:r>
                      <a:rPr lang="en-SG" sz="1600" b="0" i="1">
                        <a:latin typeface="Cambria Math" panose="02040503050406030204" pitchFamily="18" charset="0"/>
                      </a:rPr>
                      <m:t>=</m:t>
                    </m:r>
                    <m:nary>
                      <m:naryPr>
                        <m:chr m:val="∏"/>
                        <m:supHide m:val="on"/>
                        <m:ctrlPr>
                          <a:rPr lang="en-US" sz="1600" b="0" i="1">
                            <a:latin typeface="Cambria Math" charset="0"/>
                          </a:rPr>
                        </m:ctrlPr>
                      </m:naryPr>
                      <m:sub>
                        <m:r>
                          <a:rPr lang="en-US" sz="1600" b="0" i="1">
                            <a:solidFill>
                              <a:schemeClr val="dk1"/>
                            </a:solidFill>
                            <a:effectLst/>
                            <a:latin typeface="Cambria Math" panose="02040503050406030204" pitchFamily="18" charset="0"/>
                            <a:ea typeface="+mn-ea"/>
                            <a:cs typeface="+mn-cs"/>
                          </a:rPr>
                          <m:t>𝑎</m:t>
                        </m:r>
                        <m:r>
                          <a:rPr lang="en-US" sz="1600" b="0" i="1">
                            <a:solidFill>
                              <a:schemeClr val="dk1"/>
                            </a:solidFill>
                            <a:effectLst/>
                            <a:latin typeface="Cambria Math" panose="02040503050406030204" pitchFamily="18" charset="0"/>
                            <a:ea typeface="+mn-ea"/>
                            <a:cs typeface="+mn-cs"/>
                          </a:rPr>
                          <m:t>∈</m:t>
                        </m:r>
                        <m:r>
                          <a:rPr lang="en-US" sz="1600" b="0" i="1">
                            <a:solidFill>
                              <a:schemeClr val="dk1"/>
                            </a:solidFill>
                            <a:effectLst/>
                            <a:latin typeface="Cambria Math" panose="02040503050406030204" pitchFamily="18" charset="0"/>
                            <a:ea typeface="+mn-ea"/>
                            <a:cs typeface="+mn-cs"/>
                          </a:rPr>
                          <m:t>𝑘</m:t>
                        </m:r>
                      </m:sub>
                      <m:sup/>
                      <m:e>
                        <m:func>
                          <m:funcPr>
                            <m:ctrlPr>
                              <a:rPr lang="en-US" sz="1600" b="0" i="1">
                                <a:latin typeface="Cambria Math" charset="0"/>
                              </a:rPr>
                            </m:ctrlPr>
                          </m:funcPr>
                          <m:fName>
                            <m:r>
                              <m:rPr>
                                <m:sty m:val="p"/>
                              </m:rPr>
                              <a:rPr lang="en-US" sz="1600" b="0" i="0">
                                <a:latin typeface="Cambria Math" panose="02040503050406030204" pitchFamily="18" charset="0"/>
                              </a:rPr>
                              <m:t>exp</m:t>
                            </m:r>
                          </m:fName>
                          <m:e>
                            <m:d>
                              <m:dPr>
                                <m:begChr m:val="["/>
                                <m:endChr m:val="]"/>
                                <m:ctrlPr>
                                  <a:rPr lang="en-US" sz="1600" b="0" i="1">
                                    <a:latin typeface="Cambria Math" charset="0"/>
                                  </a:rPr>
                                </m:ctrlPr>
                              </m:dPr>
                              <m:e>
                                <m:r>
                                  <a:rPr lang="en-US" sz="1600" b="0" i="1">
                                    <a:solidFill>
                                      <a:schemeClr val="dk1"/>
                                    </a:solidFill>
                                    <a:effectLst/>
                                    <a:latin typeface="Cambria Math" panose="02040503050406030204" pitchFamily="18" charset="0"/>
                                    <a:ea typeface="+mn-ea"/>
                                    <a:cs typeface="+mn-cs"/>
                                  </a:rPr>
                                  <m:t>𝑒𝑥𝑝</m:t>
                                </m:r>
                                <m:r>
                                  <a:rPr lang="en-US" sz="1600" b="0" i="1">
                                    <a:solidFill>
                                      <a:schemeClr val="dk1"/>
                                    </a:solidFill>
                                    <a:effectLst/>
                                    <a:latin typeface="Cambria Math" panose="02040503050406030204" pitchFamily="18" charset="0"/>
                                    <a:ea typeface="+mn-ea"/>
                                    <a:cs typeface="+mn-cs"/>
                                  </a:rPr>
                                  <m:t>.</m:t>
                                </m:r>
                                <m:r>
                                  <a:rPr lang="en-US" sz="1600" b="0" i="1">
                                    <a:solidFill>
                                      <a:schemeClr val="dk1"/>
                                    </a:solidFill>
                                    <a:effectLst/>
                                    <a:latin typeface="Cambria Math" panose="02040503050406030204" pitchFamily="18" charset="0"/>
                                    <a:ea typeface="+mn-ea"/>
                                    <a:cs typeface="+mn-cs"/>
                                  </a:rPr>
                                  <m:t>𝑐𝑜𝑒𝑓𝑓</m:t>
                                </m:r>
                                <m:r>
                                  <a:rPr lang="en-US" sz="1600" b="0" i="1">
                                    <a:solidFill>
                                      <a:schemeClr val="dk1"/>
                                    </a:solidFill>
                                    <a:effectLst/>
                                    <a:latin typeface="Cambria Math" panose="02040503050406030204" pitchFamily="18" charset="0"/>
                                    <a:ea typeface="+mn-ea"/>
                                    <a:cs typeface="+mn-cs"/>
                                  </a:rPr>
                                  <m:t>.  × </m:t>
                                </m:r>
                                <m:sSubSup>
                                  <m:sSubSupPr>
                                    <m:ctrlPr>
                                      <a:rPr lang="en-SG" sz="1600" b="0" i="1">
                                        <a:solidFill>
                                          <a:schemeClr val="dk1"/>
                                        </a:solidFill>
                                        <a:effectLst/>
                                        <a:latin typeface="Cambria Math" charset="0"/>
                                        <a:ea typeface="+mn-ea"/>
                                        <a:cs typeface="+mn-cs"/>
                                      </a:rPr>
                                    </m:ctrlPr>
                                  </m:sSubSupPr>
                                  <m:e>
                                    <m:r>
                                      <a:rPr lang="en-SG" sz="1600" b="0" i="1">
                                        <a:solidFill>
                                          <a:schemeClr val="dk1"/>
                                        </a:solidFill>
                                        <a:effectLst/>
                                        <a:latin typeface="Cambria Math" panose="02040503050406030204" pitchFamily="18" charset="0"/>
                                        <a:ea typeface="+mn-ea"/>
                                        <a:cs typeface="+mn-cs"/>
                                      </a:rPr>
                                      <m:t>𝜏</m:t>
                                    </m:r>
                                  </m:e>
                                  <m:sub>
                                    <m:r>
                                      <a:rPr lang="en-SG" sz="1600" b="0" i="1">
                                        <a:solidFill>
                                          <a:schemeClr val="dk1"/>
                                        </a:solidFill>
                                        <a:effectLst/>
                                        <a:latin typeface="Cambria Math" panose="02040503050406030204" pitchFamily="18" charset="0"/>
                                        <a:ea typeface="+mn-ea"/>
                                        <a:cs typeface="+mn-cs"/>
                                      </a:rPr>
                                      <m:t>𝑎</m:t>
                                    </m:r>
                                  </m:sub>
                                  <m:sup>
                                    <m:r>
                                      <a:rPr lang="en-SG" sz="1600" b="0" i="1">
                                        <a:solidFill>
                                          <a:schemeClr val="dk1"/>
                                        </a:solidFill>
                                        <a:effectLst/>
                                        <a:latin typeface="Cambria Math" panose="02040503050406030204" pitchFamily="18" charset="0"/>
                                        <a:ea typeface="+mn-ea"/>
                                        <a:cs typeface="+mn-cs"/>
                                      </a:rPr>
                                      <m:t>+</m:t>
                                    </m:r>
                                  </m:sup>
                                </m:sSubSup>
                                <m:d>
                                  <m:dPr>
                                    <m:ctrlPr>
                                      <a:rPr lang="en-SG" sz="1600" b="0" i="1">
                                        <a:solidFill>
                                          <a:schemeClr val="dk1"/>
                                        </a:solidFill>
                                        <a:effectLst/>
                                        <a:latin typeface="Cambria Math" charset="0"/>
                                        <a:ea typeface="+mn-ea"/>
                                        <a:cs typeface="+mn-cs"/>
                                      </a:rPr>
                                    </m:ctrlPr>
                                  </m:dPr>
                                  <m:e>
                                    <m:sSub>
                                      <m:sSubPr>
                                        <m:ctrlPr>
                                          <a:rPr lang="en-SG" sz="1600" b="0" i="1">
                                            <a:solidFill>
                                              <a:schemeClr val="dk1"/>
                                            </a:solidFill>
                                            <a:effectLst/>
                                            <a:latin typeface="Cambria Math" charset="0"/>
                                            <a:ea typeface="+mn-ea"/>
                                            <a:cs typeface="+mn-cs"/>
                                          </a:rPr>
                                        </m:ctrlPr>
                                      </m:sSubPr>
                                      <m:e>
                                        <m:r>
                                          <a:rPr lang="en-SG" sz="1600" b="0" i="1">
                                            <a:solidFill>
                                              <a:schemeClr val="dk1"/>
                                            </a:solidFill>
                                            <a:effectLst/>
                                            <a:latin typeface="Cambria Math" panose="02040503050406030204" pitchFamily="18" charset="0"/>
                                            <a:ea typeface="+mn-ea"/>
                                            <a:cs typeface="+mn-cs"/>
                                          </a:rPr>
                                          <m:t>𝑓</m:t>
                                        </m:r>
                                      </m:e>
                                      <m:sub>
                                        <m:r>
                                          <a:rPr lang="en-SG" sz="1600" b="0" i="1">
                                            <a:solidFill>
                                              <a:schemeClr val="dk1"/>
                                            </a:solidFill>
                                            <a:effectLst/>
                                            <a:latin typeface="Cambria Math" panose="02040503050406030204" pitchFamily="18" charset="0"/>
                                            <a:ea typeface="+mn-ea"/>
                                            <a:cs typeface="+mn-cs"/>
                                          </a:rPr>
                                          <m:t>𝑎</m:t>
                                        </m:r>
                                      </m:sub>
                                    </m:sSub>
                                  </m:e>
                                </m:d>
                              </m:e>
                            </m:d>
                          </m:e>
                        </m:func>
                      </m:e>
                    </m:nary>
                  </m:oMath>
                </m:oMathPara>
              </a14:m>
              <a:endParaRPr lang="en-SG" sz="1600" i="1">
                <a:effectLst/>
              </a:endParaRPr>
            </a:p>
          </xdr:txBody>
        </xdr:sp>
      </mc:Choice>
      <mc:Fallback xmlns="">
        <xdr:sp macro="" textlink="">
          <xdr:nvSpPr>
            <xdr:cNvPr id="6" name="TextBox 5"/>
            <xdr:cNvSpPr txBox="1"/>
          </xdr:nvSpPr>
          <xdr:spPr>
            <a:xfrm>
              <a:off x="1038225" y="12782550"/>
              <a:ext cx="6648450" cy="12573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𝑐_𝑘𝑤^×</a:t>
              </a:r>
              <a:r>
                <a:rPr lang="en-SG" sz="1100" b="0" i="0">
                  <a:latin typeface="Cambria Math" panose="02040503050406030204" pitchFamily="18" charset="0"/>
                </a:rPr>
                <a:t> : multiplicative cost of route </a:t>
              </a:r>
              <a:r>
                <a:rPr lang="en-US" sz="1100" b="0" i="0">
                  <a:latin typeface="Cambria Math" panose="02040503050406030204" pitchFamily="18" charset="0"/>
                </a:rPr>
                <a:t>𝑘</a:t>
              </a:r>
              <a:r>
                <a:rPr lang="en-SG" sz="1100" b="0" i="0">
                  <a:latin typeface="Cambria Math" panose="02040503050406030204" pitchFamily="18" charset="0"/>
                </a:rPr>
                <a:t> in O-D pair </a:t>
              </a:r>
              <a:r>
                <a:rPr lang="en-US" sz="1100" b="0" i="0">
                  <a:latin typeface="Cambria Math" panose="02040503050406030204" pitchFamily="18" charset="0"/>
                </a:rPr>
                <a:t>𝑤</a:t>
              </a:r>
              <a:r>
                <a:rPr lang="en-SG" sz="1100" b="0" i="0">
                  <a:latin typeface="Cambria Math" panose="02040503050406030204" pitchFamily="18" charset="0"/>
                </a:rPr>
                <a:t>.</a:t>
              </a:r>
            </a:p>
            <a:p>
              <a:pPr lvl="1" algn="l">
                <a:lnSpc>
                  <a:spcPct val="200000"/>
                </a:lnSpc>
              </a:pPr>
              <a:r>
                <a:rPr lang="en-US" sz="1100" b="0" i="0">
                  <a:latin typeface="Cambria Math" panose="02040503050406030204" pitchFamily="18" charset="0"/>
                </a:rPr>
                <a:t>𝑐_𝑘𝑤^×</a:t>
              </a:r>
              <a:r>
                <a:rPr lang="en-SG" sz="1100" b="0" i="0">
                  <a:latin typeface="Cambria Math" panose="02040503050406030204" pitchFamily="18" charset="0"/>
                </a:rPr>
                <a:t>=</a:t>
              </a:r>
              <a:r>
                <a:rPr lang="en-US" sz="1100" b="0" i="0">
                  <a:latin typeface="Cambria Math" panose="02040503050406030204" pitchFamily="18" charset="0"/>
                </a:rPr>
                <a:t>∏8_(</a:t>
              </a:r>
              <a:r>
                <a:rPr lang="en-US" sz="1100" b="0" i="0">
                  <a:solidFill>
                    <a:schemeClr val="dk1"/>
                  </a:solidFill>
                  <a:effectLst/>
                  <a:latin typeface="+mn-lt"/>
                  <a:ea typeface="+mn-ea"/>
                  <a:cs typeface="+mn-cs"/>
                </a:rPr>
                <a:t>𝑎∈𝑘</a:t>
              </a:r>
              <a:r>
                <a:rPr lang="en-US" sz="1100" b="0" i="0">
                  <a:solidFill>
                    <a:schemeClr val="dk1"/>
                  </a:solidFill>
                  <a:effectLst/>
                  <a:latin typeface="Cambria Math" panose="02040503050406030204" pitchFamily="18" charset="0"/>
                  <a:ea typeface="+mn-ea"/>
                  <a:cs typeface="+mn-cs"/>
                </a:rPr>
                <a:t>)▒</a:t>
              </a:r>
              <a:r>
                <a:rPr lang="en-US" sz="1100" b="0" i="0">
                  <a:latin typeface="Cambria Math" panose="02040503050406030204" pitchFamily="18" charset="0"/>
                </a:rPr>
                <a:t>exp⁡[</a:t>
              </a:r>
              <a:r>
                <a:rPr lang="en-US" sz="1100" b="0" i="0">
                  <a:solidFill>
                    <a:schemeClr val="dk1"/>
                  </a:solidFill>
                  <a:effectLst/>
                  <a:latin typeface="+mn-lt"/>
                  <a:ea typeface="+mn-ea"/>
                  <a:cs typeface="+mn-cs"/>
                </a:rPr>
                <a:t>𝑒𝑥𝑝.𝑐𝑜𝑒𝑓𝑓.</a:t>
              </a:r>
              <a:r>
                <a:rPr lang="en-US" sz="1100" b="0" i="0">
                  <a:solidFill>
                    <a:schemeClr val="dk1"/>
                  </a:solidFill>
                  <a:effectLst/>
                  <a:latin typeface="Cambria Math" panose="02040503050406030204" pitchFamily="18" charset="0"/>
                  <a:ea typeface="+mn-ea"/>
                  <a:cs typeface="+mn-cs"/>
                </a:rPr>
                <a:t>  × </a:t>
              </a:r>
              <a:r>
                <a:rPr lang="en-SG" sz="1100" b="0" i="0">
                  <a:solidFill>
                    <a:schemeClr val="dk1"/>
                  </a:solidFill>
                  <a:effectLst/>
                  <a:latin typeface="+mn-lt"/>
                  <a:ea typeface="+mn-ea"/>
                  <a:cs typeface="+mn-cs"/>
                </a:rPr>
                <a:t>𝜏_𝑎^+ (𝑓_𝑎 )</a:t>
              </a:r>
              <a:r>
                <a:rPr lang="en-US" sz="1100" b="0" i="0">
                  <a:solidFill>
                    <a:schemeClr val="dk1"/>
                  </a:solidFill>
                  <a:effectLst/>
                  <a:latin typeface="Cambria Math" panose="02040503050406030204" pitchFamily="18" charset="0"/>
                  <a:ea typeface="+mn-ea"/>
                  <a:cs typeface="+mn-cs"/>
                </a:rPr>
                <a:t>] </a:t>
              </a:r>
              <a:endParaRPr lang="en-SG" i="1">
                <a:effectLst/>
              </a:endParaRPr>
            </a:p>
          </xdr:txBody>
        </xdr:sp>
      </mc:Fallback>
    </mc:AlternateContent>
    <xdr:clientData/>
  </xdr:twoCellAnchor>
  <xdr:twoCellAnchor editAs="oneCell">
    <xdr:from>
      <xdr:col>4</xdr:col>
      <xdr:colOff>15875</xdr:colOff>
      <xdr:row>121</xdr:row>
      <xdr:rowOff>73025</xdr:rowOff>
    </xdr:from>
    <xdr:to>
      <xdr:col>30</xdr:col>
      <xdr:colOff>225425</xdr:colOff>
      <xdr:row>130</xdr:row>
      <xdr:rowOff>927100</xdr:rowOff>
    </xdr:to>
    <mc:AlternateContent xmlns:mc="http://schemas.openxmlformats.org/markup-compatibility/2006" xmlns:a14="http://schemas.microsoft.com/office/drawing/2010/main">
      <mc:Choice Requires="a14">
        <xdr:sp macro="" textlink="">
          <xdr:nvSpPr>
            <xdr:cNvPr id="7" name="TextBox 6"/>
            <xdr:cNvSpPr txBox="1"/>
          </xdr:nvSpPr>
          <xdr:spPr>
            <a:xfrm>
              <a:off x="1133475" y="36979225"/>
              <a:ext cx="7473950" cy="3597275"/>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
                    <m:sSubPr>
                      <m:ctrlPr>
                        <a:rPr lang="en-US" sz="1600" b="0" i="1">
                          <a:latin typeface="Cambria Math" charset="0"/>
                        </a:rPr>
                      </m:ctrlPr>
                    </m:sSubPr>
                    <m:e>
                      <m:r>
                        <a:rPr lang="en-US" sz="1600" b="0" i="1">
                          <a:latin typeface="Cambria Math" panose="02040503050406030204" pitchFamily="18" charset="0"/>
                        </a:rPr>
                        <m:t>𝑝</m:t>
                      </m:r>
                    </m:e>
                    <m:sub>
                      <m:r>
                        <a:rPr lang="en-US" sz="1600" b="0" i="1">
                          <a:latin typeface="Cambria Math" panose="02040503050406030204" pitchFamily="18" charset="0"/>
                        </a:rPr>
                        <m:t>𝑘𝑤</m:t>
                      </m:r>
                    </m:sub>
                  </m:sSub>
                </m:oMath>
              </a14:m>
              <a:r>
                <a:rPr lang="en-SG" sz="1600" b="0" i="0">
                  <a:latin typeface="Cambria Math" panose="02040503050406030204" pitchFamily="18" charset="0"/>
                </a:rPr>
                <a:t> : </a:t>
              </a:r>
              <a:r>
                <a:rPr lang="en-US" sz="1600" b="0" i="0">
                  <a:latin typeface="Cambria Math" panose="02040503050406030204" pitchFamily="18" charset="0"/>
                </a:rPr>
                <a:t>probability of a user</a:t>
              </a:r>
              <a:r>
                <a:rPr lang="en-US" sz="1600" b="0" i="0" baseline="0">
                  <a:latin typeface="Cambria Math" panose="02040503050406030204" pitchFamily="18" charset="0"/>
                </a:rPr>
                <a:t> in O-D pair </a:t>
              </a:r>
              <a14:m>
                <m:oMath xmlns:m="http://schemas.openxmlformats.org/officeDocument/2006/math">
                  <m:r>
                    <a:rPr lang="en-US" sz="1600" b="0" i="1" baseline="0">
                      <a:latin typeface="Cambria Math" panose="02040503050406030204" pitchFamily="18" charset="0"/>
                    </a:rPr>
                    <m:t>𝑤</m:t>
                  </m:r>
                </m:oMath>
              </a14:m>
              <a:r>
                <a:rPr lang="en-SG" sz="1600" b="0" i="0">
                  <a:latin typeface="Cambria Math" panose="02040503050406030204" pitchFamily="18" charset="0"/>
                </a:rPr>
                <a:t> chooses</a:t>
              </a:r>
              <a:r>
                <a:rPr lang="en-SG" sz="1600" b="0" i="0" baseline="0">
                  <a:latin typeface="Cambria Math" panose="02040503050406030204" pitchFamily="18" charset="0"/>
                </a:rPr>
                <a:t> route </a:t>
              </a:r>
              <a14:m>
                <m:oMath xmlns:m="http://schemas.openxmlformats.org/officeDocument/2006/math">
                  <m:r>
                    <a:rPr lang="en-US" sz="1600" b="0" i="1" baseline="0">
                      <a:latin typeface="Cambria Math" panose="02040503050406030204" pitchFamily="18" charset="0"/>
                    </a:rPr>
                    <m:t>𝑘</m:t>
                  </m:r>
                </m:oMath>
              </a14:m>
              <a:r>
                <a:rPr lang="en-SG" sz="1600" b="0" i="0">
                  <a:latin typeface="Cambria Math" panose="02040503050406030204" pitchFamily="18" charset="0"/>
                </a:rPr>
                <a:t> among the routes in the choice set </a:t>
              </a:r>
              <a14:m>
                <m:oMath xmlns:m="http://schemas.openxmlformats.org/officeDocument/2006/math">
                  <m:sSub>
                    <m:sSubPr>
                      <m:ctrlPr>
                        <a:rPr lang="en-US" sz="1600" b="0" i="1">
                          <a:latin typeface="Cambria Math" charset="0"/>
                        </a:rPr>
                      </m:ctrlPr>
                    </m:sSubPr>
                    <m:e>
                      <m:r>
                        <a:rPr lang="en-US" sz="1600" b="0" i="1">
                          <a:latin typeface="Cambria Math" panose="02040503050406030204" pitchFamily="18" charset="0"/>
                        </a:rPr>
                        <m:t>𝐾</m:t>
                      </m:r>
                    </m:e>
                    <m:sub>
                      <m:r>
                        <a:rPr lang="en-US" sz="1600" b="0" i="1">
                          <a:latin typeface="Cambria Math" panose="02040503050406030204" pitchFamily="18" charset="0"/>
                        </a:rPr>
                        <m:t>𝑤</m:t>
                      </m:r>
                    </m:sub>
                  </m:sSub>
                  <m:r>
                    <a:rPr lang="en-US" sz="1600" b="0" i="0">
                      <a:latin typeface="Cambria Math" panose="02040503050406030204" pitchFamily="18" charset="0"/>
                    </a:rPr>
                    <m:t>.</m:t>
                  </m:r>
                </m:oMath>
              </a14:m>
              <a:endParaRPr lang="en-US" sz="1600" b="0" i="0">
                <a:latin typeface="Cambria Math" panose="02040503050406030204" pitchFamily="18" charset="0"/>
              </a:endParaRPr>
            </a:p>
            <a:p>
              <a:pPr algn="l">
                <a:lnSpc>
                  <a:spcPct val="200000"/>
                </a:lnSpc>
              </a:pPr>
              <a14:m>
                <m:oMath xmlns:m="http://schemas.openxmlformats.org/officeDocument/2006/math">
                  <m:sSub>
                    <m:sSubPr>
                      <m:ctrlPr>
                        <a:rPr lang="en-US" sz="1600" b="0" i="1">
                          <a:latin typeface="Cambria Math" charset="0"/>
                        </a:rPr>
                      </m:ctrlPr>
                    </m:sSubPr>
                    <m:e>
                      <m:r>
                        <a:rPr lang="en-US" sz="1600" b="0" i="1">
                          <a:latin typeface="Cambria Math" panose="02040503050406030204" pitchFamily="18" charset="0"/>
                        </a:rPr>
                        <m:t>𝜃</m:t>
                      </m:r>
                    </m:e>
                    <m:sub>
                      <m:r>
                        <a:rPr lang="en-US" sz="1600" b="0" i="1">
                          <a:latin typeface="Cambria Math" panose="02040503050406030204" pitchFamily="18" charset="0"/>
                        </a:rPr>
                        <m:t>𝑤</m:t>
                      </m:r>
                    </m:sub>
                  </m:sSub>
                </m:oMath>
              </a14:m>
              <a:r>
                <a:rPr lang="en-US" sz="1600" b="0" i="0">
                  <a:latin typeface="Cambria Math" panose="02040503050406030204" pitchFamily="18" charset="0"/>
                </a:rPr>
                <a:t>: logit</a:t>
              </a:r>
              <a:r>
                <a:rPr lang="en-US" sz="1600" b="0" i="0" baseline="0">
                  <a:latin typeface="Cambria Math" panose="02040503050406030204" pitchFamily="18" charset="0"/>
                </a:rPr>
                <a:t> dispersion parameter for O-D pair </a:t>
              </a:r>
              <a14:m>
                <m:oMath xmlns:m="http://schemas.openxmlformats.org/officeDocument/2006/math">
                  <m:r>
                    <a:rPr lang="en-US" sz="1600" b="0" i="1" baseline="0">
                      <a:latin typeface="Cambria Math" panose="02040503050406030204" pitchFamily="18" charset="0"/>
                    </a:rPr>
                    <m:t>𝑤</m:t>
                  </m:r>
                </m:oMath>
              </a14:m>
              <a:r>
                <a:rPr lang="en-US" sz="1600" b="0" i="0">
                  <a:latin typeface="Cambria Math" panose="02040503050406030204" pitchFamily="18" charset="0"/>
                </a:rPr>
                <a:t>.</a:t>
              </a:r>
            </a:p>
            <a:p>
              <a:pPr algn="l">
                <a:lnSpc>
                  <a:spcPct val="200000"/>
                </a:lnSpc>
              </a:pPr>
              <a14:m>
                <m:oMath xmlns:m="http://schemas.openxmlformats.org/officeDocument/2006/math">
                  <m:r>
                    <a:rPr lang="en-US" sz="1600" b="0" i="1">
                      <a:latin typeface="Cambria Math" panose="02040503050406030204" pitchFamily="18" charset="0"/>
                    </a:rPr>
                    <m:t>𝐶</m:t>
                  </m:r>
                  <m:sSub>
                    <m:sSubPr>
                      <m:ctrlPr>
                        <a:rPr lang="en-US" sz="1600" b="0" i="1">
                          <a:latin typeface="Cambria Math" charset="0"/>
                        </a:rPr>
                      </m:ctrlPr>
                    </m:sSubPr>
                    <m:e>
                      <m:r>
                        <a:rPr lang="en-US" sz="1600" b="0" i="1">
                          <a:latin typeface="Cambria Math" panose="02040503050406030204" pitchFamily="18" charset="0"/>
                        </a:rPr>
                        <m:t>𝑇</m:t>
                      </m:r>
                    </m:e>
                    <m:sub>
                      <m:r>
                        <a:rPr lang="en-US" sz="1600" b="0" i="1">
                          <a:latin typeface="Cambria Math" panose="02040503050406030204" pitchFamily="18" charset="0"/>
                        </a:rPr>
                        <m:t>𝑘𝑤</m:t>
                      </m:r>
                    </m:sub>
                  </m:sSub>
                </m:oMath>
              </a14:m>
              <a:r>
                <a:rPr lang="en-SG" sz="1600" b="0" i="0">
                  <a:latin typeface="Cambria Math" panose="02040503050406030204" pitchFamily="18" charset="0"/>
                </a:rPr>
                <a:t>: deterministic correction term for</a:t>
              </a:r>
              <a:r>
                <a:rPr lang="en-SG" sz="1600" b="0" i="0" baseline="0">
                  <a:latin typeface="Cambria Math" panose="02040503050406030204" pitchFamily="18" charset="0"/>
                </a:rPr>
                <a:t> route </a:t>
              </a:r>
              <a14:m>
                <m:oMath xmlns:m="http://schemas.openxmlformats.org/officeDocument/2006/math">
                  <m:r>
                    <a:rPr lang="en-US" sz="1600" b="0" i="1" baseline="0">
                      <a:latin typeface="Cambria Math" panose="02040503050406030204" pitchFamily="18" charset="0"/>
                    </a:rPr>
                    <m:t>𝑘</m:t>
                  </m:r>
                </m:oMath>
              </a14:m>
              <a:r>
                <a:rPr lang="en-SG" sz="1600" b="0" i="0">
                  <a:latin typeface="Cambria Math" panose="02040503050406030204" pitchFamily="18" charset="0"/>
                </a:rPr>
                <a:t> in the O-D</a:t>
              </a:r>
              <a:r>
                <a:rPr lang="en-SG" sz="1600" b="0" i="0" baseline="0">
                  <a:latin typeface="Cambria Math" panose="02040503050406030204" pitchFamily="18" charset="0"/>
                </a:rPr>
                <a:t> pair </a:t>
              </a:r>
              <a14:m>
                <m:oMath xmlns:m="http://schemas.openxmlformats.org/officeDocument/2006/math">
                  <m:r>
                    <a:rPr lang="en-US" sz="1600" b="0" i="1" baseline="0">
                      <a:latin typeface="Cambria Math" panose="02040503050406030204" pitchFamily="18" charset="0"/>
                    </a:rPr>
                    <m:t>𝑤</m:t>
                  </m:r>
                </m:oMath>
              </a14:m>
              <a:r>
                <a:rPr lang="en-SG" sz="1600" b="0" i="0">
                  <a:latin typeface="Cambria Math" panose="02040503050406030204" pitchFamily="18" charset="0"/>
                </a:rPr>
                <a:t>.</a:t>
              </a:r>
            </a:p>
            <a:p>
              <a:pPr lvl="1" algn="l">
                <a:lnSpc>
                  <a:spcPct val="200000"/>
                </a:lnSpc>
              </a:pPr>
              <a14:m>
                <m:oMathPara xmlns:m="http://schemas.openxmlformats.org/officeDocument/2006/math">
                  <m:oMathParaPr>
                    <m:jc m:val="left"/>
                  </m:oMathParaPr>
                  <m:oMath xmlns:m="http://schemas.openxmlformats.org/officeDocument/2006/math">
                    <m:sSub>
                      <m:sSubPr>
                        <m:ctrlPr>
                          <a:rPr lang="en-US" sz="1600" b="0" i="1">
                            <a:latin typeface="Cambria Math" charset="0"/>
                          </a:rPr>
                        </m:ctrlPr>
                      </m:sSubPr>
                      <m:e>
                        <m:r>
                          <a:rPr lang="en-US" sz="1600" b="0" i="1">
                            <a:latin typeface="Cambria Math" panose="02040503050406030204" pitchFamily="18" charset="0"/>
                          </a:rPr>
                          <m:t>𝑝</m:t>
                        </m:r>
                      </m:e>
                      <m:sub>
                        <m:r>
                          <a:rPr lang="en-US" sz="1600" b="0" i="1">
                            <a:latin typeface="Cambria Math" panose="02040503050406030204" pitchFamily="18" charset="0"/>
                          </a:rPr>
                          <m:t>𝑘𝑤</m:t>
                        </m:r>
                      </m:sub>
                    </m:sSub>
                    <m:r>
                      <a:rPr lang="en-US" sz="1600" b="0" i="1">
                        <a:latin typeface="Cambria Math" panose="02040503050406030204" pitchFamily="18" charset="0"/>
                      </a:rPr>
                      <m:t>=</m:t>
                    </m:r>
                    <m:f>
                      <m:fPr>
                        <m:ctrlPr>
                          <a:rPr lang="en-SG" sz="1600" b="0" i="1">
                            <a:solidFill>
                              <a:schemeClr val="dk1"/>
                            </a:solidFill>
                            <a:effectLst/>
                            <a:latin typeface="Cambria Math" charset="0"/>
                            <a:ea typeface="+mn-ea"/>
                            <a:cs typeface="+mn-cs"/>
                          </a:rPr>
                        </m:ctrlPr>
                      </m:fPr>
                      <m:num>
                        <m:r>
                          <a:rPr lang="en-SG" sz="1600" b="0" i="1">
                            <a:solidFill>
                              <a:schemeClr val="dk1"/>
                            </a:solidFill>
                            <a:effectLst/>
                            <a:latin typeface="Cambria Math" panose="02040503050406030204" pitchFamily="18" charset="0"/>
                            <a:ea typeface="+mn-ea"/>
                            <a:cs typeface="+mn-cs"/>
                          </a:rPr>
                          <m:t>𝐶</m:t>
                        </m:r>
                        <m:sSub>
                          <m:sSubPr>
                            <m:ctrlPr>
                              <a:rPr lang="en-SG" sz="1600" b="0" i="1">
                                <a:solidFill>
                                  <a:schemeClr val="dk1"/>
                                </a:solidFill>
                                <a:effectLst/>
                                <a:latin typeface="Cambria Math" charset="0"/>
                                <a:ea typeface="+mn-ea"/>
                                <a:cs typeface="+mn-cs"/>
                              </a:rPr>
                            </m:ctrlPr>
                          </m:sSubPr>
                          <m:e>
                            <m:r>
                              <a:rPr lang="en-SG" sz="1600" b="0" i="1">
                                <a:solidFill>
                                  <a:schemeClr val="dk1"/>
                                </a:solidFill>
                                <a:effectLst/>
                                <a:latin typeface="Cambria Math" panose="02040503050406030204" pitchFamily="18" charset="0"/>
                                <a:ea typeface="+mn-ea"/>
                                <a:cs typeface="+mn-cs"/>
                              </a:rPr>
                              <m:t>𝑇</m:t>
                            </m:r>
                          </m:e>
                          <m:sub>
                            <m:r>
                              <a:rPr lang="en-SG" sz="1600" b="0" i="1">
                                <a:solidFill>
                                  <a:schemeClr val="dk1"/>
                                </a:solidFill>
                                <a:effectLst/>
                                <a:latin typeface="Cambria Math" panose="02040503050406030204" pitchFamily="18" charset="0"/>
                                <a:ea typeface="+mn-ea"/>
                                <a:cs typeface="+mn-cs"/>
                              </a:rPr>
                              <m:t>𝑘</m:t>
                            </m:r>
                          </m:sub>
                        </m:sSub>
                        <m:r>
                          <a:rPr lang="en-US" sz="1600" b="0" i="1">
                            <a:solidFill>
                              <a:schemeClr val="dk1"/>
                            </a:solidFill>
                            <a:effectLst/>
                            <a:latin typeface="Cambria Math" panose="02040503050406030204" pitchFamily="18" charset="0"/>
                            <a:ea typeface="+mn-ea"/>
                            <a:cs typeface="+mn-cs"/>
                          </a:rPr>
                          <m:t> </m:t>
                        </m:r>
                        <m:func>
                          <m:funcPr>
                            <m:ctrlPr>
                              <a:rPr lang="en-SG" sz="1600" b="0" i="1">
                                <a:solidFill>
                                  <a:schemeClr val="dk1"/>
                                </a:solidFill>
                                <a:effectLst/>
                                <a:latin typeface="Cambria Math" charset="0"/>
                                <a:ea typeface="+mn-ea"/>
                                <a:cs typeface="+mn-cs"/>
                              </a:rPr>
                            </m:ctrlPr>
                          </m:funcPr>
                          <m:fName>
                            <m:r>
                              <a:rPr lang="en-SG" sz="1600" b="0" i="1">
                                <a:solidFill>
                                  <a:schemeClr val="dk1"/>
                                </a:solidFill>
                                <a:effectLst/>
                                <a:latin typeface="Cambria Math" panose="02040503050406030204" pitchFamily="18" charset="0"/>
                                <a:ea typeface="+mn-ea"/>
                                <a:cs typeface="+mn-cs"/>
                              </a:rPr>
                              <m:t>𝑒𝑥𝑝</m:t>
                            </m:r>
                          </m:fName>
                          <m:e>
                            <m:d>
                              <m:dPr>
                                <m:ctrlPr>
                                  <a:rPr lang="en-SG" sz="1600" b="0" i="1">
                                    <a:solidFill>
                                      <a:schemeClr val="dk1"/>
                                    </a:solidFill>
                                    <a:effectLst/>
                                    <a:latin typeface="Cambria Math" charset="0"/>
                                    <a:ea typeface="+mn-ea"/>
                                    <a:cs typeface="+mn-cs"/>
                                  </a:rPr>
                                </m:ctrlPr>
                              </m:dPr>
                              <m:e>
                                <m:r>
                                  <a:rPr lang="en-SG" sz="1600" b="0" i="1">
                                    <a:solidFill>
                                      <a:schemeClr val="dk1"/>
                                    </a:solidFill>
                                    <a:effectLst/>
                                    <a:latin typeface="Cambria Math" panose="02040503050406030204" pitchFamily="18" charset="0"/>
                                    <a:ea typeface="+mn-ea"/>
                                    <a:cs typeface="+mn-cs"/>
                                  </a:rPr>
                                  <m:t>−</m:t>
                                </m:r>
                                <m:sSub>
                                  <m:sSubPr>
                                    <m:ctrlPr>
                                      <a:rPr lang="en-US" sz="1600" b="0" i="1">
                                        <a:solidFill>
                                          <a:schemeClr val="dk1"/>
                                        </a:solidFill>
                                        <a:effectLst/>
                                        <a:latin typeface="Cambria Math" charset="0"/>
                                        <a:ea typeface="+mn-ea"/>
                                        <a:cs typeface="+mn-cs"/>
                                      </a:rPr>
                                    </m:ctrlPr>
                                  </m:sSubPr>
                                  <m:e>
                                    <m:r>
                                      <a:rPr lang="en-SG" sz="1600" b="0" i="1">
                                        <a:solidFill>
                                          <a:schemeClr val="dk1"/>
                                        </a:solidFill>
                                        <a:effectLst/>
                                        <a:latin typeface="Cambria Math" panose="02040503050406030204" pitchFamily="18" charset="0"/>
                                        <a:ea typeface="+mn-ea"/>
                                        <a:cs typeface="+mn-cs"/>
                                      </a:rPr>
                                      <m:t>𝜃</m:t>
                                    </m:r>
                                  </m:e>
                                  <m:sub>
                                    <m:r>
                                      <a:rPr lang="en-US" sz="1600" b="0" i="1">
                                        <a:solidFill>
                                          <a:schemeClr val="dk1"/>
                                        </a:solidFill>
                                        <a:effectLst/>
                                        <a:latin typeface="Cambria Math" panose="02040503050406030204" pitchFamily="18" charset="0"/>
                                        <a:ea typeface="+mn-ea"/>
                                        <a:cs typeface="+mn-cs"/>
                                      </a:rPr>
                                      <m:t>𝑤</m:t>
                                    </m:r>
                                  </m:sub>
                                </m:sSub>
                                <m:r>
                                  <a:rPr lang="en-US" sz="1600" b="0" i="1">
                                    <a:solidFill>
                                      <a:schemeClr val="dk1"/>
                                    </a:solidFill>
                                    <a:effectLst/>
                                    <a:latin typeface="Cambria Math" panose="02040503050406030204" pitchFamily="18" charset="0"/>
                                    <a:ea typeface="+mn-ea"/>
                                    <a:cs typeface="+mn-cs"/>
                                  </a:rPr>
                                  <m:t> </m:t>
                                </m:r>
                                <m:sSubSup>
                                  <m:sSubSupPr>
                                    <m:ctrlPr>
                                      <a:rPr lang="en-SG" sz="1600" b="0" i="1">
                                        <a:solidFill>
                                          <a:schemeClr val="dk1"/>
                                        </a:solidFill>
                                        <a:effectLst/>
                                        <a:latin typeface="Cambria Math" charset="0"/>
                                        <a:ea typeface="+mn-ea"/>
                                        <a:cs typeface="+mn-cs"/>
                                      </a:rPr>
                                    </m:ctrlPr>
                                  </m:sSubSupPr>
                                  <m:e>
                                    <m:r>
                                      <a:rPr lang="en-SG" sz="1600" b="0" i="1">
                                        <a:solidFill>
                                          <a:schemeClr val="dk1"/>
                                        </a:solidFill>
                                        <a:effectLst/>
                                        <a:latin typeface="Cambria Math" panose="02040503050406030204" pitchFamily="18" charset="0"/>
                                        <a:ea typeface="+mn-ea"/>
                                        <a:cs typeface="+mn-cs"/>
                                      </a:rPr>
                                      <m:t>𝑐</m:t>
                                    </m:r>
                                  </m:e>
                                  <m:sub>
                                    <m:r>
                                      <a:rPr lang="en-SG" sz="1600" b="0" i="1">
                                        <a:solidFill>
                                          <a:schemeClr val="dk1"/>
                                        </a:solidFill>
                                        <a:effectLst/>
                                        <a:latin typeface="Cambria Math" panose="02040503050406030204" pitchFamily="18" charset="0"/>
                                        <a:ea typeface="+mn-ea"/>
                                        <a:cs typeface="+mn-cs"/>
                                      </a:rPr>
                                      <m:t>𝑘𝑤</m:t>
                                    </m:r>
                                  </m:sub>
                                  <m:sup>
                                    <m:r>
                                      <a:rPr lang="en-SG" sz="1600" b="0" i="1">
                                        <a:solidFill>
                                          <a:schemeClr val="dk1"/>
                                        </a:solidFill>
                                        <a:effectLst/>
                                        <a:latin typeface="Cambria Math" panose="02040503050406030204" pitchFamily="18" charset="0"/>
                                        <a:ea typeface="+mn-ea"/>
                                        <a:cs typeface="+mn-cs"/>
                                      </a:rPr>
                                      <m:t>+</m:t>
                                    </m:r>
                                  </m:sup>
                                </m:sSubSup>
                              </m:e>
                            </m:d>
                          </m:e>
                        </m:func>
                      </m:num>
                      <m:den>
                        <m:nary>
                          <m:naryPr>
                            <m:chr m:val="∑"/>
                            <m:supHide m:val="on"/>
                            <m:ctrlPr>
                              <a:rPr lang="en-SG" sz="1600" b="0" i="1">
                                <a:solidFill>
                                  <a:schemeClr val="dk1"/>
                                </a:solidFill>
                                <a:effectLst/>
                                <a:latin typeface="Cambria Math" charset="0"/>
                                <a:ea typeface="+mn-ea"/>
                                <a:cs typeface="+mn-cs"/>
                              </a:rPr>
                            </m:ctrlPr>
                          </m:naryPr>
                          <m:sub>
                            <m:r>
                              <a:rPr lang="en-SG" sz="1600" b="0" i="1">
                                <a:solidFill>
                                  <a:schemeClr val="dk1"/>
                                </a:solidFill>
                                <a:effectLst/>
                                <a:latin typeface="Cambria Math" panose="02040503050406030204" pitchFamily="18" charset="0"/>
                                <a:ea typeface="+mn-ea"/>
                                <a:cs typeface="+mn-cs"/>
                              </a:rPr>
                              <m:t>𝑙</m:t>
                            </m:r>
                            <m:r>
                              <a:rPr lang="en-SG" sz="1600" b="0" i="1">
                                <a:solidFill>
                                  <a:schemeClr val="dk1"/>
                                </a:solidFill>
                                <a:effectLst/>
                                <a:latin typeface="Cambria Math" panose="02040503050406030204" pitchFamily="18" charset="0"/>
                                <a:ea typeface="+mn-ea"/>
                                <a:cs typeface="+mn-cs"/>
                              </a:rPr>
                              <m:t>∈</m:t>
                            </m:r>
                            <m:sSub>
                              <m:sSubPr>
                                <m:ctrlPr>
                                  <a:rPr lang="en-SG" sz="1600" b="0" i="1">
                                    <a:solidFill>
                                      <a:schemeClr val="dk1"/>
                                    </a:solidFill>
                                    <a:effectLst/>
                                    <a:latin typeface="Cambria Math" charset="0"/>
                                    <a:ea typeface="+mn-ea"/>
                                    <a:cs typeface="+mn-cs"/>
                                  </a:rPr>
                                </m:ctrlPr>
                              </m:sSubPr>
                              <m:e>
                                <m:r>
                                  <a:rPr lang="en-SG" sz="1600" b="0" i="1">
                                    <a:solidFill>
                                      <a:schemeClr val="dk1"/>
                                    </a:solidFill>
                                    <a:effectLst/>
                                    <a:latin typeface="Cambria Math" panose="02040503050406030204" pitchFamily="18" charset="0"/>
                                    <a:ea typeface="+mn-ea"/>
                                    <a:cs typeface="+mn-cs"/>
                                  </a:rPr>
                                  <m:t>𝐾</m:t>
                                </m:r>
                              </m:e>
                              <m:sub>
                                <m:r>
                                  <a:rPr lang="en-SG" sz="1600" b="0" i="1">
                                    <a:solidFill>
                                      <a:schemeClr val="dk1"/>
                                    </a:solidFill>
                                    <a:effectLst/>
                                    <a:latin typeface="Cambria Math" panose="02040503050406030204" pitchFamily="18" charset="0"/>
                                    <a:ea typeface="+mn-ea"/>
                                    <a:cs typeface="+mn-cs"/>
                                  </a:rPr>
                                  <m:t>𝑤</m:t>
                                </m:r>
                              </m:sub>
                            </m:sSub>
                          </m:sub>
                          <m:sup/>
                          <m:e>
                            <m:r>
                              <a:rPr lang="en-SG" sz="1600" b="0" i="1">
                                <a:solidFill>
                                  <a:schemeClr val="dk1"/>
                                </a:solidFill>
                                <a:effectLst/>
                                <a:latin typeface="Cambria Math" panose="02040503050406030204" pitchFamily="18" charset="0"/>
                                <a:ea typeface="+mn-ea"/>
                                <a:cs typeface="+mn-cs"/>
                              </a:rPr>
                              <m:t>𝐶</m:t>
                            </m:r>
                            <m:sSub>
                              <m:sSubPr>
                                <m:ctrlPr>
                                  <a:rPr lang="en-SG" sz="1600" b="0" i="1">
                                    <a:solidFill>
                                      <a:schemeClr val="dk1"/>
                                    </a:solidFill>
                                    <a:effectLst/>
                                    <a:latin typeface="Cambria Math" charset="0"/>
                                    <a:ea typeface="+mn-ea"/>
                                    <a:cs typeface="+mn-cs"/>
                                  </a:rPr>
                                </m:ctrlPr>
                              </m:sSubPr>
                              <m:e>
                                <m:r>
                                  <a:rPr lang="en-SG" sz="1600" b="0" i="1">
                                    <a:solidFill>
                                      <a:schemeClr val="dk1"/>
                                    </a:solidFill>
                                    <a:effectLst/>
                                    <a:latin typeface="Cambria Math" panose="02040503050406030204" pitchFamily="18" charset="0"/>
                                    <a:ea typeface="+mn-ea"/>
                                    <a:cs typeface="+mn-cs"/>
                                  </a:rPr>
                                  <m:t>𝑇</m:t>
                                </m:r>
                              </m:e>
                              <m:sub>
                                <m:r>
                                  <a:rPr lang="en-SG" sz="1600" b="0" i="1">
                                    <a:solidFill>
                                      <a:schemeClr val="dk1"/>
                                    </a:solidFill>
                                    <a:effectLst/>
                                    <a:latin typeface="Cambria Math" panose="02040503050406030204" pitchFamily="18" charset="0"/>
                                    <a:ea typeface="+mn-ea"/>
                                    <a:cs typeface="+mn-cs"/>
                                  </a:rPr>
                                  <m:t>𝑙</m:t>
                                </m:r>
                              </m:sub>
                            </m:sSub>
                            <m:r>
                              <a:rPr lang="en-US" sz="1600" b="0" i="1">
                                <a:solidFill>
                                  <a:schemeClr val="dk1"/>
                                </a:solidFill>
                                <a:effectLst/>
                                <a:latin typeface="Cambria Math" panose="02040503050406030204" pitchFamily="18" charset="0"/>
                                <a:ea typeface="+mn-ea"/>
                                <a:cs typeface="+mn-cs"/>
                              </a:rPr>
                              <m:t> </m:t>
                            </m:r>
                            <m:func>
                              <m:funcPr>
                                <m:ctrlPr>
                                  <a:rPr lang="en-SG" sz="1600" b="0" i="1">
                                    <a:solidFill>
                                      <a:schemeClr val="dk1"/>
                                    </a:solidFill>
                                    <a:effectLst/>
                                    <a:latin typeface="Cambria Math" charset="0"/>
                                    <a:ea typeface="+mn-ea"/>
                                    <a:cs typeface="+mn-cs"/>
                                  </a:rPr>
                                </m:ctrlPr>
                              </m:funcPr>
                              <m:fName>
                                <m:r>
                                  <a:rPr lang="en-SG" sz="1600" b="0" i="1">
                                    <a:solidFill>
                                      <a:schemeClr val="dk1"/>
                                    </a:solidFill>
                                    <a:effectLst/>
                                    <a:latin typeface="Cambria Math" panose="02040503050406030204" pitchFamily="18" charset="0"/>
                                    <a:ea typeface="+mn-ea"/>
                                    <a:cs typeface="+mn-cs"/>
                                  </a:rPr>
                                  <m:t>𝑒𝑥𝑝</m:t>
                                </m:r>
                              </m:fName>
                              <m:e>
                                <m:d>
                                  <m:dPr>
                                    <m:ctrlPr>
                                      <a:rPr lang="en-SG" sz="1600" b="0" i="1">
                                        <a:solidFill>
                                          <a:schemeClr val="dk1"/>
                                        </a:solidFill>
                                        <a:effectLst/>
                                        <a:latin typeface="Cambria Math" charset="0"/>
                                        <a:ea typeface="+mn-ea"/>
                                        <a:cs typeface="+mn-cs"/>
                                      </a:rPr>
                                    </m:ctrlPr>
                                  </m:dPr>
                                  <m:e>
                                    <m:r>
                                      <a:rPr lang="en-SG" sz="1600" b="0" i="1">
                                        <a:solidFill>
                                          <a:schemeClr val="dk1"/>
                                        </a:solidFill>
                                        <a:effectLst/>
                                        <a:latin typeface="Cambria Math" panose="02040503050406030204" pitchFamily="18" charset="0"/>
                                        <a:ea typeface="+mn-ea"/>
                                        <a:cs typeface="+mn-cs"/>
                                      </a:rPr>
                                      <m:t>−</m:t>
                                    </m:r>
                                    <m:sSub>
                                      <m:sSubPr>
                                        <m:ctrlPr>
                                          <a:rPr lang="en-US" sz="1600" b="0" i="1">
                                            <a:solidFill>
                                              <a:schemeClr val="dk1"/>
                                            </a:solidFill>
                                            <a:effectLst/>
                                            <a:latin typeface="Cambria Math" charset="0"/>
                                            <a:ea typeface="+mn-ea"/>
                                            <a:cs typeface="+mn-cs"/>
                                          </a:rPr>
                                        </m:ctrlPr>
                                      </m:sSubPr>
                                      <m:e>
                                        <m:r>
                                          <a:rPr lang="en-SG" sz="1600" b="0" i="1">
                                            <a:solidFill>
                                              <a:schemeClr val="dk1"/>
                                            </a:solidFill>
                                            <a:effectLst/>
                                            <a:latin typeface="Cambria Math" panose="02040503050406030204" pitchFamily="18" charset="0"/>
                                            <a:ea typeface="+mn-ea"/>
                                            <a:cs typeface="+mn-cs"/>
                                          </a:rPr>
                                          <m:t>𝜃</m:t>
                                        </m:r>
                                      </m:e>
                                      <m:sub>
                                        <m:r>
                                          <a:rPr lang="en-US" sz="1600" b="0" i="1">
                                            <a:solidFill>
                                              <a:schemeClr val="dk1"/>
                                            </a:solidFill>
                                            <a:effectLst/>
                                            <a:latin typeface="Cambria Math" panose="02040503050406030204" pitchFamily="18" charset="0"/>
                                            <a:ea typeface="+mn-ea"/>
                                            <a:cs typeface="+mn-cs"/>
                                          </a:rPr>
                                          <m:t>𝑤</m:t>
                                        </m:r>
                                      </m:sub>
                                    </m:sSub>
                                    <m:sSubSup>
                                      <m:sSubSupPr>
                                        <m:ctrlPr>
                                          <a:rPr lang="en-SG" sz="1600" b="0" i="1">
                                            <a:solidFill>
                                              <a:schemeClr val="dk1"/>
                                            </a:solidFill>
                                            <a:effectLst/>
                                            <a:latin typeface="Cambria Math" charset="0"/>
                                            <a:ea typeface="+mn-ea"/>
                                            <a:cs typeface="+mn-cs"/>
                                          </a:rPr>
                                        </m:ctrlPr>
                                      </m:sSubSupPr>
                                      <m:e>
                                        <m:r>
                                          <a:rPr lang="en-US" sz="1600" b="0" i="1">
                                            <a:solidFill>
                                              <a:schemeClr val="dk1"/>
                                            </a:solidFill>
                                            <a:effectLst/>
                                            <a:latin typeface="Cambria Math" panose="02040503050406030204" pitchFamily="18" charset="0"/>
                                            <a:ea typeface="+mn-ea"/>
                                            <a:cs typeface="+mn-cs"/>
                                          </a:rPr>
                                          <m:t> </m:t>
                                        </m:r>
                                        <m:r>
                                          <a:rPr lang="en-SG" sz="1600" b="0" i="1">
                                            <a:solidFill>
                                              <a:schemeClr val="dk1"/>
                                            </a:solidFill>
                                            <a:effectLst/>
                                            <a:latin typeface="Cambria Math" panose="02040503050406030204" pitchFamily="18" charset="0"/>
                                            <a:ea typeface="+mn-ea"/>
                                            <a:cs typeface="+mn-cs"/>
                                          </a:rPr>
                                          <m:t>𝑐</m:t>
                                        </m:r>
                                      </m:e>
                                      <m:sub>
                                        <m:r>
                                          <a:rPr lang="en-SG" sz="1600" b="0" i="1">
                                            <a:solidFill>
                                              <a:schemeClr val="dk1"/>
                                            </a:solidFill>
                                            <a:effectLst/>
                                            <a:latin typeface="Cambria Math" panose="02040503050406030204" pitchFamily="18" charset="0"/>
                                            <a:ea typeface="+mn-ea"/>
                                            <a:cs typeface="+mn-cs"/>
                                          </a:rPr>
                                          <m:t>𝑙𝑤</m:t>
                                        </m:r>
                                      </m:sub>
                                      <m:sup>
                                        <m:r>
                                          <a:rPr lang="en-SG" sz="1600" b="0" i="1">
                                            <a:solidFill>
                                              <a:schemeClr val="dk1"/>
                                            </a:solidFill>
                                            <a:effectLst/>
                                            <a:latin typeface="Cambria Math" panose="02040503050406030204" pitchFamily="18" charset="0"/>
                                            <a:ea typeface="+mn-ea"/>
                                            <a:cs typeface="+mn-cs"/>
                                          </a:rPr>
                                          <m:t>+</m:t>
                                        </m:r>
                                      </m:sup>
                                    </m:sSubSup>
                                  </m:e>
                                </m:d>
                              </m:e>
                            </m:func>
                          </m:e>
                        </m:nary>
                      </m:den>
                    </m:f>
                  </m:oMath>
                </m:oMathPara>
              </a14:m>
              <a:endParaRPr lang="en-SG" sz="1200" i="1">
                <a:effectLst/>
              </a:endParaRPr>
            </a:p>
          </xdr:txBody>
        </xdr:sp>
      </mc:Choice>
      <mc:Fallback xmlns="">
        <xdr:sp macro="" textlink="">
          <xdr:nvSpPr>
            <xdr:cNvPr id="7" name="TextBox 6"/>
            <xdr:cNvSpPr txBox="1"/>
          </xdr:nvSpPr>
          <xdr:spPr>
            <a:xfrm>
              <a:off x="1266825" y="22336125"/>
              <a:ext cx="6648450" cy="1943099"/>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𝑝_𝑘𝑤</a:t>
              </a:r>
              <a:r>
                <a:rPr lang="en-SG" sz="1100" b="0" i="0">
                  <a:latin typeface="Cambria Math" panose="02040503050406030204" pitchFamily="18" charset="0"/>
                </a:rPr>
                <a:t> : </a:t>
              </a:r>
              <a:r>
                <a:rPr lang="en-US" sz="1100" b="0" i="0">
                  <a:latin typeface="Cambria Math" panose="02040503050406030204" pitchFamily="18" charset="0"/>
                </a:rPr>
                <a:t>probability of a user</a:t>
              </a:r>
              <a:r>
                <a:rPr lang="en-US" sz="1100" b="0" i="0" baseline="0">
                  <a:latin typeface="Cambria Math" panose="02040503050406030204" pitchFamily="18" charset="0"/>
                </a:rPr>
                <a:t> in O-D pair 𝑤</a:t>
              </a:r>
              <a:r>
                <a:rPr lang="en-SG" sz="1100" b="0" i="0">
                  <a:latin typeface="Cambria Math" panose="02040503050406030204" pitchFamily="18" charset="0"/>
                </a:rPr>
                <a:t> chooses</a:t>
              </a:r>
              <a:r>
                <a:rPr lang="en-SG" sz="1100" b="0" i="0" baseline="0">
                  <a:latin typeface="Cambria Math" panose="02040503050406030204" pitchFamily="18" charset="0"/>
                </a:rPr>
                <a:t> route </a:t>
              </a:r>
              <a:r>
                <a:rPr lang="en-US" sz="1100" b="0" i="0" baseline="0">
                  <a:latin typeface="Cambria Math" panose="02040503050406030204" pitchFamily="18" charset="0"/>
                </a:rPr>
                <a:t>𝑘</a:t>
              </a:r>
              <a:r>
                <a:rPr lang="en-SG" sz="1100" b="0" i="0">
                  <a:latin typeface="Cambria Math" panose="02040503050406030204" pitchFamily="18" charset="0"/>
                </a:rPr>
                <a:t> among the routes in the choice set </a:t>
              </a:r>
              <a:r>
                <a:rPr lang="en-US" sz="1100" b="0" i="0">
                  <a:latin typeface="Cambria Math" panose="02040503050406030204" pitchFamily="18" charset="0"/>
                </a:rPr>
                <a:t>𝐾_𝑤.</a:t>
              </a:r>
            </a:p>
            <a:p>
              <a:pPr algn="l">
                <a:lnSpc>
                  <a:spcPct val="200000"/>
                </a:lnSpc>
              </a:pPr>
              <a:r>
                <a:rPr lang="en-US" sz="1100" b="0" i="0">
                  <a:latin typeface="Cambria Math" panose="02040503050406030204" pitchFamily="18" charset="0"/>
                </a:rPr>
                <a:t>𝜃_𝑤: logit</a:t>
              </a:r>
              <a:r>
                <a:rPr lang="en-US" sz="1100" b="0" i="0" baseline="0">
                  <a:latin typeface="Cambria Math" panose="02040503050406030204" pitchFamily="18" charset="0"/>
                </a:rPr>
                <a:t> dispersion parameter for O-D pair 𝑤</a:t>
              </a:r>
              <a:r>
                <a:rPr lang="en-US" sz="1100" b="0" i="0">
                  <a:latin typeface="Cambria Math" panose="02040503050406030204" pitchFamily="18" charset="0"/>
                </a:rPr>
                <a:t>.</a:t>
              </a:r>
            </a:p>
            <a:p>
              <a:pPr algn="l">
                <a:lnSpc>
                  <a:spcPct val="200000"/>
                </a:lnSpc>
              </a:pPr>
              <a:r>
                <a:rPr lang="en-US" sz="1100" b="0" i="0">
                  <a:latin typeface="Cambria Math" panose="02040503050406030204" pitchFamily="18" charset="0"/>
                </a:rPr>
                <a:t>𝐶𝑇_𝑘𝑤</a:t>
              </a:r>
              <a:r>
                <a:rPr lang="en-SG" sz="1100" b="0" i="0">
                  <a:latin typeface="Cambria Math" panose="02040503050406030204" pitchFamily="18" charset="0"/>
                </a:rPr>
                <a:t>: deterministic correction term for</a:t>
              </a:r>
              <a:r>
                <a:rPr lang="en-SG" sz="1100" b="0" i="0" baseline="0">
                  <a:latin typeface="Cambria Math" panose="02040503050406030204" pitchFamily="18" charset="0"/>
                </a:rPr>
                <a:t> route </a:t>
              </a:r>
              <a:r>
                <a:rPr lang="en-US" sz="1100" b="0" i="0" baseline="0">
                  <a:latin typeface="Cambria Math" panose="02040503050406030204" pitchFamily="18" charset="0"/>
                </a:rPr>
                <a:t>𝑘</a:t>
              </a:r>
              <a:r>
                <a:rPr lang="en-SG" sz="1100" b="0" i="0">
                  <a:latin typeface="Cambria Math" panose="02040503050406030204" pitchFamily="18" charset="0"/>
                </a:rPr>
                <a:t> in the O-D</a:t>
              </a:r>
              <a:r>
                <a:rPr lang="en-SG" sz="1100" b="0" i="0" baseline="0">
                  <a:latin typeface="Cambria Math" panose="02040503050406030204" pitchFamily="18" charset="0"/>
                </a:rPr>
                <a:t> pair </a:t>
              </a:r>
              <a:r>
                <a:rPr lang="en-US" sz="1100" b="0" i="0" baseline="0">
                  <a:latin typeface="Cambria Math" panose="02040503050406030204" pitchFamily="18" charset="0"/>
                </a:rPr>
                <a:t>𝑤</a:t>
              </a:r>
              <a:r>
                <a:rPr lang="en-SG" sz="1100" b="0" i="0">
                  <a:latin typeface="Cambria Math" panose="02040503050406030204" pitchFamily="18" charset="0"/>
                </a:rPr>
                <a:t>.</a:t>
              </a:r>
            </a:p>
            <a:p>
              <a:pPr lvl="1" algn="l">
                <a:lnSpc>
                  <a:spcPct val="200000"/>
                </a:lnSpc>
              </a:pPr>
              <a:r>
                <a:rPr lang="en-US" sz="1100" b="0" i="0">
                  <a:latin typeface="Cambria Math" panose="02040503050406030204" pitchFamily="18" charset="0"/>
                </a:rPr>
                <a:t>𝑝_𝑘𝑤=</a:t>
              </a:r>
              <a:r>
                <a:rPr lang="en-SG" sz="1100" b="0" i="0">
                  <a:solidFill>
                    <a:schemeClr val="dk1"/>
                  </a:solidFill>
                  <a:effectLst/>
                  <a:latin typeface="+mn-lt"/>
                  <a:ea typeface="+mn-ea"/>
                  <a:cs typeface="+mn-cs"/>
                </a:rPr>
                <a:t>(𝐶𝑇_𝑘</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𝑒𝑥𝑝⁡(−𝜃</a:t>
              </a:r>
              <a:r>
                <a:rPr lang="en-US" sz="1100" b="0" i="0">
                  <a:solidFill>
                    <a:schemeClr val="dk1"/>
                  </a:solidFill>
                  <a:effectLst/>
                  <a:latin typeface="Cambria Math" panose="02040503050406030204" pitchFamily="18" charset="0"/>
                  <a:ea typeface="+mn-ea"/>
                  <a:cs typeface="+mn-cs"/>
                </a:rPr>
                <a:t>_𝑤  </a:t>
              </a:r>
              <a:r>
                <a:rPr lang="en-SG" sz="1100" b="0" i="0">
                  <a:solidFill>
                    <a:schemeClr val="dk1"/>
                  </a:solidFill>
                  <a:effectLst/>
                  <a:latin typeface="+mn-lt"/>
                  <a:ea typeface="+mn-ea"/>
                  <a:cs typeface="+mn-cs"/>
                </a:rPr>
                <a:t>𝑐_𝑘𝑤^+ ))/(∑_(𝑙∈𝐾_𝑤)▒〖𝐶𝑇_𝑙</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𝑒𝑥𝑝⁡(−𝜃</a:t>
              </a:r>
              <a:r>
                <a:rPr lang="en-US" sz="1100" b="0" i="0">
                  <a:solidFill>
                    <a:schemeClr val="dk1"/>
                  </a:solidFill>
                  <a:effectLst/>
                  <a:latin typeface="+mn-lt"/>
                  <a:ea typeface="+mn-ea"/>
                  <a:cs typeface="+mn-cs"/>
                </a:rPr>
                <a:t>_𝑤</a:t>
              </a:r>
              <a:r>
                <a:rPr lang="en-SG" sz="1100" b="0" i="0">
                  <a:solidFill>
                    <a:schemeClr val="dk1"/>
                  </a:solidFill>
                  <a:effectLst/>
                  <a:latin typeface="+mn-lt"/>
                  <a:ea typeface="+mn-ea"/>
                  <a:cs typeface="+mn-cs"/>
                </a:rPr>
                <a:t> 〖</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𝑐〗_𝑙𝑤^+ ) 〗)</a:t>
              </a:r>
              <a:endParaRPr lang="en-SG" i="1">
                <a:effectLst/>
              </a:endParaRPr>
            </a:p>
          </xdr:txBody>
        </xdr:sp>
      </mc:Fallback>
    </mc:AlternateContent>
    <xdr:clientData/>
  </xdr:twoCellAnchor>
  <xdr:twoCellAnchor editAs="oneCell">
    <xdr:from>
      <xdr:col>4</xdr:col>
      <xdr:colOff>28575</xdr:colOff>
      <xdr:row>140</xdr:row>
      <xdr:rowOff>180976</xdr:rowOff>
    </xdr:from>
    <xdr:to>
      <xdr:col>30</xdr:col>
      <xdr:colOff>238125</xdr:colOff>
      <xdr:row>148</xdr:row>
      <xdr:rowOff>292100</xdr:rowOff>
    </xdr:to>
    <mc:AlternateContent xmlns:mc="http://schemas.openxmlformats.org/markup-compatibility/2006" xmlns:a14="http://schemas.microsoft.com/office/drawing/2010/main">
      <mc:Choice Requires="a14">
        <xdr:sp macro="" textlink="">
          <xdr:nvSpPr>
            <xdr:cNvPr id="8" name="TextBox 7"/>
            <xdr:cNvSpPr txBox="1"/>
          </xdr:nvSpPr>
          <xdr:spPr>
            <a:xfrm>
              <a:off x="1146175" y="43551476"/>
              <a:ext cx="7473950" cy="2549524"/>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
                    <m:sSubPr>
                      <m:ctrlPr>
                        <a:rPr lang="en-US" sz="1400" b="0" i="1">
                          <a:latin typeface="Cambria Math" charset="0"/>
                        </a:rPr>
                      </m:ctrlPr>
                    </m:sSubPr>
                    <m:e>
                      <m:r>
                        <a:rPr lang="en-US" sz="1400" b="0" i="1">
                          <a:latin typeface="Cambria Math" panose="02040503050406030204" pitchFamily="18" charset="0"/>
                        </a:rPr>
                        <m:t>𝜉</m:t>
                      </m:r>
                    </m:e>
                    <m:sub>
                      <m:r>
                        <a:rPr lang="en-US" sz="1400" b="0" i="1">
                          <a:latin typeface="Cambria Math" panose="02040503050406030204" pitchFamily="18" charset="0"/>
                        </a:rPr>
                        <m:t>𝑤</m:t>
                      </m:r>
                    </m:sub>
                  </m:sSub>
                </m:oMath>
              </a14:m>
              <a:r>
                <a:rPr lang="en-SG" sz="1400" b="0" i="0">
                  <a:latin typeface="Cambria Math" panose="02040503050406030204" pitchFamily="18" charset="0"/>
                </a:rPr>
                <a:t> : </a:t>
              </a:r>
              <a:r>
                <a:rPr lang="en-US" sz="1400" b="0" i="0">
                  <a:latin typeface="Cambria Math" panose="02040503050406030204" pitchFamily="18" charset="0"/>
                </a:rPr>
                <a:t>Location parameter of</a:t>
              </a:r>
              <a:r>
                <a:rPr lang="en-US" sz="1400" b="0" i="0" baseline="0">
                  <a:latin typeface="Cambria Math" panose="02040503050406030204" pitchFamily="18" charset="0"/>
                </a:rPr>
                <a:t> the underlying Weibull distribution for O-D pair </a:t>
              </a:r>
              <a14:m>
                <m:oMath xmlns:m="http://schemas.openxmlformats.org/officeDocument/2006/math">
                  <m:r>
                    <m:rPr>
                      <m:sty m:val="p"/>
                    </m:rPr>
                    <a:rPr lang="en-US" sz="1400" b="0" i="0">
                      <a:latin typeface="Cambria Math" panose="02040503050406030204" pitchFamily="18" charset="0"/>
                    </a:rPr>
                    <m:t>w</m:t>
                  </m:r>
                  <m:r>
                    <a:rPr lang="en-US" sz="1400" b="0" i="0">
                      <a:latin typeface="Cambria Math" panose="02040503050406030204" pitchFamily="18" charset="0"/>
                    </a:rPr>
                    <m:t>.</m:t>
                  </m:r>
                </m:oMath>
              </a14:m>
              <a:endParaRPr lang="en-US" sz="1400" b="0" i="0">
                <a:latin typeface="Cambria Math" panose="02040503050406030204" pitchFamily="18" charset="0"/>
              </a:endParaRPr>
            </a:p>
            <a:p>
              <a:pPr marL="0" marR="0" indent="0" algn="l" defTabSz="914400" eaLnBrk="1" fontAlgn="auto" latinLnBrk="0" hangingPunct="1">
                <a:lnSpc>
                  <a:spcPct val="200000"/>
                </a:lnSpc>
                <a:spcBef>
                  <a:spcPts val="0"/>
                </a:spcBef>
                <a:spcAft>
                  <a:spcPts val="0"/>
                </a:spcAft>
                <a:buClrTx/>
                <a:buSzTx/>
                <a:buFontTx/>
                <a:buNone/>
                <a:tabLst/>
                <a:defRPr/>
              </a:pPr>
              <a14:m>
                <m:oMath xmlns:m="http://schemas.openxmlformats.org/officeDocument/2006/math">
                  <m:sSub>
                    <m:sSubPr>
                      <m:ctrlPr>
                        <a:rPr lang="en-US" sz="1400" b="0" i="1">
                          <a:latin typeface="Cambria Math" charset="0"/>
                        </a:rPr>
                      </m:ctrlPr>
                    </m:sSubPr>
                    <m:e>
                      <m:r>
                        <a:rPr lang="en-US" sz="1400" b="0" i="1">
                          <a:latin typeface="Cambria Math" panose="02040503050406030204" pitchFamily="18" charset="0"/>
                        </a:rPr>
                        <m:t>𝛽</m:t>
                      </m:r>
                    </m:e>
                    <m:sub>
                      <m:r>
                        <a:rPr lang="en-US" sz="1400" b="0" i="1">
                          <a:latin typeface="Cambria Math" panose="02040503050406030204" pitchFamily="18" charset="0"/>
                        </a:rPr>
                        <m:t>𝑤</m:t>
                      </m:r>
                    </m:sub>
                  </m:sSub>
                </m:oMath>
              </a14:m>
              <a:r>
                <a:rPr lang="en-US" sz="1400" b="0" i="0">
                  <a:latin typeface="Cambria Math" panose="02040503050406030204" pitchFamily="18" charset="0"/>
                </a:rPr>
                <a:t>: </a:t>
              </a:r>
              <a:r>
                <a:rPr lang="en-US" sz="1400" b="0" i="0">
                  <a:solidFill>
                    <a:schemeClr val="dk1"/>
                  </a:solidFill>
                  <a:effectLst/>
                  <a:latin typeface="+mn-lt"/>
                  <a:ea typeface="+mn-ea"/>
                  <a:cs typeface="+mn-cs"/>
                </a:rPr>
                <a:t>Shape parameter of</a:t>
              </a:r>
              <a:r>
                <a:rPr lang="en-US" sz="1400" b="0" i="0" baseline="0">
                  <a:solidFill>
                    <a:schemeClr val="dk1"/>
                  </a:solidFill>
                  <a:effectLst/>
                  <a:latin typeface="+mn-lt"/>
                  <a:ea typeface="+mn-ea"/>
                  <a:cs typeface="+mn-cs"/>
                </a:rPr>
                <a:t> the underlying Weibull distribution for O-D pair </a:t>
              </a:r>
              <a14:m>
                <m:oMath xmlns:m="http://schemas.openxmlformats.org/officeDocument/2006/math">
                  <m:r>
                    <m:rPr>
                      <m:sty m:val="p"/>
                    </m:rPr>
                    <a:rPr lang="en-US" sz="1400" b="0" i="0">
                      <a:solidFill>
                        <a:schemeClr val="dk1"/>
                      </a:solidFill>
                      <a:effectLst/>
                      <a:latin typeface="Cambria Math" panose="02040503050406030204" pitchFamily="18" charset="0"/>
                      <a:ea typeface="+mn-ea"/>
                      <a:cs typeface="+mn-cs"/>
                    </a:rPr>
                    <m:t>w</m:t>
                  </m:r>
                </m:oMath>
              </a14:m>
              <a:r>
                <a:rPr lang="en-US" sz="1400" b="0" i="0">
                  <a:solidFill>
                    <a:schemeClr val="dk1"/>
                  </a:solidFill>
                  <a:effectLst/>
                  <a:latin typeface="+mn-lt"/>
                  <a:ea typeface="+mn-ea"/>
                  <a:cs typeface="+mn-cs"/>
                </a:rPr>
                <a:t>.</a:t>
              </a:r>
              <a:endParaRPr lang="en-US" sz="1400" b="0" i="1">
                <a:latin typeface="Cambria Math" panose="02040503050406030204" pitchFamily="18" charset="0"/>
              </a:endParaRPr>
            </a:p>
            <a:p>
              <a:pPr marL="457200" marR="0" lvl="1" indent="0" algn="l" defTabSz="914400" eaLnBrk="1" fontAlgn="auto" latinLnBrk="0" hangingPunct="1">
                <a:lnSpc>
                  <a:spcPct val="2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sSub>
                      <m:sSubPr>
                        <m:ctrlPr>
                          <a:rPr lang="en-US" sz="1400" b="0" i="1">
                            <a:latin typeface="Cambria Math" charset="0"/>
                          </a:rPr>
                        </m:ctrlPr>
                      </m:sSubPr>
                      <m:e>
                        <m:r>
                          <a:rPr lang="en-US" sz="1400" b="0" i="1">
                            <a:latin typeface="Cambria Math" panose="02040503050406030204" pitchFamily="18" charset="0"/>
                          </a:rPr>
                          <m:t>𝑝</m:t>
                        </m:r>
                      </m:e>
                      <m:sub>
                        <m:r>
                          <a:rPr lang="en-US" sz="1400" b="0" i="1">
                            <a:latin typeface="Cambria Math" panose="02040503050406030204" pitchFamily="18" charset="0"/>
                          </a:rPr>
                          <m:t>𝑘𝑤</m:t>
                        </m:r>
                      </m:sub>
                    </m:sSub>
                    <m:r>
                      <a:rPr lang="en-US" sz="1400" b="0" i="1">
                        <a:latin typeface="Cambria Math" panose="02040503050406030204" pitchFamily="18" charset="0"/>
                      </a:rPr>
                      <m:t>=</m:t>
                    </m:r>
                    <m:f>
                      <m:fPr>
                        <m:ctrlPr>
                          <a:rPr lang="en-SG" sz="1400" b="0" i="1">
                            <a:solidFill>
                              <a:schemeClr val="dk1"/>
                            </a:solidFill>
                            <a:effectLst/>
                            <a:latin typeface="Cambria Math" charset="0"/>
                            <a:ea typeface="+mn-ea"/>
                            <a:cs typeface="+mn-cs"/>
                          </a:rPr>
                        </m:ctrlPr>
                      </m:fPr>
                      <m:num>
                        <m:r>
                          <a:rPr lang="en-SG" sz="1400" b="0" i="1">
                            <a:solidFill>
                              <a:schemeClr val="dk1"/>
                            </a:solidFill>
                            <a:effectLst/>
                            <a:latin typeface="Cambria Math" panose="02040503050406030204" pitchFamily="18" charset="0"/>
                            <a:ea typeface="+mn-ea"/>
                            <a:cs typeface="+mn-cs"/>
                          </a:rPr>
                          <m:t>𝐶</m:t>
                        </m:r>
                        <m:sSub>
                          <m:sSubPr>
                            <m:ctrlPr>
                              <a:rPr lang="en-SG" sz="1400" b="0" i="1">
                                <a:solidFill>
                                  <a:schemeClr val="dk1"/>
                                </a:solidFill>
                                <a:effectLst/>
                                <a:latin typeface="Cambria Math" charset="0"/>
                                <a:ea typeface="+mn-ea"/>
                                <a:cs typeface="+mn-cs"/>
                              </a:rPr>
                            </m:ctrlPr>
                          </m:sSubPr>
                          <m:e>
                            <m:r>
                              <a:rPr lang="en-SG" sz="1400" b="0" i="1">
                                <a:solidFill>
                                  <a:schemeClr val="dk1"/>
                                </a:solidFill>
                                <a:effectLst/>
                                <a:latin typeface="Cambria Math" panose="02040503050406030204" pitchFamily="18" charset="0"/>
                                <a:ea typeface="+mn-ea"/>
                                <a:cs typeface="+mn-cs"/>
                              </a:rPr>
                              <m:t>𝑇</m:t>
                            </m:r>
                          </m:e>
                          <m:sub>
                            <m:r>
                              <a:rPr lang="en-SG" sz="1400" b="0" i="1">
                                <a:solidFill>
                                  <a:schemeClr val="dk1"/>
                                </a:solidFill>
                                <a:effectLst/>
                                <a:latin typeface="Cambria Math" panose="02040503050406030204" pitchFamily="18" charset="0"/>
                                <a:ea typeface="+mn-ea"/>
                                <a:cs typeface="+mn-cs"/>
                              </a:rPr>
                              <m:t>𝑘</m:t>
                            </m:r>
                          </m:sub>
                        </m:sSub>
                        <m:r>
                          <a:rPr lang="en-US" sz="1400" b="0" i="1">
                            <a:solidFill>
                              <a:schemeClr val="dk1"/>
                            </a:solidFill>
                            <a:effectLst/>
                            <a:latin typeface="Cambria Math" panose="02040503050406030204" pitchFamily="18" charset="0"/>
                            <a:ea typeface="+mn-ea"/>
                            <a:cs typeface="+mn-cs"/>
                          </a:rPr>
                          <m:t> </m:t>
                        </m:r>
                        <m:sSup>
                          <m:sSupPr>
                            <m:ctrlPr>
                              <a:rPr lang="en-SG" sz="1400" b="0" i="1">
                                <a:solidFill>
                                  <a:schemeClr val="dk1"/>
                                </a:solidFill>
                                <a:effectLst/>
                                <a:latin typeface="Cambria Math" charset="0"/>
                                <a:ea typeface="+mn-ea"/>
                                <a:cs typeface="+mn-cs"/>
                              </a:rPr>
                            </m:ctrlPr>
                          </m:sSupPr>
                          <m:e>
                            <m:d>
                              <m:dPr>
                                <m:ctrlPr>
                                  <a:rPr lang="en-SG" sz="1400" b="0" i="1">
                                    <a:solidFill>
                                      <a:schemeClr val="dk1"/>
                                    </a:solidFill>
                                    <a:effectLst/>
                                    <a:latin typeface="Cambria Math" charset="0"/>
                                    <a:ea typeface="+mn-ea"/>
                                    <a:cs typeface="+mn-cs"/>
                                  </a:rPr>
                                </m:ctrlPr>
                              </m:dPr>
                              <m:e>
                                <m:sSubSup>
                                  <m:sSubSupPr>
                                    <m:ctrlPr>
                                      <a:rPr lang="en-SG" sz="1400" b="0" i="1">
                                        <a:solidFill>
                                          <a:schemeClr val="dk1"/>
                                        </a:solidFill>
                                        <a:effectLst/>
                                        <a:latin typeface="Cambria Math" charset="0"/>
                                        <a:ea typeface="+mn-ea"/>
                                        <a:cs typeface="+mn-cs"/>
                                      </a:rPr>
                                    </m:ctrlPr>
                                  </m:sSubSupPr>
                                  <m:e>
                                    <m:r>
                                      <a:rPr lang="en-SG" sz="1400" b="0" i="1">
                                        <a:solidFill>
                                          <a:schemeClr val="dk1"/>
                                        </a:solidFill>
                                        <a:effectLst/>
                                        <a:latin typeface="Cambria Math" panose="02040503050406030204" pitchFamily="18" charset="0"/>
                                        <a:ea typeface="+mn-ea"/>
                                        <a:cs typeface="+mn-cs"/>
                                      </a:rPr>
                                      <m:t>𝑐</m:t>
                                    </m:r>
                                  </m:e>
                                  <m:sub>
                                    <m:r>
                                      <a:rPr lang="en-SG" sz="1400" b="0" i="1">
                                        <a:solidFill>
                                          <a:schemeClr val="dk1"/>
                                        </a:solidFill>
                                        <a:effectLst/>
                                        <a:latin typeface="Cambria Math" panose="02040503050406030204" pitchFamily="18" charset="0"/>
                                        <a:ea typeface="+mn-ea"/>
                                        <a:cs typeface="+mn-cs"/>
                                      </a:rPr>
                                      <m:t>𝑘𝑤</m:t>
                                    </m:r>
                                  </m:sub>
                                  <m:sup>
                                    <m:r>
                                      <a:rPr lang="en-SG" sz="1400" b="0" i="1">
                                        <a:solidFill>
                                          <a:schemeClr val="dk1"/>
                                        </a:solidFill>
                                        <a:effectLst/>
                                        <a:latin typeface="Cambria Math" panose="02040503050406030204" pitchFamily="18" charset="0"/>
                                        <a:ea typeface="+mn-ea"/>
                                        <a:cs typeface="+mn-cs"/>
                                      </a:rPr>
                                      <m:t>×</m:t>
                                    </m:r>
                                  </m:sup>
                                </m:sSubSup>
                                <m:r>
                                  <a:rPr lang="en-SG" sz="1400" b="0" i="1">
                                    <a:solidFill>
                                      <a:schemeClr val="dk1"/>
                                    </a:solidFill>
                                    <a:effectLst/>
                                    <a:latin typeface="Cambria Math" panose="02040503050406030204" pitchFamily="18" charset="0"/>
                                    <a:ea typeface="+mn-ea"/>
                                    <a:cs typeface="+mn-cs"/>
                                  </a:rPr>
                                  <m:t>−</m:t>
                                </m:r>
                                <m:sSub>
                                  <m:sSubPr>
                                    <m:ctrlPr>
                                      <a:rPr lang="en-SG" sz="1400" b="0" i="1">
                                        <a:solidFill>
                                          <a:schemeClr val="dk1"/>
                                        </a:solidFill>
                                        <a:effectLst/>
                                        <a:latin typeface="Cambria Math" charset="0"/>
                                        <a:ea typeface="+mn-ea"/>
                                        <a:cs typeface="+mn-cs"/>
                                      </a:rPr>
                                    </m:ctrlPr>
                                  </m:sSubPr>
                                  <m:e>
                                    <m:r>
                                      <a:rPr lang="en-SG" sz="1400" b="0" i="1">
                                        <a:solidFill>
                                          <a:schemeClr val="dk1"/>
                                        </a:solidFill>
                                        <a:effectLst/>
                                        <a:latin typeface="Cambria Math" panose="02040503050406030204" pitchFamily="18" charset="0"/>
                                        <a:ea typeface="+mn-ea"/>
                                        <a:cs typeface="+mn-cs"/>
                                      </a:rPr>
                                      <m:t>𝜉</m:t>
                                    </m:r>
                                  </m:e>
                                  <m:sub>
                                    <m:r>
                                      <a:rPr lang="en-SG" sz="1400" b="0" i="1">
                                        <a:solidFill>
                                          <a:schemeClr val="dk1"/>
                                        </a:solidFill>
                                        <a:effectLst/>
                                        <a:latin typeface="Cambria Math" panose="02040503050406030204" pitchFamily="18" charset="0"/>
                                        <a:ea typeface="+mn-ea"/>
                                        <a:cs typeface="+mn-cs"/>
                                      </a:rPr>
                                      <m:t>𝑤</m:t>
                                    </m:r>
                                  </m:sub>
                                </m:sSub>
                              </m:e>
                            </m:d>
                          </m:e>
                          <m:sup>
                            <m:r>
                              <a:rPr lang="en-SG" sz="1400" b="0" i="1">
                                <a:solidFill>
                                  <a:schemeClr val="dk1"/>
                                </a:solidFill>
                                <a:effectLst/>
                                <a:latin typeface="Cambria Math" panose="02040503050406030204" pitchFamily="18" charset="0"/>
                                <a:ea typeface="+mn-ea"/>
                                <a:cs typeface="+mn-cs"/>
                              </a:rPr>
                              <m:t>−</m:t>
                            </m:r>
                            <m:sSub>
                              <m:sSubPr>
                                <m:ctrlPr>
                                  <a:rPr lang="en-SG" sz="1400" b="0" i="1">
                                    <a:solidFill>
                                      <a:schemeClr val="dk1"/>
                                    </a:solidFill>
                                    <a:effectLst/>
                                    <a:latin typeface="Cambria Math" charset="0"/>
                                    <a:ea typeface="+mn-ea"/>
                                    <a:cs typeface="+mn-cs"/>
                                  </a:rPr>
                                </m:ctrlPr>
                              </m:sSubPr>
                              <m:e>
                                <m:r>
                                  <a:rPr lang="en-SG" sz="1400" b="0" i="1">
                                    <a:solidFill>
                                      <a:schemeClr val="dk1"/>
                                    </a:solidFill>
                                    <a:effectLst/>
                                    <a:latin typeface="Cambria Math" panose="02040503050406030204" pitchFamily="18" charset="0"/>
                                    <a:ea typeface="+mn-ea"/>
                                    <a:cs typeface="+mn-cs"/>
                                  </a:rPr>
                                  <m:t>𝛽</m:t>
                                </m:r>
                              </m:e>
                              <m:sub>
                                <m:r>
                                  <a:rPr lang="en-SG" sz="1400" b="0" i="1">
                                    <a:solidFill>
                                      <a:schemeClr val="dk1"/>
                                    </a:solidFill>
                                    <a:effectLst/>
                                    <a:latin typeface="Cambria Math" panose="02040503050406030204" pitchFamily="18" charset="0"/>
                                    <a:ea typeface="+mn-ea"/>
                                    <a:cs typeface="+mn-cs"/>
                                  </a:rPr>
                                  <m:t>𝑤</m:t>
                                </m:r>
                              </m:sub>
                            </m:sSub>
                          </m:sup>
                        </m:sSup>
                      </m:num>
                      <m:den>
                        <m:nary>
                          <m:naryPr>
                            <m:chr m:val="∑"/>
                            <m:supHide m:val="on"/>
                            <m:ctrlPr>
                              <a:rPr lang="en-SG" sz="1400" b="0" i="1">
                                <a:solidFill>
                                  <a:schemeClr val="dk1"/>
                                </a:solidFill>
                                <a:effectLst/>
                                <a:latin typeface="Cambria Math" charset="0"/>
                                <a:ea typeface="+mn-ea"/>
                                <a:cs typeface="+mn-cs"/>
                              </a:rPr>
                            </m:ctrlPr>
                          </m:naryPr>
                          <m:sub>
                            <m:r>
                              <a:rPr lang="en-SG" sz="1400" b="0" i="1">
                                <a:solidFill>
                                  <a:schemeClr val="dk1"/>
                                </a:solidFill>
                                <a:effectLst/>
                                <a:latin typeface="Cambria Math" panose="02040503050406030204" pitchFamily="18" charset="0"/>
                                <a:ea typeface="+mn-ea"/>
                                <a:cs typeface="+mn-cs"/>
                              </a:rPr>
                              <m:t>𝑙</m:t>
                            </m:r>
                            <m:r>
                              <a:rPr lang="en-SG" sz="1400" b="0" i="1">
                                <a:solidFill>
                                  <a:schemeClr val="dk1"/>
                                </a:solidFill>
                                <a:effectLst/>
                                <a:latin typeface="Cambria Math" panose="02040503050406030204" pitchFamily="18" charset="0"/>
                                <a:ea typeface="+mn-ea"/>
                                <a:cs typeface="+mn-cs"/>
                              </a:rPr>
                              <m:t>∈</m:t>
                            </m:r>
                            <m:sSub>
                              <m:sSubPr>
                                <m:ctrlPr>
                                  <a:rPr lang="en-SG" sz="1400" b="0" i="1">
                                    <a:solidFill>
                                      <a:schemeClr val="dk1"/>
                                    </a:solidFill>
                                    <a:effectLst/>
                                    <a:latin typeface="Cambria Math" charset="0"/>
                                    <a:ea typeface="+mn-ea"/>
                                    <a:cs typeface="+mn-cs"/>
                                  </a:rPr>
                                </m:ctrlPr>
                              </m:sSubPr>
                              <m:e>
                                <m:r>
                                  <a:rPr lang="en-SG" sz="1400" b="0" i="1">
                                    <a:solidFill>
                                      <a:schemeClr val="dk1"/>
                                    </a:solidFill>
                                    <a:effectLst/>
                                    <a:latin typeface="Cambria Math" panose="02040503050406030204" pitchFamily="18" charset="0"/>
                                    <a:ea typeface="+mn-ea"/>
                                    <a:cs typeface="+mn-cs"/>
                                  </a:rPr>
                                  <m:t>𝐾</m:t>
                                </m:r>
                              </m:e>
                              <m:sub>
                                <m:r>
                                  <a:rPr lang="en-SG" sz="1400" b="0" i="1">
                                    <a:solidFill>
                                      <a:schemeClr val="dk1"/>
                                    </a:solidFill>
                                    <a:effectLst/>
                                    <a:latin typeface="Cambria Math" panose="02040503050406030204" pitchFamily="18" charset="0"/>
                                    <a:ea typeface="+mn-ea"/>
                                    <a:cs typeface="+mn-cs"/>
                                  </a:rPr>
                                  <m:t>𝑤</m:t>
                                </m:r>
                              </m:sub>
                            </m:sSub>
                          </m:sub>
                          <m:sup/>
                          <m:e>
                            <m:r>
                              <a:rPr lang="en-SG" sz="1400" b="0" i="1">
                                <a:solidFill>
                                  <a:schemeClr val="dk1"/>
                                </a:solidFill>
                                <a:effectLst/>
                                <a:latin typeface="Cambria Math" panose="02040503050406030204" pitchFamily="18" charset="0"/>
                                <a:ea typeface="+mn-ea"/>
                                <a:cs typeface="+mn-cs"/>
                              </a:rPr>
                              <m:t>𝐶</m:t>
                            </m:r>
                            <m:sSub>
                              <m:sSubPr>
                                <m:ctrlPr>
                                  <a:rPr lang="en-SG" sz="1400" b="0" i="1">
                                    <a:solidFill>
                                      <a:schemeClr val="dk1"/>
                                    </a:solidFill>
                                    <a:effectLst/>
                                    <a:latin typeface="Cambria Math" charset="0"/>
                                    <a:ea typeface="+mn-ea"/>
                                    <a:cs typeface="+mn-cs"/>
                                  </a:rPr>
                                </m:ctrlPr>
                              </m:sSubPr>
                              <m:e>
                                <m:r>
                                  <a:rPr lang="en-SG" sz="1400" b="0" i="1">
                                    <a:solidFill>
                                      <a:schemeClr val="dk1"/>
                                    </a:solidFill>
                                    <a:effectLst/>
                                    <a:latin typeface="Cambria Math" panose="02040503050406030204" pitchFamily="18" charset="0"/>
                                    <a:ea typeface="+mn-ea"/>
                                    <a:cs typeface="+mn-cs"/>
                                  </a:rPr>
                                  <m:t>𝑇</m:t>
                                </m:r>
                              </m:e>
                              <m:sub>
                                <m:r>
                                  <a:rPr lang="en-SG" sz="1400" b="0" i="1">
                                    <a:solidFill>
                                      <a:schemeClr val="dk1"/>
                                    </a:solidFill>
                                    <a:effectLst/>
                                    <a:latin typeface="Cambria Math" panose="02040503050406030204" pitchFamily="18" charset="0"/>
                                    <a:ea typeface="+mn-ea"/>
                                    <a:cs typeface="+mn-cs"/>
                                  </a:rPr>
                                  <m:t>𝑙</m:t>
                                </m:r>
                              </m:sub>
                            </m:sSub>
                            <m:r>
                              <a:rPr lang="en-US" sz="1400" b="0" i="1">
                                <a:solidFill>
                                  <a:schemeClr val="dk1"/>
                                </a:solidFill>
                                <a:effectLst/>
                                <a:latin typeface="Cambria Math" panose="02040503050406030204" pitchFamily="18" charset="0"/>
                                <a:ea typeface="+mn-ea"/>
                                <a:cs typeface="+mn-cs"/>
                              </a:rPr>
                              <m:t> </m:t>
                            </m:r>
                            <m:sSup>
                              <m:sSupPr>
                                <m:ctrlPr>
                                  <a:rPr lang="en-SG" sz="1400" b="0" i="1">
                                    <a:solidFill>
                                      <a:schemeClr val="dk1"/>
                                    </a:solidFill>
                                    <a:effectLst/>
                                    <a:latin typeface="Cambria Math" charset="0"/>
                                    <a:ea typeface="+mn-ea"/>
                                    <a:cs typeface="+mn-cs"/>
                                  </a:rPr>
                                </m:ctrlPr>
                              </m:sSupPr>
                              <m:e>
                                <m:d>
                                  <m:dPr>
                                    <m:ctrlPr>
                                      <a:rPr lang="en-SG" sz="1400" b="0" i="1">
                                        <a:solidFill>
                                          <a:schemeClr val="dk1"/>
                                        </a:solidFill>
                                        <a:effectLst/>
                                        <a:latin typeface="Cambria Math" charset="0"/>
                                        <a:ea typeface="+mn-ea"/>
                                        <a:cs typeface="+mn-cs"/>
                                      </a:rPr>
                                    </m:ctrlPr>
                                  </m:dPr>
                                  <m:e>
                                    <m:sSubSup>
                                      <m:sSubSupPr>
                                        <m:ctrlPr>
                                          <a:rPr lang="en-SG" sz="1400" b="0" i="1">
                                            <a:solidFill>
                                              <a:schemeClr val="dk1"/>
                                            </a:solidFill>
                                            <a:effectLst/>
                                            <a:latin typeface="Cambria Math" charset="0"/>
                                            <a:ea typeface="+mn-ea"/>
                                            <a:cs typeface="+mn-cs"/>
                                          </a:rPr>
                                        </m:ctrlPr>
                                      </m:sSubSupPr>
                                      <m:e>
                                        <m:r>
                                          <a:rPr lang="en-SG" sz="1400" b="0" i="1">
                                            <a:solidFill>
                                              <a:schemeClr val="dk1"/>
                                            </a:solidFill>
                                            <a:effectLst/>
                                            <a:latin typeface="Cambria Math" panose="02040503050406030204" pitchFamily="18" charset="0"/>
                                            <a:ea typeface="+mn-ea"/>
                                            <a:cs typeface="+mn-cs"/>
                                          </a:rPr>
                                          <m:t>𝑐</m:t>
                                        </m:r>
                                      </m:e>
                                      <m:sub>
                                        <m:r>
                                          <a:rPr lang="en-SG" sz="1400" b="0" i="1">
                                            <a:solidFill>
                                              <a:schemeClr val="dk1"/>
                                            </a:solidFill>
                                            <a:effectLst/>
                                            <a:latin typeface="Cambria Math" panose="02040503050406030204" pitchFamily="18" charset="0"/>
                                            <a:ea typeface="+mn-ea"/>
                                            <a:cs typeface="+mn-cs"/>
                                          </a:rPr>
                                          <m:t>𝑙𝑤</m:t>
                                        </m:r>
                                      </m:sub>
                                      <m:sup>
                                        <m:r>
                                          <a:rPr lang="en-SG" sz="1400" b="0" i="1">
                                            <a:solidFill>
                                              <a:schemeClr val="dk1"/>
                                            </a:solidFill>
                                            <a:effectLst/>
                                            <a:latin typeface="Cambria Math" panose="02040503050406030204" pitchFamily="18" charset="0"/>
                                            <a:ea typeface="+mn-ea"/>
                                            <a:cs typeface="+mn-cs"/>
                                          </a:rPr>
                                          <m:t>×</m:t>
                                        </m:r>
                                      </m:sup>
                                    </m:sSubSup>
                                    <m:r>
                                      <a:rPr lang="en-SG" sz="1400" b="0" i="1">
                                        <a:solidFill>
                                          <a:schemeClr val="dk1"/>
                                        </a:solidFill>
                                        <a:effectLst/>
                                        <a:latin typeface="Cambria Math" panose="02040503050406030204" pitchFamily="18" charset="0"/>
                                        <a:ea typeface="+mn-ea"/>
                                        <a:cs typeface="+mn-cs"/>
                                      </a:rPr>
                                      <m:t>−</m:t>
                                    </m:r>
                                    <m:sSub>
                                      <m:sSubPr>
                                        <m:ctrlPr>
                                          <a:rPr lang="en-SG" sz="1400" b="0" i="1">
                                            <a:solidFill>
                                              <a:schemeClr val="dk1"/>
                                            </a:solidFill>
                                            <a:effectLst/>
                                            <a:latin typeface="Cambria Math" charset="0"/>
                                            <a:ea typeface="+mn-ea"/>
                                            <a:cs typeface="+mn-cs"/>
                                          </a:rPr>
                                        </m:ctrlPr>
                                      </m:sSubPr>
                                      <m:e>
                                        <m:r>
                                          <a:rPr lang="en-SG" sz="1400" b="0" i="1">
                                            <a:solidFill>
                                              <a:schemeClr val="dk1"/>
                                            </a:solidFill>
                                            <a:effectLst/>
                                            <a:latin typeface="Cambria Math" panose="02040503050406030204" pitchFamily="18" charset="0"/>
                                            <a:ea typeface="+mn-ea"/>
                                            <a:cs typeface="+mn-cs"/>
                                          </a:rPr>
                                          <m:t>𝜉</m:t>
                                        </m:r>
                                      </m:e>
                                      <m:sub>
                                        <m:r>
                                          <a:rPr lang="en-SG" sz="1400" b="0" i="1">
                                            <a:solidFill>
                                              <a:schemeClr val="dk1"/>
                                            </a:solidFill>
                                            <a:effectLst/>
                                            <a:latin typeface="Cambria Math" panose="02040503050406030204" pitchFamily="18" charset="0"/>
                                            <a:ea typeface="+mn-ea"/>
                                            <a:cs typeface="+mn-cs"/>
                                          </a:rPr>
                                          <m:t>𝑤</m:t>
                                        </m:r>
                                      </m:sub>
                                    </m:sSub>
                                  </m:e>
                                </m:d>
                              </m:e>
                              <m:sup>
                                <m:r>
                                  <a:rPr lang="en-SG" sz="1400" b="0" i="1">
                                    <a:solidFill>
                                      <a:schemeClr val="dk1"/>
                                    </a:solidFill>
                                    <a:effectLst/>
                                    <a:latin typeface="Cambria Math" panose="02040503050406030204" pitchFamily="18" charset="0"/>
                                    <a:ea typeface="+mn-ea"/>
                                    <a:cs typeface="+mn-cs"/>
                                  </a:rPr>
                                  <m:t>−</m:t>
                                </m:r>
                                <m:sSub>
                                  <m:sSubPr>
                                    <m:ctrlPr>
                                      <a:rPr lang="en-SG" sz="1400" b="0" i="1">
                                        <a:solidFill>
                                          <a:schemeClr val="dk1"/>
                                        </a:solidFill>
                                        <a:effectLst/>
                                        <a:latin typeface="Cambria Math" charset="0"/>
                                        <a:ea typeface="+mn-ea"/>
                                        <a:cs typeface="+mn-cs"/>
                                      </a:rPr>
                                    </m:ctrlPr>
                                  </m:sSubPr>
                                  <m:e>
                                    <m:r>
                                      <a:rPr lang="en-SG" sz="1400" b="0" i="1">
                                        <a:solidFill>
                                          <a:schemeClr val="dk1"/>
                                        </a:solidFill>
                                        <a:effectLst/>
                                        <a:latin typeface="Cambria Math" panose="02040503050406030204" pitchFamily="18" charset="0"/>
                                        <a:ea typeface="+mn-ea"/>
                                        <a:cs typeface="+mn-cs"/>
                                      </a:rPr>
                                      <m:t>𝛽</m:t>
                                    </m:r>
                                  </m:e>
                                  <m:sub>
                                    <m:r>
                                      <a:rPr lang="en-SG" sz="1400" b="0" i="1">
                                        <a:solidFill>
                                          <a:schemeClr val="dk1"/>
                                        </a:solidFill>
                                        <a:effectLst/>
                                        <a:latin typeface="Cambria Math" panose="02040503050406030204" pitchFamily="18" charset="0"/>
                                        <a:ea typeface="+mn-ea"/>
                                        <a:cs typeface="+mn-cs"/>
                                      </a:rPr>
                                      <m:t>𝑤</m:t>
                                    </m:r>
                                  </m:sub>
                                </m:sSub>
                              </m:sup>
                            </m:sSup>
                          </m:e>
                        </m:nary>
                      </m:den>
                    </m:f>
                  </m:oMath>
                </m:oMathPara>
              </a14:m>
              <a:endParaRPr lang="en-SG" sz="1400" i="1">
                <a:effectLst/>
              </a:endParaRPr>
            </a:p>
          </xdr:txBody>
        </xdr:sp>
      </mc:Choice>
      <mc:Fallback xmlns="">
        <xdr:sp macro="" textlink="">
          <xdr:nvSpPr>
            <xdr:cNvPr id="8" name="TextBox 7"/>
            <xdr:cNvSpPr txBox="1"/>
          </xdr:nvSpPr>
          <xdr:spPr>
            <a:xfrm>
              <a:off x="1266825" y="26127076"/>
              <a:ext cx="6648450" cy="17907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𝜉_𝑤</a:t>
              </a:r>
              <a:r>
                <a:rPr lang="en-SG" sz="1100" b="0" i="0">
                  <a:latin typeface="Cambria Math" panose="02040503050406030204" pitchFamily="18" charset="0"/>
                </a:rPr>
                <a:t> : </a:t>
              </a:r>
              <a:r>
                <a:rPr lang="en-US" sz="1100" b="0" i="0">
                  <a:latin typeface="Cambria Math" panose="02040503050406030204" pitchFamily="18" charset="0"/>
                </a:rPr>
                <a:t>Location parameter of</a:t>
              </a:r>
              <a:r>
                <a:rPr lang="en-US" sz="1100" b="0" i="0" baseline="0">
                  <a:latin typeface="Cambria Math" panose="02040503050406030204" pitchFamily="18" charset="0"/>
                </a:rPr>
                <a:t> the underlying Weibull distribution for O-D pair </a:t>
              </a:r>
              <a:r>
                <a:rPr lang="en-US" sz="1100" b="0" i="0">
                  <a:latin typeface="Cambria Math" panose="02040503050406030204" pitchFamily="18" charset="0"/>
                </a:rPr>
                <a:t>w.</a:t>
              </a:r>
            </a:p>
            <a:p>
              <a:pPr marL="0" marR="0" indent="0" algn="l" defTabSz="914400" eaLnBrk="1" fontAlgn="auto" latinLnBrk="0" hangingPunct="1">
                <a:lnSpc>
                  <a:spcPct val="200000"/>
                </a:lnSpc>
                <a:spcBef>
                  <a:spcPts val="0"/>
                </a:spcBef>
                <a:spcAft>
                  <a:spcPts val="0"/>
                </a:spcAft>
                <a:buClrTx/>
                <a:buSzTx/>
                <a:buFontTx/>
                <a:buNone/>
                <a:tabLst/>
                <a:defRPr/>
              </a:pPr>
              <a:r>
                <a:rPr lang="en-US" sz="1100" b="0" i="0">
                  <a:latin typeface="Cambria Math" panose="02040503050406030204" pitchFamily="18" charset="0"/>
                </a:rPr>
                <a:t>𝛽_𝑤: </a:t>
              </a:r>
              <a:r>
                <a:rPr lang="en-US" sz="1100" b="0" i="0">
                  <a:solidFill>
                    <a:schemeClr val="dk1"/>
                  </a:solidFill>
                  <a:effectLst/>
                  <a:latin typeface="+mn-lt"/>
                  <a:ea typeface="+mn-ea"/>
                  <a:cs typeface="+mn-cs"/>
                </a:rPr>
                <a:t>Shape parameter of</a:t>
              </a:r>
              <a:r>
                <a:rPr lang="en-US" sz="1100" b="0" i="0" baseline="0">
                  <a:solidFill>
                    <a:schemeClr val="dk1"/>
                  </a:solidFill>
                  <a:effectLst/>
                  <a:latin typeface="+mn-lt"/>
                  <a:ea typeface="+mn-ea"/>
                  <a:cs typeface="+mn-cs"/>
                </a:rPr>
                <a:t> the underlying Weibull distribution for O-D pair </a:t>
              </a:r>
              <a:r>
                <a:rPr lang="en-US" sz="1100" b="0" i="0">
                  <a:solidFill>
                    <a:schemeClr val="dk1"/>
                  </a:solidFill>
                  <a:effectLst/>
                  <a:latin typeface="+mn-lt"/>
                  <a:ea typeface="+mn-ea"/>
                  <a:cs typeface="+mn-cs"/>
                </a:rPr>
                <a:t>w.</a:t>
              </a:r>
              <a:endParaRPr lang="en-US" sz="1100" b="0" i="1">
                <a:latin typeface="Cambria Math" panose="02040503050406030204" pitchFamily="18" charset="0"/>
              </a:endParaRPr>
            </a:p>
            <a:p>
              <a:pPr marL="457200" marR="0" lvl="1" indent="0" algn="l" defTabSz="914400" eaLnBrk="1" fontAlgn="auto" latinLnBrk="0" hangingPunct="1">
                <a:lnSpc>
                  <a:spcPct val="200000"/>
                </a:lnSpc>
                <a:spcBef>
                  <a:spcPts val="0"/>
                </a:spcBef>
                <a:spcAft>
                  <a:spcPts val="0"/>
                </a:spcAft>
                <a:buClrTx/>
                <a:buSzTx/>
                <a:buFontTx/>
                <a:buNone/>
                <a:tabLst/>
                <a:defRPr/>
              </a:pPr>
              <a:r>
                <a:rPr lang="en-US" sz="1100" b="0" i="0">
                  <a:latin typeface="Cambria Math" panose="02040503050406030204" pitchFamily="18" charset="0"/>
                </a:rPr>
                <a:t>𝑝_𝑘𝑤=</a:t>
              </a:r>
              <a:r>
                <a:rPr lang="en-SG" sz="1100" b="0" i="0">
                  <a:solidFill>
                    <a:schemeClr val="dk1"/>
                  </a:solidFill>
                  <a:effectLst/>
                  <a:latin typeface="+mn-lt"/>
                  <a:ea typeface="+mn-ea"/>
                  <a:cs typeface="+mn-cs"/>
                </a:rPr>
                <a:t>(𝐶𝑇_𝑘</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(𝑐_𝑘𝑤^×−𝜉_𝑤 )^(−𝛽_𝑤 ))/(∑_(𝑙∈𝐾_𝑤)▒〖𝐶𝑇_𝑙</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(𝑐_𝑙𝑤^×−𝜉_𝑤 )^(−𝛽_𝑤 ) 〗)</a:t>
              </a:r>
              <a:endParaRPr lang="en-SG" i="1">
                <a:effectLst/>
              </a:endParaRPr>
            </a:p>
          </xdr:txBody>
        </xdr:sp>
      </mc:Fallback>
    </mc:AlternateContent>
    <xdr:clientData/>
  </xdr:twoCellAnchor>
  <xdr:oneCellAnchor>
    <xdr:from>
      <xdr:col>7</xdr:col>
      <xdr:colOff>22225</xdr:colOff>
      <xdr:row>154</xdr:row>
      <xdr:rowOff>44450</xdr:rowOff>
    </xdr:from>
    <xdr:ext cx="1489126" cy="219163"/>
    <mc:AlternateContent xmlns:mc="http://schemas.openxmlformats.org/markup-compatibility/2006" xmlns:a14="http://schemas.microsoft.com/office/drawing/2010/main">
      <mc:Choice Requires="a14">
        <xdr:sp macro="" textlink="">
          <xdr:nvSpPr>
            <xdr:cNvPr id="2" name="TextBox 1"/>
            <xdr:cNvSpPr txBox="1"/>
          </xdr:nvSpPr>
          <xdr:spPr>
            <a:xfrm>
              <a:off x="1978025" y="47682150"/>
              <a:ext cx="148912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0" i="1">
                            <a:latin typeface="Cambria Math" charset="0"/>
                          </a:rPr>
                        </m:ctrlPr>
                      </m:sSubPr>
                      <m:e>
                        <m:r>
                          <a:rPr lang="en-US" sz="1400" b="0" i="1">
                            <a:latin typeface="Cambria Math" panose="02040503050406030204" pitchFamily="18" charset="0"/>
                          </a:rPr>
                          <m:t>𝑈</m:t>
                        </m:r>
                      </m:e>
                      <m:sub>
                        <m:r>
                          <a:rPr lang="en-US" sz="1400" b="0" i="1">
                            <a:latin typeface="Cambria Math" panose="02040503050406030204" pitchFamily="18" charset="0"/>
                          </a:rPr>
                          <m:t>𝑘𝑤</m:t>
                        </m:r>
                      </m:sub>
                    </m:sSub>
                    <m:r>
                      <a:rPr lang="en-US" sz="1400" b="0" i="1">
                        <a:latin typeface="Cambria Math" panose="02040503050406030204" pitchFamily="18" charset="0"/>
                      </a:rPr>
                      <m:t>=−</m:t>
                    </m:r>
                    <m:sSub>
                      <m:sSubPr>
                        <m:ctrlPr>
                          <a:rPr lang="en-US" sz="1400" b="0" i="1">
                            <a:latin typeface="Cambria Math" charset="0"/>
                          </a:rPr>
                        </m:ctrlPr>
                      </m:sSubPr>
                      <m:e>
                        <m:r>
                          <a:rPr lang="en-US" sz="1400" b="0" i="1">
                            <a:latin typeface="Cambria Math" panose="02040503050406030204" pitchFamily="18" charset="0"/>
                          </a:rPr>
                          <m:t>𝑐</m:t>
                        </m:r>
                      </m:e>
                      <m:sub>
                        <m:r>
                          <a:rPr lang="en-US" sz="1400" b="0" i="1">
                            <a:latin typeface="Cambria Math" panose="02040503050406030204" pitchFamily="18" charset="0"/>
                          </a:rPr>
                          <m:t>𝑘𝑤</m:t>
                        </m:r>
                      </m:sub>
                    </m:sSub>
                    <m:r>
                      <a:rPr lang="en-US" sz="1400" b="0" i="1">
                        <a:latin typeface="Cambria Math" panose="02040503050406030204" pitchFamily="18" charset="0"/>
                      </a:rPr>
                      <m:t>+</m:t>
                    </m:r>
                    <m:sSub>
                      <m:sSubPr>
                        <m:ctrlPr>
                          <a:rPr lang="en-US" sz="1400" b="0" i="1">
                            <a:latin typeface="Cambria Math" charset="0"/>
                          </a:rPr>
                        </m:ctrlPr>
                      </m:sSubPr>
                      <m:e>
                        <m:r>
                          <a:rPr lang="en-US" sz="1400" b="0" i="1">
                            <a:latin typeface="Cambria Math" panose="02040503050406030204" pitchFamily="18" charset="0"/>
                          </a:rPr>
                          <m:t>𝜖</m:t>
                        </m:r>
                      </m:e>
                      <m:sub>
                        <m:r>
                          <a:rPr lang="en-US" sz="1400" b="0" i="1">
                            <a:latin typeface="Cambria Math" panose="02040503050406030204" pitchFamily="18" charset="0"/>
                          </a:rPr>
                          <m:t>𝑘𝑤</m:t>
                        </m:r>
                      </m:sub>
                    </m:sSub>
                  </m:oMath>
                </m:oMathPara>
              </a14:m>
              <a:endParaRPr lang="en-SG" sz="1400"/>
            </a:p>
          </xdr:txBody>
        </xdr:sp>
      </mc:Choice>
      <mc:Fallback xmlns="">
        <xdr:sp macro="" textlink="">
          <xdr:nvSpPr>
            <xdr:cNvPr id="2" name="TextBox 1"/>
            <xdr:cNvSpPr txBox="1"/>
          </xdr:nvSpPr>
          <xdr:spPr>
            <a:xfrm>
              <a:off x="1990725" y="28784550"/>
              <a:ext cx="11699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𝑈_𝑘𝑤=−𝑐_𝑘𝑤+𝜖_𝑘𝑤</a:t>
              </a:r>
              <a:endParaRPr lang="en-SG" sz="1100"/>
            </a:p>
          </xdr:txBody>
        </xdr:sp>
      </mc:Fallback>
    </mc:AlternateContent>
    <xdr:clientData/>
  </xdr:oneCellAnchor>
  <xdr:oneCellAnchor>
    <xdr:from>
      <xdr:col>6</xdr:col>
      <xdr:colOff>276225</xdr:colOff>
      <xdr:row>156</xdr:row>
      <xdr:rowOff>28575</xdr:rowOff>
    </xdr:from>
    <xdr:ext cx="1933030" cy="233847"/>
    <mc:AlternateContent xmlns:mc="http://schemas.openxmlformats.org/markup-compatibility/2006" xmlns:a14="http://schemas.microsoft.com/office/drawing/2010/main">
      <mc:Choice Requires="a14">
        <xdr:sp macro="" textlink="">
          <xdr:nvSpPr>
            <xdr:cNvPr id="10" name="TextBox 9"/>
            <xdr:cNvSpPr txBox="1"/>
          </xdr:nvSpPr>
          <xdr:spPr>
            <a:xfrm>
              <a:off x="1952625" y="48275875"/>
              <a:ext cx="1933030" cy="2338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0" i="1">
                            <a:latin typeface="Cambria Math" charset="0"/>
                          </a:rPr>
                        </m:ctrlPr>
                      </m:sSubPr>
                      <m:e>
                        <m:r>
                          <a:rPr lang="en-US" sz="1400" b="0" i="1">
                            <a:latin typeface="Cambria Math" panose="02040503050406030204" pitchFamily="18" charset="0"/>
                          </a:rPr>
                          <m:t>𝑈</m:t>
                        </m:r>
                      </m:e>
                      <m:sub>
                        <m:r>
                          <a:rPr lang="en-US" sz="1400" b="0" i="1">
                            <a:latin typeface="Cambria Math" panose="02040503050406030204" pitchFamily="18" charset="0"/>
                          </a:rPr>
                          <m:t>𝑘𝑤</m:t>
                        </m:r>
                      </m:sub>
                    </m:sSub>
                    <m:r>
                      <a:rPr lang="en-US" sz="1400" b="0" i="1">
                        <a:latin typeface="Cambria Math" panose="02040503050406030204" pitchFamily="18" charset="0"/>
                      </a:rPr>
                      <m:t>=</m:t>
                    </m:r>
                    <m:sSup>
                      <m:sSupPr>
                        <m:ctrlPr>
                          <a:rPr lang="en-US" sz="1400" b="0" i="1">
                            <a:latin typeface="Cambria Math" charset="0"/>
                          </a:rPr>
                        </m:ctrlPr>
                      </m:sSupPr>
                      <m:e>
                        <m:d>
                          <m:dPr>
                            <m:ctrlPr>
                              <a:rPr lang="en-US" sz="1400" b="0" i="1">
                                <a:latin typeface="Cambria Math" charset="0"/>
                              </a:rPr>
                            </m:ctrlPr>
                          </m:dPr>
                          <m:e>
                            <m:sSub>
                              <m:sSubPr>
                                <m:ctrlPr>
                                  <a:rPr lang="en-US" sz="1400" b="0" i="1">
                                    <a:latin typeface="Cambria Math" charset="0"/>
                                  </a:rPr>
                                </m:ctrlPr>
                              </m:sSubPr>
                              <m:e>
                                <m:r>
                                  <a:rPr lang="en-US" sz="1400" b="0" i="1">
                                    <a:latin typeface="Cambria Math" panose="02040503050406030204" pitchFamily="18" charset="0"/>
                                  </a:rPr>
                                  <m:t>𝑐</m:t>
                                </m:r>
                              </m:e>
                              <m:sub>
                                <m:r>
                                  <a:rPr lang="en-US" sz="1400" b="0" i="1">
                                    <a:latin typeface="Cambria Math" panose="02040503050406030204" pitchFamily="18" charset="0"/>
                                  </a:rPr>
                                  <m:t>𝑘𝑤</m:t>
                                </m:r>
                              </m:sub>
                            </m:sSub>
                            <m:r>
                              <a:rPr lang="en-US" sz="1400" b="0" i="1">
                                <a:latin typeface="Cambria Math" panose="02040503050406030204" pitchFamily="18" charset="0"/>
                              </a:rPr>
                              <m:t>−</m:t>
                            </m:r>
                            <m:sSub>
                              <m:sSubPr>
                                <m:ctrlPr>
                                  <a:rPr lang="en-US" sz="1400" b="0" i="1">
                                    <a:latin typeface="Cambria Math" charset="0"/>
                                  </a:rPr>
                                </m:ctrlPr>
                              </m:sSubPr>
                              <m:e>
                                <m:r>
                                  <a:rPr lang="en-US" sz="1400" b="0" i="1">
                                    <a:latin typeface="Cambria Math" panose="02040503050406030204" pitchFamily="18" charset="0"/>
                                  </a:rPr>
                                  <m:t>𝜉</m:t>
                                </m:r>
                              </m:e>
                              <m:sub>
                                <m:r>
                                  <a:rPr lang="en-US" sz="1400" b="0" i="1">
                                    <a:latin typeface="Cambria Math" panose="02040503050406030204" pitchFamily="18" charset="0"/>
                                  </a:rPr>
                                  <m:t>𝑤</m:t>
                                </m:r>
                              </m:sub>
                            </m:sSub>
                          </m:e>
                        </m:d>
                      </m:e>
                      <m:sup>
                        <m:sSub>
                          <m:sSubPr>
                            <m:ctrlPr>
                              <a:rPr lang="en-US" sz="1400" b="0" i="1">
                                <a:latin typeface="Cambria Math" charset="0"/>
                              </a:rPr>
                            </m:ctrlPr>
                          </m:sSubPr>
                          <m:e>
                            <m:r>
                              <a:rPr lang="en-US" sz="1400" b="0" i="1">
                                <a:latin typeface="Cambria Math" panose="02040503050406030204" pitchFamily="18" charset="0"/>
                              </a:rPr>
                              <m:t>𝛽</m:t>
                            </m:r>
                          </m:e>
                          <m:sub>
                            <m:r>
                              <a:rPr lang="en-US" sz="1400" b="0" i="1">
                                <a:latin typeface="Cambria Math" panose="02040503050406030204" pitchFamily="18" charset="0"/>
                              </a:rPr>
                              <m:t>𝑤</m:t>
                            </m:r>
                          </m:sub>
                        </m:sSub>
                      </m:sup>
                    </m:sSup>
                    <m:r>
                      <a:rPr lang="en-US" sz="1400" b="0" i="1">
                        <a:latin typeface="Cambria Math" panose="02040503050406030204" pitchFamily="18" charset="0"/>
                      </a:rPr>
                      <m:t> </m:t>
                    </m:r>
                    <m:sSub>
                      <m:sSubPr>
                        <m:ctrlPr>
                          <a:rPr lang="en-US" sz="1400" b="0" i="1">
                            <a:latin typeface="Cambria Math" charset="0"/>
                          </a:rPr>
                        </m:ctrlPr>
                      </m:sSubPr>
                      <m:e>
                        <m:r>
                          <a:rPr lang="en-US" sz="1400" b="0" i="1">
                            <a:latin typeface="Cambria Math" panose="02040503050406030204" pitchFamily="18" charset="0"/>
                          </a:rPr>
                          <m:t>𝜖</m:t>
                        </m:r>
                      </m:e>
                      <m:sub>
                        <m:r>
                          <a:rPr lang="en-US" sz="1400" b="0" i="1">
                            <a:latin typeface="Cambria Math" panose="02040503050406030204" pitchFamily="18" charset="0"/>
                          </a:rPr>
                          <m:t>𝑘𝑤</m:t>
                        </m:r>
                      </m:sub>
                    </m:sSub>
                  </m:oMath>
                </m:oMathPara>
              </a14:m>
              <a:endParaRPr lang="en-SG" sz="1400"/>
            </a:p>
          </xdr:txBody>
        </xdr:sp>
      </mc:Choice>
      <mc:Fallback xmlns="">
        <xdr:sp macro="" textlink="">
          <xdr:nvSpPr>
            <xdr:cNvPr id="10" name="TextBox 9"/>
            <xdr:cNvSpPr txBox="1"/>
          </xdr:nvSpPr>
          <xdr:spPr>
            <a:xfrm>
              <a:off x="1990725" y="29136975"/>
              <a:ext cx="1573316" cy="1837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𝑈_𝑘𝑤=(𝑐_𝑘𝑤−𝜉_𝑤 )^(𝛽_𝑤 )  𝜖_𝑘𝑤</a:t>
              </a:r>
              <a:endParaRPr lang="en-SG" sz="1100"/>
            </a:p>
          </xdr:txBody>
        </xdr:sp>
      </mc:Fallback>
    </mc:AlternateContent>
    <xdr:clientData/>
  </xdr:oneCellAnchor>
  <mc:AlternateContent xmlns:mc="http://schemas.openxmlformats.org/markup-compatibility/2006">
    <mc:Choice xmlns:a14="http://schemas.microsoft.com/office/drawing/2010/main" Requires="a14">
      <xdr:twoCellAnchor>
        <xdr:from>
          <xdr:col>3</xdr:col>
          <xdr:colOff>25400</xdr:colOff>
          <xdr:row>191</xdr:row>
          <xdr:rowOff>38100</xdr:rowOff>
        </xdr:from>
        <xdr:to>
          <xdr:col>9</xdr:col>
          <xdr:colOff>63500</xdr:colOff>
          <xdr:row>192</xdr:row>
          <xdr:rowOff>177800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0" i="0" u="none" strike="noStrike" baseline="0">
                  <a:solidFill>
                    <a:srgbClr val="000000"/>
                  </a:solidFill>
                  <a:latin typeface="Calibri"/>
                  <a:ea typeface="Calibri"/>
                  <a:cs typeface="Calibri"/>
                </a:rPr>
                <a:t>FIRST CHECK</a:t>
              </a:r>
            </a:p>
          </xdr:txBody>
        </xdr:sp>
        <xdr:clientData fLocksWithSheet="0"/>
      </xdr:twoCellAnchor>
    </mc:Choice>
    <mc:Fallback/>
  </mc:AlternateContent>
  <xdr:twoCellAnchor editAs="oneCell">
    <xdr:from>
      <xdr:col>4</xdr:col>
      <xdr:colOff>28574</xdr:colOff>
      <xdr:row>202</xdr:row>
      <xdr:rowOff>38100</xdr:rowOff>
    </xdr:from>
    <xdr:to>
      <xdr:col>35</xdr:col>
      <xdr:colOff>266699</xdr:colOff>
      <xdr:row>223</xdr:row>
      <xdr:rowOff>190500</xdr:rowOff>
    </xdr:to>
    <mc:AlternateContent xmlns:mc="http://schemas.openxmlformats.org/markup-compatibility/2006" xmlns:a14="http://schemas.microsoft.com/office/drawing/2010/main">
      <mc:Choice Requires="a14">
        <xdr:sp macro="" textlink="">
          <xdr:nvSpPr>
            <xdr:cNvPr id="14" name="TextBox 13"/>
            <xdr:cNvSpPr txBox="1"/>
          </xdr:nvSpPr>
          <xdr:spPr>
            <a:xfrm>
              <a:off x="1146174" y="62344300"/>
              <a:ext cx="8899525" cy="65532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
                    <m:sSubPr>
                      <m:ctrlPr>
                        <a:rPr lang="en-US" sz="1400" b="0" i="1">
                          <a:latin typeface="Cambria Math" charset="0"/>
                        </a:rPr>
                      </m:ctrlPr>
                    </m:sSubPr>
                    <m:e>
                      <m:r>
                        <a:rPr lang="en-US" sz="1400" b="0" i="1">
                          <a:latin typeface="Cambria Math" panose="02040503050406030204" pitchFamily="18" charset="0"/>
                        </a:rPr>
                        <m:t>𝐹</m:t>
                      </m:r>
                    </m:e>
                    <m:sub>
                      <m:r>
                        <a:rPr lang="en-US" sz="1400" b="0" i="1">
                          <a:latin typeface="Cambria Math" panose="02040503050406030204" pitchFamily="18" charset="0"/>
                        </a:rPr>
                        <m:t>𝑘𝑤</m:t>
                      </m:r>
                    </m:sub>
                  </m:sSub>
                  <m:d>
                    <m:dPr>
                      <m:ctrlPr>
                        <a:rPr lang="en-US" sz="1400" b="0" i="1">
                          <a:latin typeface="Cambria Math" charset="0"/>
                        </a:rPr>
                      </m:ctrlPr>
                    </m:dPr>
                    <m:e>
                      <m:r>
                        <a:rPr lang="en-US" sz="1400" b="0" i="1">
                          <a:latin typeface="Cambria Math" panose="02040503050406030204" pitchFamily="18" charset="0"/>
                        </a:rPr>
                        <m:t>.</m:t>
                      </m:r>
                    </m:e>
                  </m:d>
                </m:oMath>
              </a14:m>
              <a:r>
                <a:rPr lang="en-SG" sz="1400" b="0" i="0">
                  <a:latin typeface="Cambria Math" panose="02040503050406030204" pitchFamily="18" charset="0"/>
                </a:rPr>
                <a:t> : </a:t>
              </a:r>
              <a:r>
                <a:rPr lang="en-US" sz="1400" b="0" i="0">
                  <a:latin typeface="Cambria Math" panose="02040503050406030204" pitchFamily="18" charset="0"/>
                </a:rPr>
                <a:t>cumulative marginal distribution </a:t>
              </a:r>
              <a:r>
                <a:rPr lang="en-US" sz="1600" b="0" i="0">
                  <a:latin typeface="Cambria Math" panose="02040503050406030204" pitchFamily="18" charset="0"/>
                </a:rPr>
                <a:t>function</a:t>
              </a:r>
              <a:r>
                <a:rPr lang="en-US" sz="1400" b="0" i="0">
                  <a:latin typeface="Cambria Math" panose="02040503050406030204" pitchFamily="18" charset="0"/>
                </a:rPr>
                <a:t> of the perception</a:t>
              </a:r>
              <a:r>
                <a:rPr lang="en-US" sz="1400" b="0" i="0" baseline="0">
                  <a:latin typeface="Cambria Math" panose="02040503050406030204" pitchFamily="18" charset="0"/>
                </a:rPr>
                <a:t> error of route </a:t>
              </a:r>
              <a14:m>
                <m:oMath xmlns:m="http://schemas.openxmlformats.org/officeDocument/2006/math">
                  <m:r>
                    <a:rPr lang="en-US" sz="1400" b="0" i="1" baseline="0">
                      <a:latin typeface="Cambria Math" panose="02040503050406030204" pitchFamily="18" charset="0"/>
                    </a:rPr>
                    <m:t>𝑘</m:t>
                  </m:r>
                  <m:r>
                    <a:rPr lang="en-US" sz="1400" b="0" i="1" baseline="0">
                      <a:latin typeface="Cambria Math" panose="02040503050406030204" pitchFamily="18" charset="0"/>
                    </a:rPr>
                    <m:t>∈</m:t>
                  </m:r>
                  <m:sSub>
                    <m:sSubPr>
                      <m:ctrlPr>
                        <a:rPr lang="en-US" sz="1400" b="0" i="1" baseline="0">
                          <a:latin typeface="Cambria Math" charset="0"/>
                        </a:rPr>
                      </m:ctrlPr>
                    </m:sSubPr>
                    <m:e>
                      <m:r>
                        <a:rPr lang="en-US" sz="1400" b="0" i="1" baseline="0">
                          <a:latin typeface="Cambria Math" panose="02040503050406030204" pitchFamily="18" charset="0"/>
                        </a:rPr>
                        <m:t>𝐾</m:t>
                      </m:r>
                    </m:e>
                    <m:sub>
                      <m:r>
                        <a:rPr lang="en-US" sz="1400" b="0" i="1" baseline="0">
                          <a:latin typeface="Cambria Math" panose="02040503050406030204" pitchFamily="18" charset="0"/>
                        </a:rPr>
                        <m:t>𝑤</m:t>
                      </m:r>
                    </m:sub>
                  </m:sSub>
                </m:oMath>
              </a14:m>
              <a:r>
                <a:rPr lang="en-US" sz="1400" b="0" i="0">
                  <a:latin typeface="Cambria Math" panose="02040503050406030204" pitchFamily="18" charset="0"/>
                </a:rPr>
                <a:t>, i.e. </a:t>
              </a:r>
              <a14:m>
                <m:oMath xmlns:m="http://schemas.openxmlformats.org/officeDocument/2006/math">
                  <m:sSub>
                    <m:sSubPr>
                      <m:ctrlPr>
                        <a:rPr lang="en-US" sz="1400" b="0" i="1">
                          <a:latin typeface="Cambria Math" charset="0"/>
                        </a:rPr>
                      </m:ctrlPr>
                    </m:sSubPr>
                    <m:e>
                      <m:r>
                        <a:rPr lang="en-US" sz="1400" b="0" i="1">
                          <a:latin typeface="Cambria Math" panose="02040503050406030204" pitchFamily="18" charset="0"/>
                        </a:rPr>
                        <m:t>𝜖</m:t>
                      </m:r>
                    </m:e>
                    <m:sub>
                      <m:r>
                        <a:rPr lang="en-US" sz="1400" b="0" i="1">
                          <a:latin typeface="Cambria Math" panose="02040503050406030204" pitchFamily="18" charset="0"/>
                        </a:rPr>
                        <m:t>𝑘𝑤</m:t>
                      </m:r>
                    </m:sub>
                  </m:sSub>
                </m:oMath>
              </a14:m>
              <a:r>
                <a:rPr lang="en-US" sz="1400" b="0" i="0">
                  <a:latin typeface="Cambria Math" panose="02040503050406030204" pitchFamily="18" charset="0"/>
                </a:rPr>
                <a:t>.</a:t>
              </a:r>
            </a:p>
            <a:p>
              <a:pPr algn="l">
                <a:lnSpc>
                  <a:spcPct val="200000"/>
                </a:lnSpc>
              </a:pPr>
              <a:endParaRPr lang="en-US" sz="1400" b="0" i="0">
                <a:latin typeface="Cambria Math" panose="02040503050406030204" pitchFamily="18" charset="0"/>
              </a:endParaRPr>
            </a:p>
            <a:p>
              <a:pPr algn="l">
                <a:lnSpc>
                  <a:spcPct val="200000"/>
                </a:lnSpc>
              </a:pPr>
              <a:r>
                <a:rPr lang="en-US" sz="1400" b="0" i="0" u="none">
                  <a:latin typeface="Cambria Math" panose="02040503050406030204" pitchFamily="18" charset="0"/>
                </a:rPr>
                <a:t>For MDM</a:t>
              </a:r>
              <a:r>
                <a:rPr lang="en-US" sz="1400" b="0" i="0" u="none" baseline="0">
                  <a:latin typeface="Cambria Math" panose="02040503050406030204" pitchFamily="18" charset="0"/>
                </a:rPr>
                <a:t> with Additive Utility Function, </a:t>
              </a:r>
              <a14:m>
                <m:oMath xmlns:m="http://schemas.openxmlformats.org/officeDocument/2006/math">
                  <m:sSub>
                    <m:sSubPr>
                      <m:ctrlPr>
                        <a:rPr lang="en-US" sz="1400" b="0" i="1" u="none" baseline="0">
                          <a:latin typeface="Cambria Math" charset="0"/>
                        </a:rPr>
                      </m:ctrlPr>
                    </m:sSubPr>
                    <m:e>
                      <m:r>
                        <a:rPr lang="en-US" sz="1400" b="0" i="1" u="none" baseline="0">
                          <a:latin typeface="Cambria Math" panose="02040503050406030204" pitchFamily="18" charset="0"/>
                        </a:rPr>
                        <m:t>𝑈</m:t>
                      </m:r>
                    </m:e>
                    <m:sub>
                      <m:r>
                        <a:rPr lang="en-US" sz="1400" b="0" i="1" u="none" baseline="0">
                          <a:latin typeface="Cambria Math" panose="02040503050406030204" pitchFamily="18" charset="0"/>
                        </a:rPr>
                        <m:t>𝑘𝑤</m:t>
                      </m:r>
                    </m:sub>
                  </m:sSub>
                  <m:r>
                    <a:rPr lang="en-US" sz="1400" b="0" i="1" u="none" baseline="0">
                      <a:latin typeface="Cambria Math" panose="02040503050406030204" pitchFamily="18" charset="0"/>
                    </a:rPr>
                    <m:t>=−</m:t>
                  </m:r>
                  <m:sSub>
                    <m:sSubPr>
                      <m:ctrlPr>
                        <a:rPr lang="en-US" sz="1400" b="0" i="1" u="none" baseline="0">
                          <a:latin typeface="Cambria Math" charset="0"/>
                        </a:rPr>
                      </m:ctrlPr>
                    </m:sSubPr>
                    <m:e>
                      <m:r>
                        <a:rPr lang="en-US" sz="1400" b="0" i="1" u="none" baseline="0">
                          <a:latin typeface="Cambria Math" panose="02040503050406030204" pitchFamily="18" charset="0"/>
                        </a:rPr>
                        <m:t>𝑐</m:t>
                      </m:r>
                    </m:e>
                    <m:sub>
                      <m:r>
                        <a:rPr lang="en-US" sz="1400" b="0" i="1" u="none" baseline="0">
                          <a:latin typeface="Cambria Math" panose="02040503050406030204" pitchFamily="18" charset="0"/>
                        </a:rPr>
                        <m:t>𝑘𝑤</m:t>
                      </m:r>
                    </m:sub>
                  </m:sSub>
                  <m:r>
                    <a:rPr lang="en-US" sz="1400" b="0" i="1" u="none" baseline="0">
                      <a:latin typeface="Cambria Math" panose="02040503050406030204" pitchFamily="18" charset="0"/>
                    </a:rPr>
                    <m:t>+</m:t>
                  </m:r>
                  <m:sSub>
                    <m:sSubPr>
                      <m:ctrlPr>
                        <a:rPr lang="en-US" sz="1400" b="0" i="1" u="none" baseline="0">
                          <a:latin typeface="Cambria Math" charset="0"/>
                        </a:rPr>
                      </m:ctrlPr>
                    </m:sSubPr>
                    <m:e>
                      <m:r>
                        <a:rPr lang="en-US" sz="1400" b="0" i="1" u="none" baseline="0">
                          <a:latin typeface="Cambria Math" panose="02040503050406030204" pitchFamily="18" charset="0"/>
                        </a:rPr>
                        <m:t>𝜖</m:t>
                      </m:r>
                    </m:e>
                    <m:sub>
                      <m:r>
                        <a:rPr lang="en-US" sz="1400" b="0" i="1" u="none" baseline="0">
                          <a:latin typeface="Cambria Math" panose="02040503050406030204" pitchFamily="18" charset="0"/>
                        </a:rPr>
                        <m:t>𝑘𝑤</m:t>
                      </m:r>
                    </m:sub>
                  </m:sSub>
                </m:oMath>
              </a14:m>
              <a:endParaRPr lang="en-US" sz="1400" b="0" i="0" u="none">
                <a:latin typeface="Cambria Math" panose="02040503050406030204" pitchFamily="18" charset="0"/>
              </a:endParaRPr>
            </a:p>
            <a:p>
              <a:pPr lvl="1" algn="l">
                <a:lnSpc>
                  <a:spcPct val="200000"/>
                </a:lnSpc>
              </a:pPr>
              <a14:m>
                <m:oMathPara xmlns:m="http://schemas.openxmlformats.org/officeDocument/2006/math">
                  <m:oMathParaPr>
                    <m:jc m:val="left"/>
                  </m:oMathParaPr>
                  <m:oMath xmlns:m="http://schemas.openxmlformats.org/officeDocument/2006/math">
                    <m:sSub>
                      <m:sSubPr>
                        <m:ctrlPr>
                          <a:rPr lang="en-US" sz="1400" b="0" i="1">
                            <a:latin typeface="Cambria Math" charset="0"/>
                          </a:rPr>
                        </m:ctrlPr>
                      </m:sSubPr>
                      <m:e>
                        <m:r>
                          <a:rPr lang="en-US" sz="1400" b="0" i="1">
                            <a:latin typeface="Cambria Math" panose="02040503050406030204" pitchFamily="18" charset="0"/>
                          </a:rPr>
                          <m:t>𝑝</m:t>
                        </m:r>
                      </m:e>
                      <m:sub>
                        <m:r>
                          <a:rPr lang="en-US" sz="1400" b="0" i="1">
                            <a:latin typeface="Cambria Math" panose="02040503050406030204" pitchFamily="18" charset="0"/>
                          </a:rPr>
                          <m:t>𝑘𝑤</m:t>
                        </m:r>
                      </m:sub>
                    </m:sSub>
                    <m:r>
                      <a:rPr lang="en-US" sz="1400" b="0" i="1">
                        <a:latin typeface="Cambria Math" panose="02040503050406030204" pitchFamily="18" charset="0"/>
                      </a:rPr>
                      <m:t>=1−</m:t>
                    </m:r>
                    <m:sSub>
                      <m:sSubPr>
                        <m:ctrlPr>
                          <a:rPr lang="en-US" sz="1400" b="0" i="1">
                            <a:latin typeface="Cambria Math" charset="0"/>
                          </a:rPr>
                        </m:ctrlPr>
                      </m:sSubPr>
                      <m:e>
                        <m:r>
                          <a:rPr lang="en-US" sz="1400" b="0" i="1">
                            <a:latin typeface="Cambria Math" panose="02040503050406030204" pitchFamily="18" charset="0"/>
                          </a:rPr>
                          <m:t>𝐹</m:t>
                        </m:r>
                      </m:e>
                      <m:sub>
                        <m:r>
                          <a:rPr lang="en-US" sz="1400" b="0" i="1">
                            <a:latin typeface="Cambria Math" panose="02040503050406030204" pitchFamily="18" charset="0"/>
                          </a:rPr>
                          <m:t>𝑘𝑤</m:t>
                        </m:r>
                      </m:sub>
                    </m:sSub>
                    <m:d>
                      <m:dPr>
                        <m:ctrlPr>
                          <a:rPr lang="en-US" sz="1400" b="0" i="1">
                            <a:latin typeface="Cambria Math" charset="0"/>
                          </a:rPr>
                        </m:ctrlPr>
                      </m:dPr>
                      <m:e>
                        <m:sSub>
                          <m:sSubPr>
                            <m:ctrlPr>
                              <a:rPr lang="en-US" sz="1400" b="0" i="1">
                                <a:latin typeface="Cambria Math" charset="0"/>
                              </a:rPr>
                            </m:ctrlPr>
                          </m:sSubPr>
                          <m:e>
                            <m:r>
                              <a:rPr lang="en-US" sz="1400" b="0" i="1">
                                <a:latin typeface="Cambria Math" panose="02040503050406030204" pitchFamily="18" charset="0"/>
                              </a:rPr>
                              <m:t>𝜆</m:t>
                            </m:r>
                          </m:e>
                          <m:sub>
                            <m:r>
                              <a:rPr lang="en-US" sz="1400" b="0" i="1">
                                <a:latin typeface="Cambria Math" panose="02040503050406030204" pitchFamily="18" charset="0"/>
                              </a:rPr>
                              <m:t>𝑤</m:t>
                            </m:r>
                          </m:sub>
                        </m:sSub>
                        <m:r>
                          <a:rPr lang="en-US" sz="1400" b="0" i="1">
                            <a:latin typeface="Cambria Math" panose="02040503050406030204" pitchFamily="18" charset="0"/>
                          </a:rPr>
                          <m:t>+</m:t>
                        </m:r>
                        <m:sSubSup>
                          <m:sSubSupPr>
                            <m:ctrlPr>
                              <a:rPr lang="en-US" sz="1400" b="0" i="1">
                                <a:latin typeface="Cambria Math" charset="0"/>
                              </a:rPr>
                            </m:ctrlPr>
                          </m:sSubSupPr>
                          <m:e>
                            <m:r>
                              <a:rPr lang="en-US" sz="1400" b="0" i="1">
                                <a:latin typeface="Cambria Math" panose="02040503050406030204" pitchFamily="18" charset="0"/>
                              </a:rPr>
                              <m:t>𝑐</m:t>
                            </m:r>
                          </m:e>
                          <m:sub>
                            <m:r>
                              <a:rPr lang="en-US" sz="1400" b="0" i="1">
                                <a:latin typeface="Cambria Math" panose="02040503050406030204" pitchFamily="18" charset="0"/>
                              </a:rPr>
                              <m:t>𝑘𝑤</m:t>
                            </m:r>
                          </m:sub>
                          <m:sup>
                            <m:r>
                              <a:rPr lang="en-US" sz="1400" b="0" i="1">
                                <a:latin typeface="Cambria Math" panose="02040503050406030204" pitchFamily="18" charset="0"/>
                              </a:rPr>
                              <m:t>+</m:t>
                            </m:r>
                          </m:sup>
                        </m:sSubSup>
                      </m:e>
                    </m:d>
                  </m:oMath>
                </m:oMathPara>
              </a14:m>
              <a:endParaRPr lang="en-US" sz="1400" b="0" i="0">
                <a:latin typeface="Cambria Math" panose="02040503050406030204" pitchFamily="18" charset="0"/>
              </a:endParaRPr>
            </a:p>
            <a:p>
              <a:pPr lvl="1" algn="l">
                <a:lnSpc>
                  <a:spcPct val="200000"/>
                </a:lnSpc>
              </a:pPr>
              <a:r>
                <a:rPr lang="en-US" sz="1400" b="0" i="0">
                  <a:latin typeface="Cambria Math" panose="02040503050406030204" pitchFamily="18" charset="0"/>
                </a:rPr>
                <a:t>where </a:t>
              </a:r>
              <a14:m>
                <m:oMath xmlns:m="http://schemas.openxmlformats.org/officeDocument/2006/math">
                  <m:sSub>
                    <m:sSubPr>
                      <m:ctrlPr>
                        <a:rPr lang="en-US" sz="1400" b="0" i="1">
                          <a:latin typeface="Cambria Math" charset="0"/>
                        </a:rPr>
                      </m:ctrlPr>
                    </m:sSubPr>
                    <m:e>
                      <m:r>
                        <a:rPr lang="en-US" sz="1400" b="0" i="1">
                          <a:latin typeface="Cambria Math" panose="02040503050406030204" pitchFamily="18" charset="0"/>
                        </a:rPr>
                        <m:t>𝜆</m:t>
                      </m:r>
                    </m:e>
                    <m:sub>
                      <m:r>
                        <a:rPr lang="en-US" sz="1400" b="0" i="1">
                          <a:latin typeface="Cambria Math" panose="02040503050406030204" pitchFamily="18" charset="0"/>
                        </a:rPr>
                        <m:t>𝑤</m:t>
                      </m:r>
                    </m:sub>
                  </m:sSub>
                </m:oMath>
              </a14:m>
              <a:r>
                <a:rPr lang="en-US" sz="1400" b="0" i="0">
                  <a:latin typeface="Cambria Math" panose="02040503050406030204" pitchFamily="18" charset="0"/>
                </a:rPr>
                <a:t> solves </a:t>
              </a:r>
              <a14:m>
                <m:oMath xmlns:m="http://schemas.openxmlformats.org/officeDocument/2006/math">
                  <m:nary>
                    <m:naryPr>
                      <m:chr m:val="∑"/>
                      <m:supHide m:val="on"/>
                      <m:ctrlPr>
                        <a:rPr lang="en-US" sz="1400" b="0" i="1">
                          <a:latin typeface="Cambria Math" charset="0"/>
                        </a:rPr>
                      </m:ctrlPr>
                    </m:naryPr>
                    <m:sub>
                      <m:r>
                        <a:rPr lang="en-US" sz="1400" b="0" i="1">
                          <a:latin typeface="Cambria Math" panose="02040503050406030204" pitchFamily="18" charset="0"/>
                        </a:rPr>
                        <m:t>𝑘</m:t>
                      </m:r>
                      <m:r>
                        <a:rPr lang="en-US" sz="1400" b="0" i="1">
                          <a:latin typeface="Cambria Math" panose="02040503050406030204" pitchFamily="18" charset="0"/>
                        </a:rPr>
                        <m:t>∈</m:t>
                      </m:r>
                      <m:sSub>
                        <m:sSubPr>
                          <m:ctrlPr>
                            <a:rPr lang="en-US" sz="1400" b="0" i="1">
                              <a:latin typeface="Cambria Math" charset="0"/>
                            </a:rPr>
                          </m:ctrlPr>
                        </m:sSubPr>
                        <m:e>
                          <m:r>
                            <a:rPr lang="en-US" sz="1400" b="0" i="1">
                              <a:latin typeface="Cambria Math" panose="02040503050406030204" pitchFamily="18" charset="0"/>
                            </a:rPr>
                            <m:t>𝐾</m:t>
                          </m:r>
                        </m:e>
                        <m:sub>
                          <m:r>
                            <a:rPr lang="en-US" sz="1400" b="0" i="1">
                              <a:latin typeface="Cambria Math" panose="02040503050406030204" pitchFamily="18" charset="0"/>
                            </a:rPr>
                            <m:t>𝑤</m:t>
                          </m:r>
                        </m:sub>
                      </m:sSub>
                    </m:sub>
                    <m:sup/>
                    <m:e>
                      <m:d>
                        <m:dPr>
                          <m:ctrlPr>
                            <a:rPr lang="en-US" sz="1400" b="0" i="1">
                              <a:latin typeface="Cambria Math" charset="0"/>
                            </a:rPr>
                          </m:ctrlPr>
                        </m:dPr>
                        <m:e>
                          <m:r>
                            <a:rPr lang="en-US" sz="1400" b="0" i="1">
                              <a:solidFill>
                                <a:schemeClr val="dk1"/>
                              </a:solidFill>
                              <a:effectLst/>
                              <a:latin typeface="Cambria Math" panose="02040503050406030204" pitchFamily="18" charset="0"/>
                              <a:ea typeface="+mn-ea"/>
                              <a:cs typeface="+mn-cs"/>
                            </a:rPr>
                            <m:t>1−</m:t>
                          </m:r>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𝐹</m:t>
                              </m:r>
                            </m:e>
                            <m:sub>
                              <m:r>
                                <a:rPr lang="en-US" sz="1400" b="0" i="1">
                                  <a:solidFill>
                                    <a:schemeClr val="dk1"/>
                                  </a:solidFill>
                                  <a:effectLst/>
                                  <a:latin typeface="Cambria Math" panose="02040503050406030204" pitchFamily="18" charset="0"/>
                                  <a:ea typeface="+mn-ea"/>
                                  <a:cs typeface="+mn-cs"/>
                                </a:rPr>
                                <m:t>𝑘𝑤</m:t>
                              </m:r>
                            </m:sub>
                          </m:sSub>
                          <m:d>
                            <m:dPr>
                              <m:ctrlPr>
                                <a:rPr lang="en-US" sz="1400" b="0" i="1">
                                  <a:solidFill>
                                    <a:schemeClr val="dk1"/>
                                  </a:solidFill>
                                  <a:effectLst/>
                                  <a:latin typeface="Cambria Math" charset="0"/>
                                  <a:ea typeface="+mn-ea"/>
                                  <a:cs typeface="+mn-cs"/>
                                </a:rPr>
                              </m:ctrlPr>
                            </m:dPr>
                            <m:e>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𝜆</m:t>
                                  </m:r>
                                </m:e>
                                <m:sub>
                                  <m:r>
                                    <a:rPr lang="en-US" sz="1400" b="0" i="1">
                                      <a:solidFill>
                                        <a:schemeClr val="dk1"/>
                                      </a:solidFill>
                                      <a:effectLst/>
                                      <a:latin typeface="Cambria Math" panose="02040503050406030204" pitchFamily="18" charset="0"/>
                                      <a:ea typeface="+mn-ea"/>
                                      <a:cs typeface="+mn-cs"/>
                                    </a:rPr>
                                    <m:t>𝑤</m:t>
                                  </m:r>
                                </m:sub>
                              </m:sSub>
                              <m:r>
                                <a:rPr lang="en-US" sz="1400" b="0" i="1">
                                  <a:solidFill>
                                    <a:schemeClr val="dk1"/>
                                  </a:solidFill>
                                  <a:effectLst/>
                                  <a:latin typeface="Cambria Math" panose="02040503050406030204" pitchFamily="18" charset="0"/>
                                  <a:ea typeface="+mn-ea"/>
                                  <a:cs typeface="+mn-cs"/>
                                </a:rPr>
                                <m:t>+</m:t>
                              </m:r>
                              <m:sSubSup>
                                <m:sSubSupPr>
                                  <m:ctrlPr>
                                    <a:rPr lang="en-US" sz="1400" b="0" i="1">
                                      <a:solidFill>
                                        <a:schemeClr val="dk1"/>
                                      </a:solidFill>
                                      <a:effectLst/>
                                      <a:latin typeface="Cambria Math" charset="0"/>
                                      <a:ea typeface="+mn-ea"/>
                                      <a:cs typeface="+mn-cs"/>
                                    </a:rPr>
                                  </m:ctrlPr>
                                </m:sSubSupPr>
                                <m:e>
                                  <m:r>
                                    <a:rPr lang="en-US" sz="1400" b="0" i="1">
                                      <a:solidFill>
                                        <a:schemeClr val="dk1"/>
                                      </a:solidFill>
                                      <a:effectLst/>
                                      <a:latin typeface="Cambria Math" panose="02040503050406030204" pitchFamily="18" charset="0"/>
                                      <a:ea typeface="+mn-ea"/>
                                      <a:cs typeface="+mn-cs"/>
                                    </a:rPr>
                                    <m:t>𝑐</m:t>
                                  </m:r>
                                </m:e>
                                <m:sub>
                                  <m:r>
                                    <a:rPr lang="en-US" sz="1400" b="0" i="1">
                                      <a:solidFill>
                                        <a:schemeClr val="dk1"/>
                                      </a:solidFill>
                                      <a:effectLst/>
                                      <a:latin typeface="Cambria Math" panose="02040503050406030204" pitchFamily="18" charset="0"/>
                                      <a:ea typeface="+mn-ea"/>
                                      <a:cs typeface="+mn-cs"/>
                                    </a:rPr>
                                    <m:t>𝑘𝑤</m:t>
                                  </m:r>
                                </m:sub>
                                <m:sup>
                                  <m:r>
                                    <a:rPr lang="en-US" sz="1400" b="0" i="1">
                                      <a:solidFill>
                                        <a:schemeClr val="dk1"/>
                                      </a:solidFill>
                                      <a:effectLst/>
                                      <a:latin typeface="Cambria Math" panose="02040503050406030204" pitchFamily="18" charset="0"/>
                                      <a:ea typeface="+mn-ea"/>
                                      <a:cs typeface="+mn-cs"/>
                                    </a:rPr>
                                    <m:t>+</m:t>
                                  </m:r>
                                </m:sup>
                              </m:sSubSup>
                            </m:e>
                          </m:d>
                        </m:e>
                      </m:d>
                    </m:e>
                  </m:nary>
                  <m:r>
                    <a:rPr lang="en-US" sz="1400" b="0" i="1">
                      <a:latin typeface="Cambria Math" panose="02040503050406030204" pitchFamily="18" charset="0"/>
                    </a:rPr>
                    <m:t>=1</m:t>
                  </m:r>
                </m:oMath>
              </a14:m>
              <a:r>
                <a:rPr lang="en-US" sz="1400" b="0" i="0">
                  <a:latin typeface="Cambria Math" panose="02040503050406030204" pitchFamily="18" charset="0"/>
                </a:rPr>
                <a:t>.</a:t>
              </a:r>
            </a:p>
            <a:p>
              <a:pPr>
                <a:lnSpc>
                  <a:spcPct val="200000"/>
                </a:lnSpc>
              </a:pPr>
              <a:endParaRPr lang="en-US" sz="1400" b="0" i="0">
                <a:solidFill>
                  <a:schemeClr val="dk1"/>
                </a:solidFill>
                <a:effectLst/>
                <a:latin typeface="+mn-lt"/>
                <a:ea typeface="+mn-ea"/>
                <a:cs typeface="+mn-cs"/>
              </a:endParaRPr>
            </a:p>
            <a:p>
              <a:pPr>
                <a:lnSpc>
                  <a:spcPct val="200000"/>
                </a:lnSpc>
              </a:pPr>
              <a:r>
                <a:rPr lang="en-US" sz="1400" b="0" i="0">
                  <a:solidFill>
                    <a:schemeClr val="dk1"/>
                  </a:solidFill>
                  <a:effectLst/>
                  <a:latin typeface="+mn-lt"/>
                  <a:ea typeface="+mn-ea"/>
                  <a:cs typeface="+mn-cs"/>
                </a:rPr>
                <a:t>For MDM</a:t>
              </a:r>
              <a:r>
                <a:rPr lang="en-US" sz="1400" b="0" i="0" baseline="0">
                  <a:solidFill>
                    <a:schemeClr val="dk1"/>
                  </a:solidFill>
                  <a:effectLst/>
                  <a:latin typeface="+mn-lt"/>
                  <a:ea typeface="+mn-ea"/>
                  <a:cs typeface="+mn-cs"/>
                </a:rPr>
                <a:t> with Multiplicative Utility Function, </a:t>
              </a:r>
              <a14:m>
                <m:oMath xmlns:m="http://schemas.openxmlformats.org/officeDocument/2006/math">
                  <m:sSub>
                    <m:sSubPr>
                      <m:ctrlPr>
                        <a:rPr lang="en-US" sz="1400" b="0" i="1" baseline="0">
                          <a:solidFill>
                            <a:schemeClr val="dk1"/>
                          </a:solidFill>
                          <a:effectLst/>
                          <a:latin typeface="Cambria Math" charset="0"/>
                          <a:ea typeface="+mn-ea"/>
                          <a:cs typeface="+mn-cs"/>
                        </a:rPr>
                      </m:ctrlPr>
                    </m:sSubPr>
                    <m:e>
                      <m:r>
                        <a:rPr lang="en-US" sz="1400" b="0" i="1" baseline="0">
                          <a:solidFill>
                            <a:schemeClr val="dk1"/>
                          </a:solidFill>
                          <a:effectLst/>
                          <a:latin typeface="Cambria Math" panose="02040503050406030204" pitchFamily="18" charset="0"/>
                          <a:ea typeface="+mn-ea"/>
                          <a:cs typeface="+mn-cs"/>
                        </a:rPr>
                        <m:t>𝑈</m:t>
                      </m:r>
                    </m:e>
                    <m:sub>
                      <m:r>
                        <a:rPr lang="en-US" sz="1400" b="0" i="1" baseline="0">
                          <a:solidFill>
                            <a:schemeClr val="dk1"/>
                          </a:solidFill>
                          <a:effectLst/>
                          <a:latin typeface="Cambria Math" panose="02040503050406030204" pitchFamily="18" charset="0"/>
                          <a:ea typeface="+mn-ea"/>
                          <a:cs typeface="+mn-cs"/>
                        </a:rPr>
                        <m:t>𝑘𝑤</m:t>
                      </m:r>
                    </m:sub>
                  </m:sSub>
                  <m:r>
                    <a:rPr lang="en-US" sz="1400" b="0" i="1" baseline="0">
                      <a:solidFill>
                        <a:schemeClr val="dk1"/>
                      </a:solidFill>
                      <a:effectLst/>
                      <a:latin typeface="Cambria Math" panose="02040503050406030204" pitchFamily="18" charset="0"/>
                      <a:ea typeface="+mn-ea"/>
                      <a:cs typeface="+mn-cs"/>
                    </a:rPr>
                    <m:t>=</m:t>
                  </m:r>
                  <m:sSup>
                    <m:sSupPr>
                      <m:ctrlPr>
                        <a:rPr lang="en-US" sz="1400" b="0" i="1">
                          <a:solidFill>
                            <a:schemeClr val="dk1"/>
                          </a:solidFill>
                          <a:effectLst/>
                          <a:latin typeface="Cambria Math" charset="0"/>
                          <a:ea typeface="+mn-ea"/>
                          <a:cs typeface="+mn-cs"/>
                        </a:rPr>
                      </m:ctrlPr>
                    </m:sSupPr>
                    <m:e>
                      <m:d>
                        <m:dPr>
                          <m:ctrlPr>
                            <a:rPr lang="en-US" sz="1400" b="0" i="1">
                              <a:solidFill>
                                <a:schemeClr val="dk1"/>
                              </a:solidFill>
                              <a:effectLst/>
                              <a:latin typeface="Cambria Math" charset="0"/>
                              <a:ea typeface="+mn-ea"/>
                              <a:cs typeface="+mn-cs"/>
                            </a:rPr>
                          </m:ctrlPr>
                        </m:dPr>
                        <m:e>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𝑐</m:t>
                              </m:r>
                            </m:e>
                            <m:sub>
                              <m:r>
                                <a:rPr lang="en-US" sz="1400" b="0" i="1">
                                  <a:solidFill>
                                    <a:schemeClr val="dk1"/>
                                  </a:solidFill>
                                  <a:effectLst/>
                                  <a:latin typeface="Cambria Math" panose="02040503050406030204" pitchFamily="18" charset="0"/>
                                  <a:ea typeface="+mn-ea"/>
                                  <a:cs typeface="+mn-cs"/>
                                </a:rPr>
                                <m:t>𝑘𝑤</m:t>
                              </m:r>
                            </m:sub>
                          </m:sSub>
                          <m:r>
                            <a:rPr lang="en-US" sz="1400" b="0" i="1">
                              <a:solidFill>
                                <a:schemeClr val="dk1"/>
                              </a:solidFill>
                              <a:effectLst/>
                              <a:latin typeface="Cambria Math" panose="02040503050406030204" pitchFamily="18" charset="0"/>
                              <a:ea typeface="+mn-ea"/>
                              <a:cs typeface="+mn-cs"/>
                            </a:rPr>
                            <m:t>−</m:t>
                          </m:r>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𝜉</m:t>
                              </m:r>
                            </m:e>
                            <m:sub>
                              <m:r>
                                <a:rPr lang="en-US" sz="1400" b="0" i="1">
                                  <a:solidFill>
                                    <a:schemeClr val="dk1"/>
                                  </a:solidFill>
                                  <a:effectLst/>
                                  <a:latin typeface="Cambria Math" panose="02040503050406030204" pitchFamily="18" charset="0"/>
                                  <a:ea typeface="+mn-ea"/>
                                  <a:cs typeface="+mn-cs"/>
                                </a:rPr>
                                <m:t>𝑤</m:t>
                              </m:r>
                            </m:sub>
                          </m:sSub>
                        </m:e>
                      </m:d>
                    </m:e>
                    <m:sup>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𝛽</m:t>
                          </m:r>
                        </m:e>
                        <m:sub>
                          <m:r>
                            <a:rPr lang="en-US" sz="1400" b="0" i="1">
                              <a:solidFill>
                                <a:schemeClr val="dk1"/>
                              </a:solidFill>
                              <a:effectLst/>
                              <a:latin typeface="Cambria Math" panose="02040503050406030204" pitchFamily="18" charset="0"/>
                              <a:ea typeface="+mn-ea"/>
                              <a:cs typeface="+mn-cs"/>
                            </a:rPr>
                            <m:t>𝑤</m:t>
                          </m:r>
                        </m:sub>
                      </m:sSub>
                    </m:sup>
                  </m:sSup>
                  <m:r>
                    <a:rPr lang="en-US" sz="1400" b="0" i="1">
                      <a:solidFill>
                        <a:schemeClr val="dk1"/>
                      </a:solidFill>
                      <a:effectLst/>
                      <a:latin typeface="Cambria Math" panose="02040503050406030204" pitchFamily="18" charset="0"/>
                      <a:ea typeface="+mn-ea"/>
                      <a:cs typeface="+mn-cs"/>
                    </a:rPr>
                    <m:t> </m:t>
                  </m:r>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𝜖</m:t>
                      </m:r>
                    </m:e>
                    <m:sub>
                      <m:r>
                        <a:rPr lang="en-US" sz="1400" b="0" i="1">
                          <a:solidFill>
                            <a:schemeClr val="dk1"/>
                          </a:solidFill>
                          <a:effectLst/>
                          <a:latin typeface="Cambria Math" panose="02040503050406030204" pitchFamily="18" charset="0"/>
                          <a:ea typeface="+mn-ea"/>
                          <a:cs typeface="+mn-cs"/>
                        </a:rPr>
                        <m:t>𝑘𝑤</m:t>
                      </m:r>
                    </m:sub>
                  </m:sSub>
                </m:oMath>
              </a14:m>
              <a:endParaRPr lang="en-SG" sz="1400">
                <a:effectLst/>
              </a:endParaRPr>
            </a:p>
            <a:p>
              <a:pPr lvl="1">
                <a:lnSpc>
                  <a:spcPct val="200000"/>
                </a:lnSpc>
              </a:pPr>
              <a14:m>
                <m:oMathPara xmlns:m="http://schemas.openxmlformats.org/officeDocument/2006/math">
                  <m:oMathParaPr>
                    <m:jc m:val="left"/>
                  </m:oMathParaPr>
                  <m:oMath xmlns:m="http://schemas.openxmlformats.org/officeDocument/2006/math">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𝑝</m:t>
                        </m:r>
                      </m:e>
                      <m:sub>
                        <m:r>
                          <a:rPr lang="en-US" sz="1400" b="0" i="1">
                            <a:solidFill>
                              <a:schemeClr val="dk1"/>
                            </a:solidFill>
                            <a:effectLst/>
                            <a:latin typeface="Cambria Math" panose="02040503050406030204" pitchFamily="18" charset="0"/>
                            <a:ea typeface="+mn-ea"/>
                            <a:cs typeface="+mn-cs"/>
                          </a:rPr>
                          <m:t>𝑘𝑤</m:t>
                        </m:r>
                      </m:sub>
                    </m:sSub>
                    <m:r>
                      <a:rPr lang="en-US" sz="1400" b="0" i="1">
                        <a:solidFill>
                          <a:schemeClr val="dk1"/>
                        </a:solidFill>
                        <a:effectLst/>
                        <a:latin typeface="Cambria Math" panose="02040503050406030204" pitchFamily="18" charset="0"/>
                        <a:ea typeface="+mn-ea"/>
                        <a:cs typeface="+mn-cs"/>
                      </a:rPr>
                      <m:t>=</m:t>
                    </m:r>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𝐹</m:t>
                        </m:r>
                      </m:e>
                      <m:sub>
                        <m:r>
                          <a:rPr lang="en-US" sz="1400" b="0" i="1">
                            <a:solidFill>
                              <a:schemeClr val="dk1"/>
                            </a:solidFill>
                            <a:effectLst/>
                            <a:latin typeface="Cambria Math" panose="02040503050406030204" pitchFamily="18" charset="0"/>
                            <a:ea typeface="+mn-ea"/>
                            <a:cs typeface="+mn-cs"/>
                          </a:rPr>
                          <m:t>𝑘𝑤</m:t>
                        </m:r>
                      </m:sub>
                    </m:sSub>
                    <m:d>
                      <m:dPr>
                        <m:ctrlPr>
                          <a:rPr lang="en-US" sz="1400" b="0" i="1">
                            <a:solidFill>
                              <a:schemeClr val="dk1"/>
                            </a:solidFill>
                            <a:effectLst/>
                            <a:latin typeface="Cambria Math" charset="0"/>
                            <a:ea typeface="+mn-ea"/>
                            <a:cs typeface="+mn-cs"/>
                          </a:rPr>
                        </m:ctrlPr>
                      </m:dPr>
                      <m:e>
                        <m:f>
                          <m:fPr>
                            <m:ctrlPr>
                              <a:rPr lang="en-US" sz="1400" b="0" i="1">
                                <a:solidFill>
                                  <a:schemeClr val="dk1"/>
                                </a:solidFill>
                                <a:effectLst/>
                                <a:latin typeface="Cambria Math" charset="0"/>
                                <a:ea typeface="+mn-ea"/>
                                <a:cs typeface="+mn-cs"/>
                              </a:rPr>
                            </m:ctrlPr>
                          </m:fPr>
                          <m:num>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𝜆</m:t>
                                </m:r>
                              </m:e>
                              <m:sub>
                                <m:r>
                                  <a:rPr lang="en-US" sz="1400" b="0" i="1">
                                    <a:solidFill>
                                      <a:schemeClr val="dk1"/>
                                    </a:solidFill>
                                    <a:effectLst/>
                                    <a:latin typeface="Cambria Math" panose="02040503050406030204" pitchFamily="18" charset="0"/>
                                    <a:ea typeface="+mn-ea"/>
                                    <a:cs typeface="+mn-cs"/>
                                  </a:rPr>
                                  <m:t>𝑤</m:t>
                                </m:r>
                              </m:sub>
                            </m:sSub>
                          </m:num>
                          <m:den>
                            <m:sSup>
                              <m:sSupPr>
                                <m:ctrlPr>
                                  <a:rPr lang="en-US" sz="1400" b="0" i="1">
                                    <a:solidFill>
                                      <a:schemeClr val="dk1"/>
                                    </a:solidFill>
                                    <a:effectLst/>
                                    <a:latin typeface="Cambria Math" charset="0"/>
                                    <a:ea typeface="+mn-ea"/>
                                    <a:cs typeface="+mn-cs"/>
                                  </a:rPr>
                                </m:ctrlPr>
                              </m:sSupPr>
                              <m:e>
                                <m:d>
                                  <m:dPr>
                                    <m:ctrlPr>
                                      <a:rPr lang="en-US" sz="1400" b="0" i="1">
                                        <a:solidFill>
                                          <a:schemeClr val="dk1"/>
                                        </a:solidFill>
                                        <a:effectLst/>
                                        <a:latin typeface="Cambria Math" charset="0"/>
                                        <a:ea typeface="+mn-ea"/>
                                        <a:cs typeface="+mn-cs"/>
                                      </a:rPr>
                                    </m:ctrlPr>
                                  </m:dPr>
                                  <m:e>
                                    <m:sSubSup>
                                      <m:sSubSupPr>
                                        <m:ctrlPr>
                                          <a:rPr lang="en-US" sz="1400" b="0" i="1">
                                            <a:solidFill>
                                              <a:schemeClr val="dk1"/>
                                            </a:solidFill>
                                            <a:effectLst/>
                                            <a:latin typeface="Cambria Math" charset="0"/>
                                            <a:ea typeface="+mn-ea"/>
                                            <a:cs typeface="+mn-cs"/>
                                          </a:rPr>
                                        </m:ctrlPr>
                                      </m:sSubSupPr>
                                      <m:e>
                                        <m:r>
                                          <a:rPr lang="en-US" sz="1400" b="0" i="1">
                                            <a:solidFill>
                                              <a:schemeClr val="dk1"/>
                                            </a:solidFill>
                                            <a:effectLst/>
                                            <a:latin typeface="Cambria Math" panose="02040503050406030204" pitchFamily="18" charset="0"/>
                                            <a:ea typeface="+mn-ea"/>
                                            <a:cs typeface="+mn-cs"/>
                                          </a:rPr>
                                          <m:t>𝑐</m:t>
                                        </m:r>
                                      </m:e>
                                      <m:sub>
                                        <m:r>
                                          <a:rPr lang="en-US" sz="1400" b="0" i="1">
                                            <a:solidFill>
                                              <a:schemeClr val="dk1"/>
                                            </a:solidFill>
                                            <a:effectLst/>
                                            <a:latin typeface="Cambria Math" panose="02040503050406030204" pitchFamily="18" charset="0"/>
                                            <a:ea typeface="+mn-ea"/>
                                            <a:cs typeface="+mn-cs"/>
                                          </a:rPr>
                                          <m:t>𝑘𝑤</m:t>
                                        </m:r>
                                      </m:sub>
                                      <m:sup>
                                        <m:r>
                                          <a:rPr lang="en-US" sz="1400" b="0" i="1">
                                            <a:solidFill>
                                              <a:schemeClr val="dk1"/>
                                            </a:solidFill>
                                            <a:effectLst/>
                                            <a:latin typeface="Cambria Math" panose="02040503050406030204" pitchFamily="18" charset="0"/>
                                            <a:ea typeface="+mn-ea"/>
                                            <a:cs typeface="+mn-cs"/>
                                          </a:rPr>
                                          <m:t>×</m:t>
                                        </m:r>
                                      </m:sup>
                                    </m:sSubSup>
                                    <m:r>
                                      <a:rPr lang="en-US" sz="1400" b="0" i="1">
                                        <a:solidFill>
                                          <a:schemeClr val="dk1"/>
                                        </a:solidFill>
                                        <a:effectLst/>
                                        <a:latin typeface="Cambria Math" panose="02040503050406030204" pitchFamily="18" charset="0"/>
                                        <a:ea typeface="+mn-ea"/>
                                        <a:cs typeface="+mn-cs"/>
                                      </a:rPr>
                                      <m:t>−</m:t>
                                    </m:r>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𝜉</m:t>
                                        </m:r>
                                      </m:e>
                                      <m:sub>
                                        <m:r>
                                          <a:rPr lang="en-US" sz="1400" b="0" i="1">
                                            <a:solidFill>
                                              <a:schemeClr val="dk1"/>
                                            </a:solidFill>
                                            <a:effectLst/>
                                            <a:latin typeface="Cambria Math" panose="02040503050406030204" pitchFamily="18" charset="0"/>
                                            <a:ea typeface="+mn-ea"/>
                                            <a:cs typeface="+mn-cs"/>
                                          </a:rPr>
                                          <m:t>𝑤</m:t>
                                        </m:r>
                                      </m:sub>
                                    </m:sSub>
                                  </m:e>
                                </m:d>
                              </m:e>
                              <m:sup>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𝛽</m:t>
                                    </m:r>
                                  </m:e>
                                  <m:sub>
                                    <m:r>
                                      <a:rPr lang="en-US" sz="1400" b="0" i="1">
                                        <a:solidFill>
                                          <a:schemeClr val="dk1"/>
                                        </a:solidFill>
                                        <a:effectLst/>
                                        <a:latin typeface="Cambria Math" panose="02040503050406030204" pitchFamily="18" charset="0"/>
                                        <a:ea typeface="+mn-ea"/>
                                        <a:cs typeface="+mn-cs"/>
                                      </a:rPr>
                                      <m:t>𝑤</m:t>
                                    </m:r>
                                  </m:sub>
                                </m:sSub>
                              </m:sup>
                            </m:sSup>
                          </m:den>
                        </m:f>
                      </m:e>
                    </m:d>
                  </m:oMath>
                </m:oMathPara>
              </a14:m>
              <a:endParaRPr lang="en-SG" sz="1400">
                <a:effectLst/>
              </a:endParaRPr>
            </a:p>
            <a:p>
              <a:pPr lvl="1">
                <a:lnSpc>
                  <a:spcPct val="200000"/>
                </a:lnSpc>
              </a:pPr>
              <a:r>
                <a:rPr lang="en-US" sz="1400" b="0" i="0">
                  <a:solidFill>
                    <a:schemeClr val="dk1"/>
                  </a:solidFill>
                  <a:effectLst/>
                  <a:latin typeface="+mn-lt"/>
                  <a:ea typeface="+mn-ea"/>
                  <a:cs typeface="+mn-cs"/>
                </a:rPr>
                <a:t>where </a:t>
              </a:r>
              <a14:m>
                <m:oMath xmlns:m="http://schemas.openxmlformats.org/officeDocument/2006/math">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𝜆</m:t>
                      </m:r>
                    </m:e>
                    <m:sub>
                      <m:r>
                        <a:rPr lang="en-US" sz="1400" b="0" i="1">
                          <a:solidFill>
                            <a:schemeClr val="dk1"/>
                          </a:solidFill>
                          <a:effectLst/>
                          <a:latin typeface="Cambria Math" panose="02040503050406030204" pitchFamily="18" charset="0"/>
                          <a:ea typeface="+mn-ea"/>
                          <a:cs typeface="+mn-cs"/>
                        </a:rPr>
                        <m:t>𝑤</m:t>
                      </m:r>
                    </m:sub>
                  </m:sSub>
                </m:oMath>
              </a14:m>
              <a:r>
                <a:rPr lang="en-US" sz="1400" b="0" i="0">
                  <a:solidFill>
                    <a:schemeClr val="dk1"/>
                  </a:solidFill>
                  <a:effectLst/>
                  <a:latin typeface="+mn-lt"/>
                  <a:ea typeface="+mn-ea"/>
                  <a:cs typeface="+mn-cs"/>
                </a:rPr>
                <a:t> solves </a:t>
              </a:r>
              <a14:m>
                <m:oMath xmlns:m="http://schemas.openxmlformats.org/officeDocument/2006/math">
                  <m:nary>
                    <m:naryPr>
                      <m:chr m:val="∑"/>
                      <m:supHide m:val="on"/>
                      <m:ctrlPr>
                        <a:rPr lang="en-US" sz="1400" b="0" i="1">
                          <a:solidFill>
                            <a:schemeClr val="dk1"/>
                          </a:solidFill>
                          <a:effectLst/>
                          <a:latin typeface="Cambria Math" charset="0"/>
                          <a:ea typeface="+mn-ea"/>
                          <a:cs typeface="+mn-cs"/>
                        </a:rPr>
                      </m:ctrlPr>
                    </m:naryPr>
                    <m:sub>
                      <m:r>
                        <a:rPr lang="en-US" sz="1400" b="0" i="1">
                          <a:solidFill>
                            <a:schemeClr val="dk1"/>
                          </a:solidFill>
                          <a:effectLst/>
                          <a:latin typeface="Cambria Math" panose="02040503050406030204" pitchFamily="18" charset="0"/>
                          <a:ea typeface="+mn-ea"/>
                          <a:cs typeface="+mn-cs"/>
                        </a:rPr>
                        <m:t>𝑘</m:t>
                      </m:r>
                      <m:r>
                        <a:rPr lang="en-US" sz="1400" b="0" i="1">
                          <a:solidFill>
                            <a:schemeClr val="dk1"/>
                          </a:solidFill>
                          <a:effectLst/>
                          <a:latin typeface="Cambria Math" panose="02040503050406030204" pitchFamily="18" charset="0"/>
                          <a:ea typeface="+mn-ea"/>
                          <a:cs typeface="+mn-cs"/>
                        </a:rPr>
                        <m:t>∈</m:t>
                      </m:r>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𝐾</m:t>
                          </m:r>
                        </m:e>
                        <m:sub>
                          <m:r>
                            <a:rPr lang="en-US" sz="1400" b="0" i="1">
                              <a:solidFill>
                                <a:schemeClr val="dk1"/>
                              </a:solidFill>
                              <a:effectLst/>
                              <a:latin typeface="Cambria Math" panose="02040503050406030204" pitchFamily="18" charset="0"/>
                              <a:ea typeface="+mn-ea"/>
                              <a:cs typeface="+mn-cs"/>
                            </a:rPr>
                            <m:t>𝑤</m:t>
                          </m:r>
                        </m:sub>
                      </m:sSub>
                    </m:sub>
                    <m:sup/>
                    <m:e>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𝐹</m:t>
                          </m:r>
                        </m:e>
                        <m:sub>
                          <m:r>
                            <a:rPr lang="en-US" sz="1400" b="0" i="1">
                              <a:solidFill>
                                <a:schemeClr val="dk1"/>
                              </a:solidFill>
                              <a:effectLst/>
                              <a:latin typeface="Cambria Math" panose="02040503050406030204" pitchFamily="18" charset="0"/>
                              <a:ea typeface="+mn-ea"/>
                              <a:cs typeface="+mn-cs"/>
                            </a:rPr>
                            <m:t>𝑘𝑤</m:t>
                          </m:r>
                        </m:sub>
                      </m:sSub>
                      <m:d>
                        <m:dPr>
                          <m:ctrlPr>
                            <a:rPr lang="en-US" sz="1400" b="0" i="1">
                              <a:solidFill>
                                <a:schemeClr val="dk1"/>
                              </a:solidFill>
                              <a:effectLst/>
                              <a:latin typeface="Cambria Math" charset="0"/>
                              <a:ea typeface="+mn-ea"/>
                              <a:cs typeface="+mn-cs"/>
                            </a:rPr>
                          </m:ctrlPr>
                        </m:dPr>
                        <m:e>
                          <m:f>
                            <m:fPr>
                              <m:ctrlPr>
                                <a:rPr lang="en-US" sz="1400" b="0" i="1">
                                  <a:solidFill>
                                    <a:schemeClr val="dk1"/>
                                  </a:solidFill>
                                  <a:effectLst/>
                                  <a:latin typeface="Cambria Math" charset="0"/>
                                  <a:ea typeface="+mn-ea"/>
                                  <a:cs typeface="+mn-cs"/>
                                </a:rPr>
                              </m:ctrlPr>
                            </m:fPr>
                            <m:num>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𝜆</m:t>
                                  </m:r>
                                </m:e>
                                <m:sub>
                                  <m:r>
                                    <a:rPr lang="en-US" sz="1400" b="0" i="1">
                                      <a:solidFill>
                                        <a:schemeClr val="dk1"/>
                                      </a:solidFill>
                                      <a:effectLst/>
                                      <a:latin typeface="Cambria Math" panose="02040503050406030204" pitchFamily="18" charset="0"/>
                                      <a:ea typeface="+mn-ea"/>
                                      <a:cs typeface="+mn-cs"/>
                                    </a:rPr>
                                    <m:t>𝑤</m:t>
                                  </m:r>
                                </m:sub>
                              </m:sSub>
                            </m:num>
                            <m:den>
                              <m:sSup>
                                <m:sSupPr>
                                  <m:ctrlPr>
                                    <a:rPr lang="en-US" sz="1400" b="0" i="1">
                                      <a:solidFill>
                                        <a:schemeClr val="dk1"/>
                                      </a:solidFill>
                                      <a:effectLst/>
                                      <a:latin typeface="Cambria Math" charset="0"/>
                                      <a:ea typeface="+mn-ea"/>
                                      <a:cs typeface="+mn-cs"/>
                                    </a:rPr>
                                  </m:ctrlPr>
                                </m:sSupPr>
                                <m:e>
                                  <m:d>
                                    <m:dPr>
                                      <m:ctrlPr>
                                        <a:rPr lang="en-US" sz="1400" b="0" i="1">
                                          <a:solidFill>
                                            <a:schemeClr val="dk1"/>
                                          </a:solidFill>
                                          <a:effectLst/>
                                          <a:latin typeface="Cambria Math" charset="0"/>
                                          <a:ea typeface="+mn-ea"/>
                                          <a:cs typeface="+mn-cs"/>
                                        </a:rPr>
                                      </m:ctrlPr>
                                    </m:dPr>
                                    <m:e>
                                      <m:sSubSup>
                                        <m:sSubSupPr>
                                          <m:ctrlPr>
                                            <a:rPr lang="en-US" sz="1400" b="0" i="1">
                                              <a:solidFill>
                                                <a:schemeClr val="dk1"/>
                                              </a:solidFill>
                                              <a:effectLst/>
                                              <a:latin typeface="Cambria Math" charset="0"/>
                                              <a:ea typeface="+mn-ea"/>
                                              <a:cs typeface="+mn-cs"/>
                                            </a:rPr>
                                          </m:ctrlPr>
                                        </m:sSubSupPr>
                                        <m:e>
                                          <m:r>
                                            <a:rPr lang="en-US" sz="1400" b="0" i="1">
                                              <a:solidFill>
                                                <a:schemeClr val="dk1"/>
                                              </a:solidFill>
                                              <a:effectLst/>
                                              <a:latin typeface="Cambria Math" panose="02040503050406030204" pitchFamily="18" charset="0"/>
                                              <a:ea typeface="+mn-ea"/>
                                              <a:cs typeface="+mn-cs"/>
                                            </a:rPr>
                                            <m:t>𝑐</m:t>
                                          </m:r>
                                        </m:e>
                                        <m:sub>
                                          <m:r>
                                            <a:rPr lang="en-US" sz="1400" b="0" i="1">
                                              <a:solidFill>
                                                <a:schemeClr val="dk1"/>
                                              </a:solidFill>
                                              <a:effectLst/>
                                              <a:latin typeface="Cambria Math" panose="02040503050406030204" pitchFamily="18" charset="0"/>
                                              <a:ea typeface="+mn-ea"/>
                                              <a:cs typeface="+mn-cs"/>
                                            </a:rPr>
                                            <m:t>𝑘𝑤</m:t>
                                          </m:r>
                                        </m:sub>
                                        <m:sup>
                                          <m:r>
                                            <a:rPr lang="en-US" sz="1400" b="0" i="1">
                                              <a:solidFill>
                                                <a:schemeClr val="dk1"/>
                                              </a:solidFill>
                                              <a:effectLst/>
                                              <a:latin typeface="Cambria Math" panose="02040503050406030204" pitchFamily="18" charset="0"/>
                                              <a:ea typeface="+mn-ea"/>
                                              <a:cs typeface="+mn-cs"/>
                                            </a:rPr>
                                            <m:t>×</m:t>
                                          </m:r>
                                        </m:sup>
                                      </m:sSubSup>
                                      <m:r>
                                        <a:rPr lang="en-US" sz="1400" b="0" i="1">
                                          <a:solidFill>
                                            <a:schemeClr val="dk1"/>
                                          </a:solidFill>
                                          <a:effectLst/>
                                          <a:latin typeface="Cambria Math" panose="02040503050406030204" pitchFamily="18" charset="0"/>
                                          <a:ea typeface="+mn-ea"/>
                                          <a:cs typeface="+mn-cs"/>
                                        </a:rPr>
                                        <m:t>−</m:t>
                                      </m:r>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𝜉</m:t>
                                          </m:r>
                                        </m:e>
                                        <m:sub>
                                          <m:r>
                                            <a:rPr lang="en-US" sz="1400" b="0" i="1">
                                              <a:solidFill>
                                                <a:schemeClr val="dk1"/>
                                              </a:solidFill>
                                              <a:effectLst/>
                                              <a:latin typeface="Cambria Math" panose="02040503050406030204" pitchFamily="18" charset="0"/>
                                              <a:ea typeface="+mn-ea"/>
                                              <a:cs typeface="+mn-cs"/>
                                            </a:rPr>
                                            <m:t>𝑤</m:t>
                                          </m:r>
                                        </m:sub>
                                      </m:sSub>
                                    </m:e>
                                  </m:d>
                                </m:e>
                                <m:sup>
                                  <m:sSub>
                                    <m:sSubPr>
                                      <m:ctrlPr>
                                        <a:rPr lang="en-US" sz="1400" b="0" i="1">
                                          <a:solidFill>
                                            <a:schemeClr val="dk1"/>
                                          </a:solidFill>
                                          <a:effectLst/>
                                          <a:latin typeface="Cambria Math" charset="0"/>
                                          <a:ea typeface="+mn-ea"/>
                                          <a:cs typeface="+mn-cs"/>
                                        </a:rPr>
                                      </m:ctrlPr>
                                    </m:sSubPr>
                                    <m:e>
                                      <m:r>
                                        <a:rPr lang="en-US" sz="1400" b="0" i="1">
                                          <a:solidFill>
                                            <a:schemeClr val="dk1"/>
                                          </a:solidFill>
                                          <a:effectLst/>
                                          <a:latin typeface="Cambria Math" panose="02040503050406030204" pitchFamily="18" charset="0"/>
                                          <a:ea typeface="+mn-ea"/>
                                          <a:cs typeface="+mn-cs"/>
                                        </a:rPr>
                                        <m:t>𝛽</m:t>
                                      </m:r>
                                    </m:e>
                                    <m:sub>
                                      <m:r>
                                        <a:rPr lang="en-US" sz="1400" b="0" i="1">
                                          <a:solidFill>
                                            <a:schemeClr val="dk1"/>
                                          </a:solidFill>
                                          <a:effectLst/>
                                          <a:latin typeface="Cambria Math" panose="02040503050406030204" pitchFamily="18" charset="0"/>
                                          <a:ea typeface="+mn-ea"/>
                                          <a:cs typeface="+mn-cs"/>
                                        </a:rPr>
                                        <m:t>𝑤</m:t>
                                      </m:r>
                                    </m:sub>
                                  </m:sSub>
                                </m:sup>
                              </m:sSup>
                            </m:den>
                          </m:f>
                        </m:e>
                      </m:d>
                    </m:e>
                  </m:nary>
                  <m:r>
                    <a:rPr lang="en-US" sz="1400" b="0" i="1">
                      <a:solidFill>
                        <a:schemeClr val="dk1"/>
                      </a:solidFill>
                      <a:effectLst/>
                      <a:latin typeface="Cambria Math" panose="02040503050406030204" pitchFamily="18" charset="0"/>
                      <a:ea typeface="+mn-ea"/>
                      <a:cs typeface="+mn-cs"/>
                    </a:rPr>
                    <m:t>=1</m:t>
                  </m:r>
                </m:oMath>
              </a14:m>
              <a:r>
                <a:rPr lang="en-US" sz="1400" b="0" i="0">
                  <a:solidFill>
                    <a:schemeClr val="dk1"/>
                  </a:solidFill>
                  <a:effectLst/>
                  <a:latin typeface="+mn-lt"/>
                  <a:ea typeface="+mn-ea"/>
                  <a:cs typeface="+mn-cs"/>
                </a:rPr>
                <a:t>.</a:t>
              </a:r>
              <a:endParaRPr lang="en-SG" sz="1400">
                <a:effectLst/>
              </a:endParaRPr>
            </a:p>
          </xdr:txBody>
        </xdr:sp>
      </mc:Choice>
      <mc:Fallback xmlns="">
        <xdr:sp macro="" textlink="">
          <xdr:nvSpPr>
            <xdr:cNvPr id="14" name="TextBox 13"/>
            <xdr:cNvSpPr txBox="1"/>
          </xdr:nvSpPr>
          <xdr:spPr>
            <a:xfrm>
              <a:off x="1266825" y="36995100"/>
              <a:ext cx="6648450" cy="417195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𝐹_𝑘𝑤 (.)</a:t>
              </a:r>
              <a:r>
                <a:rPr lang="en-SG" sz="1100" b="0" i="0">
                  <a:latin typeface="Cambria Math" panose="02040503050406030204" pitchFamily="18" charset="0"/>
                </a:rPr>
                <a:t> : </a:t>
              </a:r>
              <a:r>
                <a:rPr lang="en-US" sz="1100" b="0" i="0">
                  <a:latin typeface="Cambria Math" panose="02040503050406030204" pitchFamily="18" charset="0"/>
                </a:rPr>
                <a:t>cumulative marginal distribution function of the perception</a:t>
              </a:r>
              <a:r>
                <a:rPr lang="en-US" sz="1100" b="0" i="0" baseline="0">
                  <a:latin typeface="Cambria Math" panose="02040503050406030204" pitchFamily="18" charset="0"/>
                </a:rPr>
                <a:t> error of route 𝑘∈𝐾_𝑤</a:t>
              </a:r>
              <a:r>
                <a:rPr lang="en-US" sz="1100" b="0" i="0">
                  <a:latin typeface="Cambria Math" panose="02040503050406030204" pitchFamily="18" charset="0"/>
                </a:rPr>
                <a:t>, i.e. 𝜖_𝑘𝑤.</a:t>
              </a:r>
            </a:p>
            <a:p>
              <a:pPr algn="l">
                <a:lnSpc>
                  <a:spcPct val="200000"/>
                </a:lnSpc>
              </a:pPr>
              <a:endParaRPr lang="en-US" sz="1100" b="0" i="0">
                <a:latin typeface="Cambria Math" panose="02040503050406030204" pitchFamily="18" charset="0"/>
              </a:endParaRPr>
            </a:p>
            <a:p>
              <a:pPr algn="l">
                <a:lnSpc>
                  <a:spcPct val="200000"/>
                </a:lnSpc>
              </a:pPr>
              <a:r>
                <a:rPr lang="en-US" sz="1100" b="0" i="0" u="none">
                  <a:latin typeface="Cambria Math" panose="02040503050406030204" pitchFamily="18" charset="0"/>
                </a:rPr>
                <a:t>For MDM</a:t>
              </a:r>
              <a:r>
                <a:rPr lang="en-US" sz="1100" b="0" i="0" u="none" baseline="0">
                  <a:latin typeface="Cambria Math" panose="02040503050406030204" pitchFamily="18" charset="0"/>
                </a:rPr>
                <a:t> with Additive Utility Function, 𝑈_𝑘𝑤=−𝑐_𝑘𝑤+𝜖_𝑘𝑤</a:t>
              </a:r>
              <a:endParaRPr lang="en-US" sz="1100" b="0" i="0" u="none">
                <a:latin typeface="Cambria Math" panose="02040503050406030204" pitchFamily="18" charset="0"/>
              </a:endParaRPr>
            </a:p>
            <a:p>
              <a:pPr lvl="1" algn="l">
                <a:lnSpc>
                  <a:spcPct val="200000"/>
                </a:lnSpc>
              </a:pPr>
              <a:r>
                <a:rPr lang="en-US" sz="1100" b="0" i="0">
                  <a:latin typeface="Cambria Math" panose="02040503050406030204" pitchFamily="18" charset="0"/>
                </a:rPr>
                <a:t>𝑝_𝑘𝑤=1−𝐹_𝑘𝑤 (𝜆_𝑤+𝑐_𝑘𝑤^+ )</a:t>
              </a:r>
            </a:p>
            <a:p>
              <a:pPr lvl="1" algn="l">
                <a:lnSpc>
                  <a:spcPct val="200000"/>
                </a:lnSpc>
              </a:pPr>
              <a:r>
                <a:rPr lang="en-US" sz="1100" b="0" i="0">
                  <a:latin typeface="Cambria Math" panose="02040503050406030204" pitchFamily="18" charset="0"/>
                </a:rPr>
                <a:t>where 𝜆_𝑤 solves ∑_(𝑘∈𝐾_𝑤)</a:t>
              </a:r>
              <a:r>
                <a:rPr lang="en-US" sz="1100" b="0" i="0">
                  <a:solidFill>
                    <a:schemeClr val="dk1"/>
                  </a:solidFill>
                  <a:effectLst/>
                  <a:latin typeface="Cambria Math" panose="02040503050406030204" pitchFamily="18" charset="0"/>
                  <a:ea typeface="+mn-ea"/>
                  <a:cs typeface="+mn-cs"/>
                </a:rPr>
                <a:t>▒(1−𝐹_𝑘𝑤 (𝜆_𝑤+𝑐_𝑘𝑤^+ )) </a:t>
              </a:r>
              <a:r>
                <a:rPr lang="en-US" sz="1100" b="0" i="0">
                  <a:latin typeface="Cambria Math" panose="02040503050406030204" pitchFamily="18" charset="0"/>
                </a:rPr>
                <a:t>=1.</a:t>
              </a:r>
            </a:p>
            <a:p>
              <a:pPr>
                <a:lnSpc>
                  <a:spcPct val="200000"/>
                </a:lnSpc>
              </a:pPr>
              <a:endParaRPr lang="en-US" sz="1100" b="0" i="0">
                <a:solidFill>
                  <a:schemeClr val="dk1"/>
                </a:solidFill>
                <a:effectLst/>
                <a:latin typeface="+mn-lt"/>
                <a:ea typeface="+mn-ea"/>
                <a:cs typeface="+mn-cs"/>
              </a:endParaRPr>
            </a:p>
            <a:p>
              <a:pPr>
                <a:lnSpc>
                  <a:spcPct val="200000"/>
                </a:lnSpc>
              </a:pPr>
              <a:r>
                <a:rPr lang="en-US" sz="1100" b="0" i="0">
                  <a:solidFill>
                    <a:schemeClr val="dk1"/>
                  </a:solidFill>
                  <a:effectLst/>
                  <a:latin typeface="+mn-lt"/>
                  <a:ea typeface="+mn-ea"/>
                  <a:cs typeface="+mn-cs"/>
                </a:rPr>
                <a:t>For MDM</a:t>
              </a:r>
              <a:r>
                <a:rPr lang="en-US" sz="1100" b="0" i="0" baseline="0">
                  <a:solidFill>
                    <a:schemeClr val="dk1"/>
                  </a:solidFill>
                  <a:effectLst/>
                  <a:latin typeface="+mn-lt"/>
                  <a:ea typeface="+mn-ea"/>
                  <a:cs typeface="+mn-cs"/>
                </a:rPr>
                <a:t> with Multiplicative Utility Function, </a:t>
              </a:r>
              <a:r>
                <a:rPr lang="en-US" sz="1100" b="0" i="0" baseline="0">
                  <a:solidFill>
                    <a:schemeClr val="dk1"/>
                  </a:solidFill>
                  <a:effectLst/>
                  <a:latin typeface="Cambria Math" panose="02040503050406030204" pitchFamily="18" charset="0"/>
                  <a:ea typeface="+mn-ea"/>
                  <a:cs typeface="+mn-cs"/>
                </a:rPr>
                <a:t>𝑈_𝑘𝑤=</a:t>
              </a:r>
              <a:r>
                <a:rPr lang="en-US" sz="1100" b="0" i="0">
                  <a:solidFill>
                    <a:schemeClr val="dk1"/>
                  </a:solidFill>
                  <a:effectLst/>
                  <a:latin typeface="Cambria Math" panose="02040503050406030204" pitchFamily="18" charset="0"/>
                  <a:ea typeface="+mn-ea"/>
                  <a:cs typeface="+mn-cs"/>
                </a:rPr>
                <a:t>(𝑐_𝑘𝑤−𝜉_𝑤 )^(𝛽_𝑤 )  𝜖_𝑘𝑤</a:t>
              </a:r>
              <a:endParaRPr lang="en-SG">
                <a:effectLst/>
              </a:endParaRPr>
            </a:p>
            <a:p>
              <a:pPr lvl="1">
                <a:lnSpc>
                  <a:spcPct val="200000"/>
                </a:lnSpc>
              </a:pPr>
              <a:r>
                <a:rPr lang="en-US" sz="1100" b="0" i="0">
                  <a:solidFill>
                    <a:schemeClr val="dk1"/>
                  </a:solidFill>
                  <a:effectLst/>
                  <a:latin typeface="Cambria Math" panose="02040503050406030204" pitchFamily="18" charset="0"/>
                  <a:ea typeface="+mn-ea"/>
                  <a:cs typeface="+mn-cs"/>
                </a:rPr>
                <a:t>𝑝_𝑘𝑤=𝐹_𝑘𝑤 (𝜆_𝑤/</a:t>
              </a:r>
              <a:r>
                <a:rPr lang="en-US" sz="1100" b="0" i="0">
                  <a:solidFill>
                    <a:schemeClr val="dk1"/>
                  </a:solidFill>
                  <a:effectLst/>
                  <a:latin typeface="+mn-lt"/>
                  <a:ea typeface="+mn-ea"/>
                  <a:cs typeface="+mn-cs"/>
                </a:rPr>
                <a:t>(</a:t>
              </a:r>
              <a:r>
                <a:rPr lang="en-US" sz="1100" b="0" i="0">
                  <a:solidFill>
                    <a:schemeClr val="dk1"/>
                  </a:solidFill>
                  <a:effectLst/>
                  <a:latin typeface="+mn-lt"/>
                  <a:ea typeface="+mn-ea"/>
                  <a:cs typeface="+mn-cs"/>
                </a:rPr>
                <a:t>𝑐_𝑘𝑤^×−𝜉_𝑤 )^(𝛽_𝑤 )</a:t>
              </a:r>
              <a:r>
                <a:rPr lang="en-US" sz="1100" b="0" i="0">
                  <a:solidFill>
                    <a:schemeClr val="dk1"/>
                  </a:solidFill>
                  <a:effectLst/>
                  <a:latin typeface="Cambria Math" panose="02040503050406030204" pitchFamily="18" charset="0"/>
                  <a:ea typeface="+mn-ea"/>
                  <a:cs typeface="+mn-cs"/>
                </a:rPr>
                <a:t> )</a:t>
              </a:r>
              <a:endParaRPr lang="en-SG">
                <a:effectLst/>
              </a:endParaRPr>
            </a:p>
            <a:p>
              <a:pPr lvl="1">
                <a:lnSpc>
                  <a:spcPct val="200000"/>
                </a:lnSpc>
              </a:pPr>
              <a:r>
                <a:rPr lang="en-US" sz="1100" b="0" i="0">
                  <a:solidFill>
                    <a:schemeClr val="dk1"/>
                  </a:solidFill>
                  <a:effectLst/>
                  <a:latin typeface="+mn-lt"/>
                  <a:ea typeface="+mn-ea"/>
                  <a:cs typeface="+mn-cs"/>
                </a:rPr>
                <a:t>where </a:t>
              </a:r>
              <a:r>
                <a:rPr lang="en-US" sz="1100" b="0" i="0">
                  <a:solidFill>
                    <a:schemeClr val="dk1"/>
                  </a:solidFill>
                  <a:effectLst/>
                  <a:latin typeface="Cambria Math" panose="02040503050406030204" pitchFamily="18" charset="0"/>
                  <a:ea typeface="+mn-ea"/>
                  <a:cs typeface="+mn-cs"/>
                </a:rPr>
                <a:t>𝜆_𝑤</a:t>
              </a:r>
              <a:r>
                <a:rPr lang="en-US" sz="1100" b="0" i="0">
                  <a:solidFill>
                    <a:schemeClr val="dk1"/>
                  </a:solidFill>
                  <a:effectLst/>
                  <a:latin typeface="+mn-lt"/>
                  <a:ea typeface="+mn-ea"/>
                  <a:cs typeface="+mn-cs"/>
                </a:rPr>
                <a:t> solves </a:t>
              </a:r>
              <a:r>
                <a:rPr lang="en-US" sz="1100" b="0" i="0">
                  <a:solidFill>
                    <a:schemeClr val="dk1"/>
                  </a:solidFill>
                  <a:effectLst/>
                  <a:latin typeface="Cambria Math" panose="02040503050406030204" pitchFamily="18" charset="0"/>
                  <a:ea typeface="+mn-ea"/>
                  <a:cs typeface="+mn-cs"/>
                </a:rPr>
                <a:t>∑_(𝑘∈𝐾_𝑤)▒〖𝐹_𝑘𝑤 (𝜆_𝑤/(</a:t>
              </a:r>
              <a:r>
                <a:rPr lang="en-US" sz="1100" b="0" i="0">
                  <a:solidFill>
                    <a:schemeClr val="dk1"/>
                  </a:solidFill>
                  <a:effectLst/>
                  <a:latin typeface="+mn-lt"/>
                  <a:ea typeface="+mn-ea"/>
                  <a:cs typeface="+mn-cs"/>
                </a:rPr>
                <a:t>𝑐_𝑘𝑤^×</a:t>
              </a:r>
              <a:r>
                <a:rPr lang="en-US" sz="1100" b="0" i="0">
                  <a:solidFill>
                    <a:schemeClr val="dk1"/>
                  </a:solidFill>
                  <a:effectLst/>
                  <a:latin typeface="Cambria Math" panose="02040503050406030204" pitchFamily="18" charset="0"/>
                  <a:ea typeface="+mn-ea"/>
                  <a:cs typeface="+mn-cs"/>
                </a:rPr>
                <a:t>−𝜉_𝑤</a:t>
              </a:r>
              <a:r>
                <a:rPr lang="en-US" sz="1100" b="0" i="0">
                  <a:solidFill>
                    <a:schemeClr val="dk1"/>
                  </a:solidFill>
                  <a:effectLst/>
                  <a:latin typeface="Cambria Math" panose="02040503050406030204" pitchFamily="18" charset="0"/>
                  <a:ea typeface="+mn-ea"/>
                  <a:cs typeface="+mn-cs"/>
                </a:rPr>
                <a:t> )^(𝛽_𝑤 ) ) 〗=1</a:t>
              </a:r>
              <a:r>
                <a:rPr lang="en-US" sz="1100" b="0" i="0">
                  <a:solidFill>
                    <a:schemeClr val="dk1"/>
                  </a:solidFill>
                  <a:effectLst/>
                  <a:latin typeface="+mn-lt"/>
                  <a:ea typeface="+mn-ea"/>
                  <a:cs typeface="+mn-cs"/>
                </a:rPr>
                <a:t>.</a:t>
              </a:r>
              <a:endParaRPr lang="en-SG">
                <a:effectLst/>
              </a:endParaRPr>
            </a:p>
          </xdr:txBody>
        </xdr:sp>
      </mc:Fallback>
    </mc:AlternateContent>
    <xdr:clientData/>
  </xdr:twoCellAnchor>
  <xdr:oneCellAnchor>
    <xdr:from>
      <xdr:col>8</xdr:col>
      <xdr:colOff>12700</xdr:colOff>
      <xdr:row>234</xdr:row>
      <xdr:rowOff>133350</xdr:rowOff>
    </xdr:from>
    <xdr:ext cx="2269276" cy="467820"/>
    <mc:AlternateContent xmlns:mc="http://schemas.openxmlformats.org/markup-compatibility/2006" xmlns:a14="http://schemas.microsoft.com/office/drawing/2010/main">
      <mc:Choice Requires="a14">
        <xdr:sp macro="" textlink="">
          <xdr:nvSpPr>
            <xdr:cNvPr id="15" name="TextBox 14"/>
            <xdr:cNvSpPr txBox="1"/>
          </xdr:nvSpPr>
          <xdr:spPr>
            <a:xfrm>
              <a:off x="2247900" y="72193150"/>
              <a:ext cx="2269276" cy="4678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600" b="0" i="1">
                            <a:latin typeface="Cambria Math" charset="0"/>
                          </a:rPr>
                        </m:ctrlPr>
                      </m:sSubPr>
                      <m:e>
                        <m:r>
                          <a:rPr lang="en-US" sz="1600" b="0" i="1">
                            <a:latin typeface="Cambria Math" panose="02040503050406030204" pitchFamily="18" charset="0"/>
                          </a:rPr>
                          <m:t>𝐹</m:t>
                        </m:r>
                      </m:e>
                      <m:sub>
                        <m:r>
                          <a:rPr lang="en-US" sz="1600" b="0" i="1">
                            <a:latin typeface="Cambria Math" panose="02040503050406030204" pitchFamily="18" charset="0"/>
                          </a:rPr>
                          <m:t>𝑘𝑤</m:t>
                        </m:r>
                      </m:sub>
                    </m:sSub>
                    <m:d>
                      <m:dPr>
                        <m:ctrlPr>
                          <a:rPr lang="en-US" sz="1600" b="0" i="1">
                            <a:latin typeface="Cambria Math" charset="0"/>
                          </a:rPr>
                        </m:ctrlPr>
                      </m:dPr>
                      <m:e>
                        <m:r>
                          <a:rPr lang="en-US" sz="1600" b="0" i="1">
                            <a:latin typeface="Cambria Math" panose="02040503050406030204" pitchFamily="18" charset="0"/>
                          </a:rPr>
                          <m:t>𝑡</m:t>
                        </m:r>
                      </m:e>
                    </m:d>
                    <m:r>
                      <a:rPr lang="en-US" sz="1600" b="0" i="1">
                        <a:latin typeface="Cambria Math" panose="02040503050406030204" pitchFamily="18" charset="0"/>
                      </a:rPr>
                      <m:t>=1−</m:t>
                    </m:r>
                    <m:func>
                      <m:funcPr>
                        <m:ctrlPr>
                          <a:rPr lang="en-US" sz="1600" b="0" i="1">
                            <a:latin typeface="Cambria Math" charset="0"/>
                          </a:rPr>
                        </m:ctrlPr>
                      </m:funcPr>
                      <m:fName>
                        <m:r>
                          <m:rPr>
                            <m:sty m:val="p"/>
                          </m:rPr>
                          <a:rPr lang="en-US" sz="1600" b="0" i="0">
                            <a:latin typeface="Cambria Math" panose="02040503050406030204" pitchFamily="18" charset="0"/>
                          </a:rPr>
                          <m:t>exp</m:t>
                        </m:r>
                      </m:fName>
                      <m:e>
                        <m:d>
                          <m:dPr>
                            <m:ctrlPr>
                              <a:rPr lang="en-US" sz="1600" b="0" i="1">
                                <a:latin typeface="Cambria Math" charset="0"/>
                              </a:rPr>
                            </m:ctrlPr>
                          </m:dPr>
                          <m:e>
                            <m:f>
                              <m:fPr>
                                <m:ctrlPr>
                                  <a:rPr lang="en-US" sz="1600" b="0" i="1">
                                    <a:latin typeface="Cambria Math" charset="0"/>
                                  </a:rPr>
                                </m:ctrlPr>
                              </m:fPr>
                              <m:num>
                                <m:r>
                                  <a:rPr lang="en-US" sz="1600" b="0" i="1">
                                    <a:latin typeface="Cambria Math" panose="02040503050406030204" pitchFamily="18" charset="0"/>
                                  </a:rPr>
                                  <m:t>𝐴</m:t>
                                </m:r>
                                <m:r>
                                  <a:rPr lang="en-US" sz="1600" b="0" i="1">
                                    <a:latin typeface="Cambria Math" panose="02040503050406030204" pitchFamily="18" charset="0"/>
                                  </a:rPr>
                                  <m:t>−</m:t>
                                </m:r>
                                <m:r>
                                  <a:rPr lang="en-US" sz="1600" b="0" i="1">
                                    <a:latin typeface="Cambria Math" panose="02040503050406030204" pitchFamily="18" charset="0"/>
                                  </a:rPr>
                                  <m:t>𝑡</m:t>
                                </m:r>
                              </m:num>
                              <m:den>
                                <m:r>
                                  <a:rPr lang="en-US" sz="1600" b="0" i="1">
                                    <a:latin typeface="Cambria Math" panose="02040503050406030204" pitchFamily="18" charset="0"/>
                                  </a:rPr>
                                  <m:t>𝐵</m:t>
                                </m:r>
                              </m:den>
                            </m:f>
                          </m:e>
                        </m:d>
                      </m:e>
                    </m:func>
                  </m:oMath>
                </m:oMathPara>
              </a14:m>
              <a:endParaRPr lang="en-SG" sz="1600"/>
            </a:p>
          </xdr:txBody>
        </xdr:sp>
      </mc:Choice>
      <mc:Fallback xmlns="">
        <xdr:sp macro="" textlink="">
          <xdr:nvSpPr>
            <xdr:cNvPr id="15" name="TextBox 14"/>
            <xdr:cNvSpPr txBox="1"/>
          </xdr:nvSpPr>
          <xdr:spPr>
            <a:xfrm>
              <a:off x="2228850" y="43033950"/>
              <a:ext cx="1582549"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𝐹_𝑘𝑤 (𝑡)=1−exp⁡((𝐴−𝑡)/𝐵)</a:t>
              </a:r>
              <a:endParaRPr lang="en-SG" sz="1100"/>
            </a:p>
          </xdr:txBody>
        </xdr:sp>
      </mc:Fallback>
    </mc:AlternateContent>
    <xdr:clientData/>
  </xdr:oneCellAnchor>
  <xdr:oneCellAnchor>
    <xdr:from>
      <xdr:col>8</xdr:col>
      <xdr:colOff>50800</xdr:colOff>
      <xdr:row>240</xdr:row>
      <xdr:rowOff>95250</xdr:rowOff>
    </xdr:from>
    <xdr:ext cx="1744965" cy="449995"/>
    <mc:AlternateContent xmlns:mc="http://schemas.openxmlformats.org/markup-compatibility/2006" xmlns:a14="http://schemas.microsoft.com/office/drawing/2010/main">
      <mc:Choice Requires="a14">
        <xdr:sp macro="" textlink="">
          <xdr:nvSpPr>
            <xdr:cNvPr id="16" name="TextBox 15"/>
            <xdr:cNvSpPr txBox="1"/>
          </xdr:nvSpPr>
          <xdr:spPr>
            <a:xfrm>
              <a:off x="2286000" y="73983850"/>
              <a:ext cx="1744965" cy="449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600" b="0" i="1">
                            <a:latin typeface="Cambria Math" charset="0"/>
                          </a:rPr>
                        </m:ctrlPr>
                      </m:sSubPr>
                      <m:e>
                        <m:r>
                          <a:rPr lang="en-US" sz="1600" b="0" i="1">
                            <a:latin typeface="Cambria Math" panose="02040503050406030204" pitchFamily="18" charset="0"/>
                          </a:rPr>
                          <m:t>𝐹</m:t>
                        </m:r>
                      </m:e>
                      <m:sub>
                        <m:r>
                          <a:rPr lang="en-US" sz="1600" b="0" i="1">
                            <a:latin typeface="Cambria Math" panose="02040503050406030204" pitchFamily="18" charset="0"/>
                          </a:rPr>
                          <m:t>𝑘𝑤</m:t>
                        </m:r>
                      </m:sub>
                    </m:sSub>
                    <m:d>
                      <m:dPr>
                        <m:ctrlPr>
                          <a:rPr lang="en-US" sz="1600" b="0" i="1">
                            <a:latin typeface="Cambria Math" charset="0"/>
                          </a:rPr>
                        </m:ctrlPr>
                      </m:dPr>
                      <m:e>
                        <m:r>
                          <a:rPr lang="en-US" sz="1600" b="0" i="1">
                            <a:latin typeface="Cambria Math" panose="02040503050406030204" pitchFamily="18" charset="0"/>
                          </a:rPr>
                          <m:t>𝑡</m:t>
                        </m:r>
                      </m:e>
                    </m:d>
                    <m:r>
                      <a:rPr lang="en-US" sz="1600" b="0" i="1">
                        <a:latin typeface="Cambria Math" panose="02040503050406030204" pitchFamily="18" charset="0"/>
                      </a:rPr>
                      <m:t>=</m:t>
                    </m:r>
                    <m:r>
                      <m:rPr>
                        <m:sty m:val="p"/>
                      </m:rPr>
                      <a:rPr lang="en-US" sz="1600" b="0" i="0">
                        <a:latin typeface="Cambria Math" panose="02040503050406030204" pitchFamily="18" charset="0"/>
                      </a:rPr>
                      <m:t>Φ</m:t>
                    </m:r>
                    <m:d>
                      <m:dPr>
                        <m:ctrlPr>
                          <a:rPr lang="en-US" sz="1600" b="0" i="1">
                            <a:latin typeface="Cambria Math" charset="0"/>
                          </a:rPr>
                        </m:ctrlPr>
                      </m:dPr>
                      <m:e>
                        <m:f>
                          <m:fPr>
                            <m:ctrlPr>
                              <a:rPr lang="en-US" sz="1600" b="0" i="1">
                                <a:latin typeface="Cambria Math" charset="0"/>
                              </a:rPr>
                            </m:ctrlPr>
                          </m:fPr>
                          <m:num>
                            <m:r>
                              <a:rPr lang="en-US" sz="1600" b="0" i="1">
                                <a:latin typeface="Cambria Math" panose="02040503050406030204" pitchFamily="18" charset="0"/>
                              </a:rPr>
                              <m:t>𝑡</m:t>
                            </m:r>
                            <m:r>
                              <a:rPr lang="en-US" sz="1600" b="0" i="1">
                                <a:latin typeface="Cambria Math" panose="02040503050406030204" pitchFamily="18" charset="0"/>
                              </a:rPr>
                              <m:t>−</m:t>
                            </m:r>
                            <m:r>
                              <a:rPr lang="en-US" sz="1600" b="0" i="1">
                                <a:latin typeface="Cambria Math" panose="02040503050406030204" pitchFamily="18" charset="0"/>
                              </a:rPr>
                              <m:t>𝜇</m:t>
                            </m:r>
                          </m:num>
                          <m:den>
                            <m:r>
                              <a:rPr lang="en-US" sz="1600" b="0" i="1">
                                <a:latin typeface="Cambria Math" panose="02040503050406030204" pitchFamily="18" charset="0"/>
                              </a:rPr>
                              <m:t>𝜎</m:t>
                            </m:r>
                          </m:den>
                        </m:f>
                      </m:e>
                    </m:d>
                  </m:oMath>
                </m:oMathPara>
              </a14:m>
              <a:endParaRPr lang="en-SG" sz="1600"/>
            </a:p>
          </xdr:txBody>
        </xdr:sp>
      </mc:Choice>
      <mc:Fallback xmlns="">
        <xdr:sp macro="" textlink="">
          <xdr:nvSpPr>
            <xdr:cNvPr id="16" name="TextBox 15"/>
            <xdr:cNvSpPr txBox="1"/>
          </xdr:nvSpPr>
          <xdr:spPr>
            <a:xfrm>
              <a:off x="2228850" y="44176950"/>
              <a:ext cx="1199624" cy="3093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𝐹_𝑘𝑤 (𝑡)=Φ((𝑡−𝜇)/𝜎)</a:t>
              </a:r>
              <a:endParaRPr lang="en-SG" sz="1100"/>
            </a:p>
          </xdr:txBody>
        </xdr:sp>
      </mc:Fallback>
    </mc:AlternateContent>
    <xdr:clientData/>
  </xdr:oneCellAnchor>
  <xdr:oneCellAnchor>
    <xdr:from>
      <xdr:col>8</xdr:col>
      <xdr:colOff>38100</xdr:colOff>
      <xdr:row>244</xdr:row>
      <xdr:rowOff>228600</xdr:rowOff>
    </xdr:from>
    <xdr:ext cx="3617850" cy="558230"/>
    <mc:AlternateContent xmlns:mc="http://schemas.openxmlformats.org/markup-compatibility/2006" xmlns:a14="http://schemas.microsoft.com/office/drawing/2010/main">
      <mc:Choice Requires="a14">
        <xdr:sp macro="" textlink="">
          <xdr:nvSpPr>
            <xdr:cNvPr id="17" name="TextBox 16"/>
            <xdr:cNvSpPr txBox="1"/>
          </xdr:nvSpPr>
          <xdr:spPr>
            <a:xfrm>
              <a:off x="2273300" y="75336400"/>
              <a:ext cx="3617850" cy="5582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600" b="0" i="1">
                            <a:latin typeface="Cambria Math" charset="0"/>
                          </a:rPr>
                        </m:ctrlPr>
                      </m:sSubPr>
                      <m:e>
                        <m:r>
                          <a:rPr lang="en-US" sz="1600" b="0" i="1">
                            <a:latin typeface="Cambria Math" panose="02040503050406030204" pitchFamily="18" charset="0"/>
                          </a:rPr>
                          <m:t>𝐹</m:t>
                        </m:r>
                      </m:e>
                      <m:sub>
                        <m:r>
                          <a:rPr lang="en-US" sz="1600" b="0" i="1">
                            <a:latin typeface="Cambria Math" panose="02040503050406030204" pitchFamily="18" charset="0"/>
                          </a:rPr>
                          <m:t>𝑘𝑤</m:t>
                        </m:r>
                      </m:sub>
                    </m:sSub>
                    <m:d>
                      <m:dPr>
                        <m:ctrlPr>
                          <a:rPr lang="en-US" sz="1600" b="0" i="1">
                            <a:latin typeface="Cambria Math" charset="0"/>
                          </a:rPr>
                        </m:ctrlPr>
                      </m:dPr>
                      <m:e>
                        <m:r>
                          <a:rPr lang="en-US" sz="1600" b="0" i="1">
                            <a:latin typeface="Cambria Math" panose="02040503050406030204" pitchFamily="18" charset="0"/>
                          </a:rPr>
                          <m:t>𝑡</m:t>
                        </m:r>
                      </m:e>
                    </m:d>
                    <m:r>
                      <a:rPr lang="en-US" sz="1600" b="0" i="1">
                        <a:latin typeface="Cambria Math" panose="02040503050406030204" pitchFamily="18" charset="0"/>
                      </a:rPr>
                      <m:t>=</m:t>
                    </m:r>
                    <m:r>
                      <m:rPr>
                        <m:sty m:val="p"/>
                      </m:rPr>
                      <a:rPr lang="en-US" sz="1600" b="0" i="0">
                        <a:latin typeface="Cambria Math" panose="02040503050406030204" pitchFamily="18" charset="0"/>
                      </a:rPr>
                      <m:t>Φ</m:t>
                    </m:r>
                    <m:d>
                      <m:dPr>
                        <m:ctrlPr>
                          <a:rPr lang="en-US" sz="1600" b="0" i="1">
                            <a:latin typeface="Cambria Math" charset="0"/>
                          </a:rPr>
                        </m:ctrlPr>
                      </m:dPr>
                      <m:e>
                        <m:r>
                          <a:rPr lang="en-US" sz="1600" b="0" i="1">
                            <a:latin typeface="Cambria Math" panose="02040503050406030204" pitchFamily="18" charset="0"/>
                          </a:rPr>
                          <m:t>𝑡</m:t>
                        </m:r>
                      </m:e>
                    </m:d>
                    <m:r>
                      <a:rPr lang="en-US" sz="1600" b="0" i="1">
                        <a:latin typeface="Cambria Math" panose="02040503050406030204" pitchFamily="18" charset="0"/>
                      </a:rPr>
                      <m:t>=</m:t>
                    </m:r>
                    <m:f>
                      <m:fPr>
                        <m:ctrlPr>
                          <a:rPr lang="en-US" sz="1600" b="0" i="1">
                            <a:latin typeface="Cambria Math" charset="0"/>
                          </a:rPr>
                        </m:ctrlPr>
                      </m:fPr>
                      <m:num>
                        <m:r>
                          <a:rPr lang="en-US" sz="1600" b="0" i="1">
                            <a:latin typeface="Cambria Math" panose="02040503050406030204" pitchFamily="18" charset="0"/>
                          </a:rPr>
                          <m:t>1</m:t>
                        </m:r>
                      </m:num>
                      <m:den>
                        <m:rad>
                          <m:radPr>
                            <m:degHide m:val="on"/>
                            <m:ctrlPr>
                              <a:rPr lang="en-US" sz="1600" b="0" i="1">
                                <a:latin typeface="Cambria Math" charset="0"/>
                              </a:rPr>
                            </m:ctrlPr>
                          </m:radPr>
                          <m:deg/>
                          <m:e>
                            <m:r>
                              <a:rPr lang="en-US" sz="1600" b="0" i="1">
                                <a:latin typeface="Cambria Math" panose="02040503050406030204" pitchFamily="18" charset="0"/>
                              </a:rPr>
                              <m:t>2</m:t>
                            </m:r>
                            <m:r>
                              <a:rPr lang="en-US" sz="1600" b="0" i="1">
                                <a:latin typeface="Cambria Math" panose="02040503050406030204" pitchFamily="18" charset="0"/>
                              </a:rPr>
                              <m:t>𝜋</m:t>
                            </m:r>
                          </m:e>
                        </m:rad>
                      </m:den>
                    </m:f>
                    <m:nary>
                      <m:naryPr>
                        <m:ctrlPr>
                          <a:rPr lang="en-US" sz="1600" b="0" i="1">
                            <a:latin typeface="Cambria Math" charset="0"/>
                          </a:rPr>
                        </m:ctrlPr>
                      </m:naryPr>
                      <m:sub>
                        <m:r>
                          <a:rPr lang="en-US" sz="1600" b="0" i="1">
                            <a:latin typeface="Cambria Math" panose="02040503050406030204" pitchFamily="18" charset="0"/>
                          </a:rPr>
                          <m:t>−∞</m:t>
                        </m:r>
                      </m:sub>
                      <m:sup>
                        <m:r>
                          <a:rPr lang="en-US" sz="1600" b="0" i="1">
                            <a:latin typeface="Cambria Math" panose="02040503050406030204" pitchFamily="18" charset="0"/>
                          </a:rPr>
                          <m:t>𝑡</m:t>
                        </m:r>
                      </m:sup>
                      <m:e>
                        <m:func>
                          <m:funcPr>
                            <m:ctrlPr>
                              <a:rPr lang="en-US" sz="1600" b="0" i="1">
                                <a:latin typeface="Cambria Math" charset="0"/>
                              </a:rPr>
                            </m:ctrlPr>
                          </m:funcPr>
                          <m:fName>
                            <m:r>
                              <m:rPr>
                                <m:sty m:val="p"/>
                              </m:rPr>
                              <a:rPr lang="en-US" sz="1600" b="0" i="0">
                                <a:latin typeface="Cambria Math" panose="02040503050406030204" pitchFamily="18" charset="0"/>
                              </a:rPr>
                              <m:t>exp</m:t>
                            </m:r>
                          </m:fName>
                          <m:e>
                            <m:d>
                              <m:dPr>
                                <m:ctrlPr>
                                  <a:rPr lang="en-US" sz="1600" b="0" i="1">
                                    <a:latin typeface="Cambria Math" charset="0"/>
                                  </a:rPr>
                                </m:ctrlPr>
                              </m:dPr>
                              <m:e>
                                <m:r>
                                  <a:rPr lang="en-US" sz="1600" b="0" i="1">
                                    <a:latin typeface="Cambria Math" panose="02040503050406030204" pitchFamily="18" charset="0"/>
                                  </a:rPr>
                                  <m:t>−</m:t>
                                </m:r>
                                <m:f>
                                  <m:fPr>
                                    <m:ctrlPr>
                                      <a:rPr lang="en-US" sz="1600" b="0" i="1">
                                        <a:latin typeface="Cambria Math" charset="0"/>
                                      </a:rPr>
                                    </m:ctrlPr>
                                  </m:fPr>
                                  <m:num>
                                    <m:sSup>
                                      <m:sSupPr>
                                        <m:ctrlPr>
                                          <a:rPr lang="en-US" sz="1600" b="0" i="1">
                                            <a:latin typeface="Cambria Math" charset="0"/>
                                          </a:rPr>
                                        </m:ctrlPr>
                                      </m:sSupPr>
                                      <m:e>
                                        <m:r>
                                          <a:rPr lang="en-US" sz="1600" b="0" i="1">
                                            <a:latin typeface="Cambria Math" panose="02040503050406030204" pitchFamily="18" charset="0"/>
                                          </a:rPr>
                                          <m:t>𝑥</m:t>
                                        </m:r>
                                      </m:e>
                                      <m:sup>
                                        <m:r>
                                          <a:rPr lang="en-US" sz="1600" b="0" i="1">
                                            <a:latin typeface="Cambria Math" panose="02040503050406030204" pitchFamily="18" charset="0"/>
                                          </a:rPr>
                                          <m:t>2</m:t>
                                        </m:r>
                                      </m:sup>
                                    </m:sSup>
                                  </m:num>
                                  <m:den>
                                    <m:r>
                                      <a:rPr lang="en-US" sz="1600" b="0" i="1">
                                        <a:latin typeface="Cambria Math" panose="02040503050406030204" pitchFamily="18" charset="0"/>
                                      </a:rPr>
                                      <m:t>2</m:t>
                                    </m:r>
                                  </m:den>
                                </m:f>
                              </m:e>
                            </m:d>
                            <m:r>
                              <a:rPr lang="en-US" sz="1600" b="0" i="1">
                                <a:latin typeface="Cambria Math" panose="02040503050406030204" pitchFamily="18" charset="0"/>
                              </a:rPr>
                              <m:t>𝑑𝑥</m:t>
                            </m:r>
                          </m:e>
                        </m:func>
                      </m:e>
                    </m:nary>
                  </m:oMath>
                </m:oMathPara>
              </a14:m>
              <a:endParaRPr lang="en-SG" sz="1600"/>
            </a:p>
          </xdr:txBody>
        </xdr:sp>
      </mc:Choice>
      <mc:Fallback xmlns="">
        <xdr:sp macro="" textlink="">
          <xdr:nvSpPr>
            <xdr:cNvPr id="17" name="TextBox 16"/>
            <xdr:cNvSpPr txBox="1"/>
          </xdr:nvSpPr>
          <xdr:spPr>
            <a:xfrm>
              <a:off x="2228850" y="44958000"/>
              <a:ext cx="2487284" cy="383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𝐹_𝑘𝑤 (𝑡)=Φ(𝑡)=1/√2𝜋 ∫24_(−∞)^𝑡▒exp⁡(−𝑥^2/2)𝑑𝑥 </a:t>
              </a:r>
              <a:endParaRPr lang="en-SG" sz="1100"/>
            </a:p>
          </xdr:txBody>
        </xdr:sp>
      </mc:Fallback>
    </mc:AlternateContent>
    <xdr:clientData/>
  </xdr:oneCellAnchor>
  <mc:AlternateContent xmlns:mc="http://schemas.openxmlformats.org/markup-compatibility/2006">
    <mc:Choice xmlns:a14="http://schemas.microsoft.com/office/drawing/2010/main" Requires="a14">
      <xdr:twoCellAnchor>
        <xdr:from>
          <xdr:col>3</xdr:col>
          <xdr:colOff>25400</xdr:colOff>
          <xdr:row>258</xdr:row>
          <xdr:rowOff>50800</xdr:rowOff>
        </xdr:from>
        <xdr:to>
          <xdr:col>9</xdr:col>
          <xdr:colOff>63500</xdr:colOff>
          <xdr:row>259</xdr:row>
          <xdr:rowOff>177800</xdr:rowOff>
        </xdr:to>
        <xdr:sp macro="" textlink="">
          <xdr:nvSpPr>
            <xdr:cNvPr id="35844" name="Button 4" hidden="1">
              <a:extLst>
                <a:ext uri="{63B3BB69-23CF-44E3-9099-C40C66FF867C}">
                  <a14:compatExt spid="_x0000_s358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0" i="0" u="none" strike="noStrike" baseline="0">
                  <a:solidFill>
                    <a:srgbClr val="000000"/>
                  </a:solidFill>
                  <a:latin typeface="Calibri"/>
                  <a:ea typeface="Calibri"/>
                  <a:cs typeface="Calibri"/>
                </a:rPr>
                <a:t>SECOND CHECK</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265</xdr:row>
          <xdr:rowOff>50800</xdr:rowOff>
        </xdr:from>
        <xdr:to>
          <xdr:col>9</xdr:col>
          <xdr:colOff>63500</xdr:colOff>
          <xdr:row>266</xdr:row>
          <xdr:rowOff>177800</xdr:rowOff>
        </xdr:to>
        <xdr:sp macro="" textlink="">
          <xdr:nvSpPr>
            <xdr:cNvPr id="35846" name="Button 6" hidden="1">
              <a:extLst>
                <a:ext uri="{63B3BB69-23CF-44E3-9099-C40C66FF867C}">
                  <a14:compatExt spid="_x0000_s358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0" i="0" u="none" strike="noStrike" baseline="0">
                  <a:solidFill>
                    <a:srgbClr val="000000"/>
                  </a:solidFill>
                  <a:latin typeface="Calibri"/>
                  <a:ea typeface="Calibri"/>
                  <a:cs typeface="Calibri"/>
                </a:rPr>
                <a:t>CREATE SUE FILE</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101600</xdr:rowOff>
        </xdr:from>
        <xdr:to>
          <xdr:col>0</xdr:col>
          <xdr:colOff>1663700</xdr:colOff>
          <xdr:row>0</xdr:row>
          <xdr:rowOff>419100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0" i="0" u="none" strike="noStrike" baseline="0">
                  <a:solidFill>
                    <a:srgbClr val="000000"/>
                  </a:solidFill>
                  <a:latin typeface="Calibri"/>
                  <a:ea typeface="Calibri"/>
                  <a:cs typeface="Calibri"/>
                </a:rPr>
                <a:t>FIRST CHECK</a:t>
              </a:r>
            </a:p>
          </xdr:txBody>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177800</xdr:colOff>
          <xdr:row>0</xdr:row>
          <xdr:rowOff>76200</xdr:rowOff>
        </xdr:from>
        <xdr:to>
          <xdr:col>1</xdr:col>
          <xdr:colOff>533400</xdr:colOff>
          <xdr:row>0</xdr:row>
          <xdr:rowOff>406400</xdr:rowOff>
        </xdr:to>
        <xdr:sp macro="" textlink="">
          <xdr:nvSpPr>
            <xdr:cNvPr id="16438" name="Button 54" hidden="1">
              <a:extLst>
                <a:ext uri="{63B3BB69-23CF-44E3-9099-C40C66FF867C}">
                  <a14:compatExt spid="_x0000_s164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0" i="0" u="none" strike="noStrike" baseline="0">
                  <a:solidFill>
                    <a:srgbClr val="000000"/>
                  </a:solidFill>
                  <a:latin typeface="Calibri"/>
                  <a:ea typeface="Calibri"/>
                  <a:cs typeface="Calibri"/>
                </a:rPr>
                <a:t>SECOND CHECK</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0</xdr:row>
          <xdr:rowOff>76200</xdr:rowOff>
        </xdr:from>
        <xdr:to>
          <xdr:col>2</xdr:col>
          <xdr:colOff>1727200</xdr:colOff>
          <xdr:row>0</xdr:row>
          <xdr:rowOff>406400</xdr:rowOff>
        </xdr:to>
        <xdr:sp macro="" textlink="">
          <xdr:nvSpPr>
            <xdr:cNvPr id="16439" name="Button 55" hidden="1">
              <a:extLst>
                <a:ext uri="{63B3BB69-23CF-44E3-9099-C40C66FF867C}">
                  <a14:compatExt spid="_x0000_s164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0" i="0" u="none" strike="noStrike" baseline="0">
                  <a:solidFill>
                    <a:srgbClr val="000000"/>
                  </a:solidFill>
                  <a:latin typeface="Calibri"/>
                  <a:ea typeface="Calibri"/>
                  <a:cs typeface="Calibri"/>
                </a:rPr>
                <a:t>CREATE SUE FILE</a:t>
              </a:r>
            </a:p>
          </xdr:txBody>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4.xml"/><Relationship Id="rId5" Type="http://schemas.openxmlformats.org/officeDocument/2006/relationships/ctrlProp" Target="../ctrlProps/ctrlProp5.xml"/><Relationship Id="rId6" Type="http://schemas.openxmlformats.org/officeDocument/2006/relationships/ctrlProp" Target="../ctrlProps/ctrlProp6.xml"/><Relationship Id="rId7" Type="http://schemas.openxmlformats.org/officeDocument/2006/relationships/ctrlProp" Target="../ctrlProps/ctrlProp7.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4" Type="http://schemas.openxmlformats.org/officeDocument/2006/relationships/ctrlProp" Target="../ctrlProps/ctrlProp10.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raph" enableFormatConditionsCalculation="0"/>
  <dimension ref="B2:C8"/>
  <sheetViews>
    <sheetView showGridLines="0" workbookViewId="0">
      <selection activeCell="C4" sqref="C4"/>
    </sheetView>
  </sheetViews>
  <sheetFormatPr baseColWidth="10" defaultColWidth="8.83203125" defaultRowHeight="15" x14ac:dyDescent="0.2"/>
  <cols>
    <col min="3" max="3" width="128.6640625" customWidth="1"/>
  </cols>
  <sheetData>
    <row r="2" spans="2:3" ht="150" customHeight="1" thickBot="1" x14ac:dyDescent="0.25">
      <c r="B2" s="1" t="s">
        <v>105</v>
      </c>
      <c r="C2" s="2" t="s">
        <v>179</v>
      </c>
    </row>
    <row r="4" spans="2:3" ht="150" customHeight="1" thickBot="1" x14ac:dyDescent="0.25">
      <c r="B4" s="1" t="s">
        <v>119</v>
      </c>
      <c r="C4" s="2" t="s">
        <v>187</v>
      </c>
    </row>
    <row r="6" spans="2:3" x14ac:dyDescent="0.2">
      <c r="C6" s="13" t="s">
        <v>178</v>
      </c>
    </row>
    <row r="8" spans="2:3" x14ac:dyDescent="0.2">
      <c r="C8" t="b">
        <f>C6=uGraphString</f>
        <v>0</v>
      </c>
    </row>
  </sheetData>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etUGraphString">
                <anchor moveWithCells="1" sizeWithCells="1">
                  <from>
                    <xdr:col>3</xdr:col>
                    <xdr:colOff>368300</xdr:colOff>
                    <xdr:row>3</xdr:row>
                    <xdr:rowOff>711200</xdr:rowOff>
                  </from>
                  <to>
                    <xdr:col>5</xdr:col>
                    <xdr:colOff>330200</xdr:colOff>
                    <xdr:row>3</xdr:row>
                    <xdr:rowOff>1168400</xdr:rowOff>
                  </to>
                </anchor>
              </controlPr>
            </control>
          </mc:Choice>
          <mc:Fallback/>
        </mc:AlternateContent>
        <mc:AlternateContent xmlns:mc="http://schemas.openxmlformats.org/markup-compatibility/2006">
          <mc:Choice Requires="x14">
            <control shapeId="24578" r:id="rId5" name="Button 2">
              <controlPr defaultSize="0" print="0" autoFill="0" autoPict="0" macro="[0]!GetGraphString">
                <anchor moveWithCells="1" sizeWithCells="1">
                  <from>
                    <xdr:col>3</xdr:col>
                    <xdr:colOff>368300</xdr:colOff>
                    <xdr:row>1</xdr:row>
                    <xdr:rowOff>711200</xdr:rowOff>
                  </from>
                  <to>
                    <xdr:col>5</xdr:col>
                    <xdr:colOff>330200</xdr:colOff>
                    <xdr:row>1</xdr:row>
                    <xdr:rowOff>1168400</xdr:rowOff>
                  </to>
                </anchor>
              </controlPr>
            </control>
          </mc:Choice>
          <mc:Fallback/>
        </mc:AlternateContent>
        <mc:AlternateContent xmlns:mc="http://schemas.openxmlformats.org/markup-compatibility/2006">
          <mc:Choice Requires="x14">
            <control shapeId="24579" r:id="rId6" name="Button 3">
              <controlPr defaultSize="0" print="0" autoFill="0" autoPict="0" macro="[0]!CheckArcPathOd">
                <anchor moveWithCells="1" sizeWithCells="1">
                  <from>
                    <xdr:col>5</xdr:col>
                    <xdr:colOff>203200</xdr:colOff>
                    <xdr:row>9</xdr:row>
                    <xdr:rowOff>165100</xdr:rowOff>
                  </from>
                  <to>
                    <xdr:col>9</xdr:col>
                    <xdr:colOff>0</xdr:colOff>
                    <xdr:row>12</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C1:X27"/>
  <sheetViews>
    <sheetView topLeftCell="B1" workbookViewId="0">
      <selection activeCell="H18" sqref="H18"/>
    </sheetView>
  </sheetViews>
  <sheetFormatPr baseColWidth="10" defaultColWidth="8.83203125" defaultRowHeight="15" x14ac:dyDescent="0.2"/>
  <cols>
    <col min="3" max="3" width="13.6640625" customWidth="1"/>
    <col min="8" max="8" width="15.5" customWidth="1"/>
    <col min="9" max="9" width="15.83203125" customWidth="1"/>
    <col min="10" max="10" width="13.5" customWidth="1"/>
    <col min="13" max="16" width="10.1640625" customWidth="1"/>
    <col min="18" max="18" width="6.5" customWidth="1"/>
    <col min="19" max="19" width="14.5" customWidth="1"/>
    <col min="20" max="20" width="18" customWidth="1"/>
    <col min="22" max="22" width="6.5" customWidth="1"/>
    <col min="23" max="23" width="14.5" customWidth="1"/>
    <col min="24" max="24" width="18" customWidth="1"/>
  </cols>
  <sheetData>
    <row r="1" spans="3:24" x14ac:dyDescent="0.2">
      <c r="J1">
        <v>100</v>
      </c>
      <c r="M1" s="28" t="s">
        <v>165</v>
      </c>
      <c r="N1" s="28"/>
      <c r="O1" s="28"/>
      <c r="P1" s="28"/>
    </row>
    <row r="2" spans="3:24" x14ac:dyDescent="0.2">
      <c r="D2" t="s">
        <v>133</v>
      </c>
      <c r="E2" t="s">
        <v>134</v>
      </c>
      <c r="F2" t="s">
        <v>135</v>
      </c>
      <c r="G2" t="s">
        <v>136</v>
      </c>
      <c r="H2" t="s">
        <v>144</v>
      </c>
      <c r="I2" t="s">
        <v>145</v>
      </c>
      <c r="J2" t="s">
        <v>152</v>
      </c>
      <c r="M2" s="4" t="s">
        <v>134</v>
      </c>
      <c r="N2" s="5" t="s">
        <v>135</v>
      </c>
      <c r="O2" s="5" t="s">
        <v>136</v>
      </c>
      <c r="P2" s="5" t="s">
        <v>166</v>
      </c>
    </row>
    <row r="3" spans="3:24" x14ac:dyDescent="0.2">
      <c r="C3" t="s">
        <v>131</v>
      </c>
      <c r="D3">
        <f>MAX(COUNTIF(Arcs!A:A,"&gt;&lt;"""),2)</f>
        <v>2</v>
      </c>
      <c r="E3" t="s">
        <v>132</v>
      </c>
      <c r="F3" t="s">
        <v>0</v>
      </c>
      <c r="G3" t="s">
        <v>5</v>
      </c>
      <c r="H3" t="str">
        <f>E3&amp;"!"&amp;F3&amp;"2:"&amp;G3&amp;D3</f>
        <v>Arcs!A2:P2</v>
      </c>
      <c r="I3" t="str">
        <f>E3&amp;"!"&amp;F3&amp;"2:"&amp;F3&amp;D3</f>
        <v>Arcs!A2:A2</v>
      </c>
      <c r="J3">
        <f>MAX(D3,$J$1)</f>
        <v>100</v>
      </c>
      <c r="M3" s="4" t="str">
        <f>E3</f>
        <v>Arcs</v>
      </c>
      <c r="N3" s="5">
        <v>1</v>
      </c>
      <c r="O3" s="5">
        <v>12</v>
      </c>
      <c r="P3" s="5">
        <f>J3+1</f>
        <v>101</v>
      </c>
      <c r="R3" s="29" t="s">
        <v>150</v>
      </c>
      <c r="S3" s="24" t="s">
        <v>10</v>
      </c>
      <c r="T3" t="str">
        <f>E3&amp;"!"&amp;F3&amp;"2:"&amp;F3&amp;J3</f>
        <v>Arcs!A2:A100</v>
      </c>
      <c r="V3" s="3" t="s">
        <v>171</v>
      </c>
      <c r="W3" s="15" t="s">
        <v>126</v>
      </c>
      <c r="X3" t="str">
        <f>E6&amp;"!E"&amp;"2:E"&amp;J6</f>
        <v>Ods!E2:E100</v>
      </c>
    </row>
    <row r="4" spans="3:24" x14ac:dyDescent="0.2">
      <c r="C4" t="s">
        <v>137</v>
      </c>
      <c r="D4">
        <f>MAX(COUNTIF(Nodes!A:A,"&gt;&lt;""")+COUNTIF(Nodes!A:A,"&gt;-1000000"),2)</f>
        <v>2</v>
      </c>
      <c r="E4" t="s">
        <v>138</v>
      </c>
      <c r="F4" t="s">
        <v>0</v>
      </c>
      <c r="G4" t="s">
        <v>0</v>
      </c>
      <c r="H4" t="str">
        <f>E4&amp;"!"&amp;F4&amp;"2:"&amp;G4&amp;D4</f>
        <v>Nodes!A2:A2</v>
      </c>
      <c r="I4" t="str">
        <f t="shared" ref="I4:I5" si="0">E4&amp;"!"&amp;F4&amp;"2:"&amp;F4&amp;D4</f>
        <v>Nodes!A2:A2</v>
      </c>
      <c r="J4">
        <f t="shared" ref="J4:J5" si="1">MAX(D4,$J$1)</f>
        <v>100</v>
      </c>
      <c r="M4" s="4" t="str">
        <f t="shared" ref="M4:M7" si="2">E4</f>
        <v>Nodes</v>
      </c>
      <c r="N4" s="5">
        <v>1</v>
      </c>
      <c r="O4" s="5">
        <v>1</v>
      </c>
      <c r="P4" s="5">
        <f t="shared" ref="P4:P7" si="3">J4+1</f>
        <v>101</v>
      </c>
      <c r="R4" s="29"/>
      <c r="S4" s="24" t="s">
        <v>11</v>
      </c>
      <c r="T4" t="str">
        <f t="shared" ref="T4:T5" si="4">E4&amp;"!"&amp;F4&amp;"2:"&amp;F4&amp;J4</f>
        <v>Nodes!A2:A100</v>
      </c>
      <c r="V4" s="3" t="s">
        <v>170</v>
      </c>
      <c r="W4" s="16" t="s">
        <v>168</v>
      </c>
      <c r="X4" t="str">
        <f>E7&amp;"!C"&amp;"2:C"&amp;J7</f>
        <v>PathMDs!C2:C2</v>
      </c>
    </row>
    <row r="5" spans="3:24" x14ac:dyDescent="0.2">
      <c r="C5" t="s">
        <v>139</v>
      </c>
      <c r="D5">
        <f>MAX(COUNTIF(Paths!A:A,"&gt;&lt;"""),2)</f>
        <v>2</v>
      </c>
      <c r="E5" t="s">
        <v>140</v>
      </c>
      <c r="F5" t="s">
        <v>0</v>
      </c>
      <c r="G5" t="s">
        <v>188</v>
      </c>
      <c r="H5" t="str">
        <f>E5&amp;"!"&amp;F5&amp;"2:"&amp;G5&amp;D5</f>
        <v>Paths!A2:DJ2</v>
      </c>
      <c r="I5" t="str">
        <f t="shared" si="0"/>
        <v>Paths!A2:A2</v>
      </c>
      <c r="J5">
        <f t="shared" si="1"/>
        <v>100</v>
      </c>
      <c r="M5" s="4" t="str">
        <f t="shared" si="2"/>
        <v>Paths</v>
      </c>
      <c r="N5" s="5">
        <v>1</v>
      </c>
      <c r="O5" s="5">
        <v>105</v>
      </c>
      <c r="P5" s="5">
        <f t="shared" si="3"/>
        <v>101</v>
      </c>
      <c r="R5" s="29"/>
      <c r="S5" s="24" t="s">
        <v>109</v>
      </c>
      <c r="T5" t="str">
        <f t="shared" si="4"/>
        <v>Paths!A2:A100</v>
      </c>
    </row>
    <row r="6" spans="3:24" x14ac:dyDescent="0.2">
      <c r="C6" t="s">
        <v>141</v>
      </c>
      <c r="D6">
        <f>MAX(COUNTIF(ODs!A:A,"&gt;&lt;"""),2)</f>
        <v>2</v>
      </c>
      <c r="E6" t="s">
        <v>142</v>
      </c>
      <c r="F6" t="s">
        <v>0</v>
      </c>
      <c r="G6" t="s">
        <v>25</v>
      </c>
      <c r="H6" t="str">
        <f>E6&amp;"!"&amp;F6&amp;"2:"&amp;G6&amp;D6</f>
        <v>Ods!A2:S2</v>
      </c>
      <c r="I6" t="str">
        <f>E6&amp;"!"&amp;F6&amp;"2:"&amp;F6&amp;D6</f>
        <v>Ods!A2:A2</v>
      </c>
      <c r="J6">
        <f>MAX(D6,$J$1)</f>
        <v>100</v>
      </c>
      <c r="M6" s="4" t="str">
        <f t="shared" si="2"/>
        <v>Ods</v>
      </c>
      <c r="N6" s="5">
        <v>1</v>
      </c>
      <c r="O6" s="5">
        <v>8</v>
      </c>
      <c r="P6" s="5">
        <f t="shared" si="3"/>
        <v>101</v>
      </c>
      <c r="R6" s="29"/>
      <c r="S6" s="24" t="s">
        <v>110</v>
      </c>
      <c r="T6" t="str">
        <f>E6&amp;"!"&amp;F6&amp;"2:"&amp;F6&amp;J6</f>
        <v>Ods!A2:A100</v>
      </c>
    </row>
    <row r="7" spans="3:24" x14ac:dyDescent="0.2">
      <c r="C7" t="s">
        <v>155</v>
      </c>
      <c r="D7">
        <f>MAX(COUNTIF(PathMDs!A:A,"&gt;&lt;"""),2)</f>
        <v>2</v>
      </c>
      <c r="E7" t="s">
        <v>156</v>
      </c>
      <c r="F7" t="s">
        <v>0</v>
      </c>
      <c r="G7" t="s">
        <v>17</v>
      </c>
      <c r="H7" t="str">
        <f>E7&amp;"!"&amp;F7&amp;"2:"&amp;G7&amp;D7</f>
        <v>PathMDs!A2:I2</v>
      </c>
      <c r="I7" t="str">
        <f>E7&amp;"!"&amp;F7&amp;"2:"&amp;F7&amp;D7</f>
        <v>PathMDs!A2:A2</v>
      </c>
      <c r="J7">
        <f>MAX(D7,2)</f>
        <v>2</v>
      </c>
      <c r="M7" s="4" t="str">
        <f t="shared" si="2"/>
        <v>PathMDs</v>
      </c>
      <c r="N7" s="5">
        <v>1</v>
      </c>
      <c r="O7" s="5">
        <v>6</v>
      </c>
      <c r="P7" s="5">
        <f t="shared" si="3"/>
        <v>3</v>
      </c>
      <c r="R7" s="29"/>
      <c r="S7" s="24" t="s">
        <v>110</v>
      </c>
      <c r="T7" t="str">
        <f>E7&amp;"!"&amp;F7&amp;"2:B"&amp;J7</f>
        <v>PathMDs!A2:B2</v>
      </c>
    </row>
    <row r="8" spans="3:24" x14ac:dyDescent="0.2">
      <c r="R8" s="27" t="s">
        <v>151</v>
      </c>
      <c r="S8" s="23" t="s">
        <v>10</v>
      </c>
      <c r="T8" t="str">
        <f>E3&amp;"!B"&amp;"2:C"&amp;J3</f>
        <v>Arcs!B2:C100</v>
      </c>
    </row>
    <row r="9" spans="3:24" x14ac:dyDescent="0.2">
      <c r="R9" s="27"/>
      <c r="S9" s="15" t="s">
        <v>11</v>
      </c>
    </row>
    <row r="10" spans="3:24" x14ac:dyDescent="0.2">
      <c r="C10" t="s">
        <v>176</v>
      </c>
      <c r="D10" t="b">
        <v>1</v>
      </c>
      <c r="R10" s="27"/>
      <c r="S10" s="15" t="s">
        <v>109</v>
      </c>
    </row>
    <row r="11" spans="3:24" x14ac:dyDescent="0.2">
      <c r="R11" s="27"/>
      <c r="S11" s="15" t="s">
        <v>110</v>
      </c>
      <c r="T11" t="str">
        <f>E6&amp;"!B"&amp;"2:C"&amp;J6</f>
        <v>Ods!B2:C100</v>
      </c>
    </row>
    <row r="12" spans="3:24" x14ac:dyDescent="0.2">
      <c r="R12" s="27"/>
      <c r="S12" s="15" t="s">
        <v>110</v>
      </c>
    </row>
    <row r="13" spans="3:24" x14ac:dyDescent="0.2">
      <c r="R13" s="27" t="s">
        <v>153</v>
      </c>
      <c r="S13" s="19" t="s">
        <v>10</v>
      </c>
    </row>
    <row r="14" spans="3:24" x14ac:dyDescent="0.2">
      <c r="R14" s="27"/>
      <c r="S14" s="19" t="s">
        <v>11</v>
      </c>
    </row>
    <row r="15" spans="3:24" x14ac:dyDescent="0.2">
      <c r="R15" s="27"/>
      <c r="S15" s="19" t="s">
        <v>109</v>
      </c>
      <c r="T15" t="str">
        <f>E5&amp;"!F"&amp;"2:DA"&amp;J5</f>
        <v>Paths!F2:DA100</v>
      </c>
    </row>
    <row r="16" spans="3:24" x14ac:dyDescent="0.2">
      <c r="R16" s="27"/>
      <c r="S16" s="19" t="s">
        <v>110</v>
      </c>
    </row>
    <row r="17" spans="18:20" x14ac:dyDescent="0.2">
      <c r="R17" s="27"/>
      <c r="S17" s="19" t="s">
        <v>110</v>
      </c>
    </row>
    <row r="18" spans="18:20" x14ac:dyDescent="0.2">
      <c r="R18" s="27" t="s">
        <v>154</v>
      </c>
      <c r="S18" s="16" t="s">
        <v>10</v>
      </c>
      <c r="T18" t="str">
        <f>E3&amp;"!E"&amp;"2:M"&amp;J3</f>
        <v>Arcs!E2:M100</v>
      </c>
    </row>
    <row r="19" spans="18:20" x14ac:dyDescent="0.2">
      <c r="R19" s="27"/>
      <c r="S19" s="16" t="s">
        <v>11</v>
      </c>
    </row>
    <row r="20" spans="18:20" x14ac:dyDescent="0.2">
      <c r="R20" s="27"/>
      <c r="S20" s="16" t="s">
        <v>109</v>
      </c>
    </row>
    <row r="21" spans="18:20" x14ac:dyDescent="0.2">
      <c r="R21" s="27"/>
      <c r="S21" s="16" t="s">
        <v>110</v>
      </c>
      <c r="T21" t="str">
        <f>E6&amp;"!D"&amp;"2:H"&amp;J6</f>
        <v>Ods!D2:H100</v>
      </c>
    </row>
    <row r="22" spans="18:20" x14ac:dyDescent="0.2">
      <c r="R22" s="27"/>
      <c r="S22" s="16" t="s">
        <v>110</v>
      </c>
      <c r="T22" t="str">
        <f>E7&amp;"!C"&amp;"2:F"&amp;J7</f>
        <v>PathMDs!C2:F2</v>
      </c>
    </row>
    <row r="23" spans="18:20" x14ac:dyDescent="0.2">
      <c r="R23" s="27" t="s">
        <v>159</v>
      </c>
      <c r="S23" s="18">
        <v>15</v>
      </c>
      <c r="T23" t="str">
        <f>E3&amp;"!D"&amp;"2:D"&amp;J3</f>
        <v>Arcs!D2:D100</v>
      </c>
    </row>
    <row r="24" spans="18:20" x14ac:dyDescent="0.2">
      <c r="R24" s="27"/>
      <c r="S24" s="18">
        <v>15.5</v>
      </c>
    </row>
    <row r="25" spans="18:20" x14ac:dyDescent="0.2">
      <c r="R25" s="27"/>
      <c r="S25" s="18">
        <v>15</v>
      </c>
      <c r="T25" t="str">
        <f>E5&amp;"!B"&amp;"2:F"&amp;J5</f>
        <v>Paths!B2:F100</v>
      </c>
    </row>
    <row r="26" spans="18:20" x14ac:dyDescent="0.2">
      <c r="R26" s="27"/>
      <c r="S26" s="18">
        <v>15</v>
      </c>
    </row>
    <row r="27" spans="18:20" x14ac:dyDescent="0.2">
      <c r="R27" s="27"/>
      <c r="S27" s="18">
        <v>15.5</v>
      </c>
    </row>
  </sheetData>
  <mergeCells count="6">
    <mergeCell ref="R23:R27"/>
    <mergeCell ref="M1:P1"/>
    <mergeCell ref="R3:R7"/>
    <mergeCell ref="R8:R12"/>
    <mergeCell ref="R13:R17"/>
    <mergeCell ref="R18:R22"/>
  </mergeCells>
  <dataValidations disablePrompts="1" count="2">
    <dataValidation type="list" allowBlank="1" showInputMessage="1" showErrorMessage="1" sqref="W3">
      <formula1>lstCM</formula1>
    </dataValidation>
    <dataValidation type="list" allowBlank="1" showInputMessage="1" showErrorMessage="1" sqref="W4">
      <formula1>lstDist</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C2:AU268"/>
  <sheetViews>
    <sheetView showGridLines="0" tabSelected="1" zoomScale="75" zoomScaleNormal="75" zoomScalePageLayoutView="75" workbookViewId="0">
      <selection activeCell="AU22" sqref="AU22"/>
    </sheetView>
  </sheetViews>
  <sheetFormatPr baseColWidth="10" defaultColWidth="8.83203125" defaultRowHeight="24" x14ac:dyDescent="0.3"/>
  <cols>
    <col min="1" max="77" width="3.6640625" style="99" customWidth="1"/>
    <col min="78" max="16384" width="8.83203125" style="99"/>
  </cols>
  <sheetData>
    <row r="2" spans="3:47" x14ac:dyDescent="0.3">
      <c r="C2" s="96"/>
      <c r="D2" s="97"/>
      <c r="E2" s="97"/>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8"/>
    </row>
    <row r="3" spans="3:47" x14ac:dyDescent="0.3">
      <c r="C3" s="100"/>
      <c r="D3" s="101" t="s">
        <v>193</v>
      </c>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c r="AS3" s="101"/>
      <c r="AT3" s="101"/>
      <c r="AU3" s="102"/>
    </row>
    <row r="4" spans="3:47" x14ac:dyDescent="0.3">
      <c r="C4" s="100"/>
      <c r="D4" s="103" t="s">
        <v>194</v>
      </c>
      <c r="E4" s="101" t="s">
        <v>195</v>
      </c>
      <c r="F4" s="101"/>
      <c r="G4" s="101"/>
      <c r="H4" s="101"/>
      <c r="I4" s="101"/>
      <c r="J4" s="101"/>
      <c r="K4" s="101"/>
      <c r="L4" s="101"/>
      <c r="M4" s="101"/>
      <c r="N4" s="101"/>
      <c r="O4" s="101"/>
      <c r="P4" s="101"/>
      <c r="Q4" s="101"/>
      <c r="R4" s="101"/>
      <c r="S4" s="101"/>
      <c r="T4" s="101"/>
      <c r="U4" s="101"/>
      <c r="V4" s="101"/>
      <c r="W4" s="101"/>
      <c r="X4" s="101"/>
      <c r="Y4" s="101"/>
      <c r="Z4" s="101"/>
      <c r="AA4" s="101"/>
      <c r="AB4" s="101"/>
      <c r="AC4" s="101"/>
      <c r="AD4" s="101"/>
      <c r="AE4" s="101"/>
      <c r="AF4" s="101"/>
      <c r="AG4" s="101"/>
      <c r="AH4" s="101"/>
      <c r="AI4" s="101"/>
      <c r="AJ4" s="101"/>
      <c r="AK4" s="101"/>
      <c r="AL4" s="101"/>
      <c r="AM4" s="101"/>
      <c r="AN4" s="101"/>
      <c r="AO4" s="101"/>
      <c r="AP4" s="101"/>
      <c r="AQ4" s="101"/>
      <c r="AR4" s="101"/>
      <c r="AS4" s="101"/>
      <c r="AT4" s="101"/>
      <c r="AU4" s="102"/>
    </row>
    <row r="5" spans="3:47" x14ac:dyDescent="0.3">
      <c r="C5" s="100"/>
      <c r="D5" s="103" t="s">
        <v>194</v>
      </c>
      <c r="E5" s="101" t="s">
        <v>196</v>
      </c>
      <c r="F5" s="101"/>
      <c r="G5" s="101"/>
      <c r="H5" s="101"/>
      <c r="I5" s="101"/>
      <c r="J5" s="101"/>
      <c r="K5" s="101"/>
      <c r="L5" s="101"/>
      <c r="M5" s="101"/>
      <c r="N5" s="101"/>
      <c r="O5" s="101"/>
      <c r="P5" s="101"/>
      <c r="Q5" s="101"/>
      <c r="R5" s="101"/>
      <c r="S5" s="101"/>
      <c r="T5" s="101"/>
      <c r="U5" s="101"/>
      <c r="V5" s="101"/>
      <c r="W5" s="101"/>
      <c r="X5" s="101"/>
      <c r="Y5" s="101"/>
      <c r="Z5" s="101"/>
      <c r="AA5" s="101"/>
      <c r="AB5" s="101"/>
      <c r="AC5" s="101"/>
      <c r="AD5" s="101"/>
      <c r="AE5" s="101"/>
      <c r="AF5" s="101"/>
      <c r="AG5" s="101"/>
      <c r="AH5" s="101"/>
      <c r="AI5" s="101"/>
      <c r="AJ5" s="101"/>
      <c r="AK5" s="101"/>
      <c r="AL5" s="101"/>
      <c r="AM5" s="101"/>
      <c r="AN5" s="101"/>
      <c r="AO5" s="101"/>
      <c r="AP5" s="101"/>
      <c r="AQ5" s="101"/>
      <c r="AR5" s="101"/>
      <c r="AS5" s="101"/>
      <c r="AT5" s="101"/>
      <c r="AU5" s="102"/>
    </row>
    <row r="6" spans="3:47" x14ac:dyDescent="0.3">
      <c r="C6" s="100"/>
      <c r="D6" s="103" t="s">
        <v>194</v>
      </c>
      <c r="E6" s="101" t="s">
        <v>197</v>
      </c>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101"/>
      <c r="AN6" s="101"/>
      <c r="AO6" s="101"/>
      <c r="AP6" s="101"/>
      <c r="AQ6" s="101"/>
      <c r="AR6" s="101"/>
      <c r="AS6" s="101"/>
      <c r="AT6" s="101"/>
      <c r="AU6" s="102"/>
    </row>
    <row r="7" spans="3:47" x14ac:dyDescent="0.3">
      <c r="C7" s="100"/>
      <c r="D7" s="101" t="s">
        <v>198</v>
      </c>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01"/>
      <c r="AH7" s="101"/>
      <c r="AI7" s="101"/>
      <c r="AJ7" s="101"/>
      <c r="AK7" s="101"/>
      <c r="AL7" s="101"/>
      <c r="AM7" s="101"/>
      <c r="AN7" s="101"/>
      <c r="AO7" s="101"/>
      <c r="AP7" s="101"/>
      <c r="AQ7" s="101"/>
      <c r="AR7" s="101"/>
      <c r="AS7" s="101"/>
      <c r="AT7" s="101"/>
      <c r="AU7" s="102"/>
    </row>
    <row r="8" spans="3:47" x14ac:dyDescent="0.3">
      <c r="C8" s="100"/>
      <c r="D8" s="103" t="s">
        <v>194</v>
      </c>
      <c r="E8" s="101" t="s">
        <v>199</v>
      </c>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G8" s="101"/>
      <c r="AH8" s="101"/>
      <c r="AI8" s="101"/>
      <c r="AJ8" s="101"/>
      <c r="AK8" s="101"/>
      <c r="AL8" s="101"/>
      <c r="AM8" s="101"/>
      <c r="AN8" s="101"/>
      <c r="AO8" s="101"/>
      <c r="AP8" s="101"/>
      <c r="AQ8" s="101"/>
      <c r="AR8" s="101"/>
      <c r="AS8" s="101"/>
      <c r="AT8" s="101"/>
      <c r="AU8" s="102"/>
    </row>
    <row r="9" spans="3:47" x14ac:dyDescent="0.3">
      <c r="C9" s="100"/>
      <c r="D9" s="103" t="s">
        <v>194</v>
      </c>
      <c r="E9" s="101" t="s">
        <v>200</v>
      </c>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2"/>
    </row>
    <row r="10" spans="3:47" x14ac:dyDescent="0.3">
      <c r="C10" s="100"/>
      <c r="D10" s="101" t="s">
        <v>201</v>
      </c>
      <c r="E10" s="101"/>
      <c r="F10" s="101"/>
      <c r="G10" s="101"/>
      <c r="H10" s="101"/>
      <c r="I10" s="101"/>
      <c r="J10" s="101"/>
      <c r="K10" s="101"/>
      <c r="L10" s="101"/>
      <c r="M10" s="101"/>
      <c r="N10" s="101"/>
      <c r="O10" s="101"/>
      <c r="P10" s="101"/>
      <c r="Q10" s="101"/>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2"/>
    </row>
    <row r="11" spans="3:47" x14ac:dyDescent="0.3">
      <c r="C11" s="100"/>
      <c r="D11" s="101" t="s">
        <v>202</v>
      </c>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101"/>
      <c r="AC11" s="101"/>
      <c r="AD11" s="101"/>
      <c r="AE11" s="101"/>
      <c r="AF11" s="101"/>
      <c r="AG11" s="101"/>
      <c r="AH11" s="101"/>
      <c r="AI11" s="101"/>
      <c r="AJ11" s="101"/>
      <c r="AK11" s="101"/>
      <c r="AL11" s="101"/>
      <c r="AM11" s="101"/>
      <c r="AN11" s="101"/>
      <c r="AO11" s="101"/>
      <c r="AP11" s="101"/>
      <c r="AQ11" s="101"/>
      <c r="AR11" s="101"/>
      <c r="AS11" s="101"/>
      <c r="AT11" s="101"/>
      <c r="AU11" s="102"/>
    </row>
    <row r="12" spans="3:47" x14ac:dyDescent="0.3">
      <c r="C12" s="100"/>
      <c r="D12" s="104"/>
      <c r="E12" s="104"/>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c r="AR12" s="104"/>
      <c r="AS12" s="104"/>
      <c r="AT12" s="104"/>
      <c r="AU12" s="102"/>
    </row>
    <row r="13" spans="3:47" x14ac:dyDescent="0.3">
      <c r="C13" s="100"/>
      <c r="D13" s="101" t="s">
        <v>203</v>
      </c>
      <c r="E13" s="101"/>
      <c r="F13" s="101"/>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1"/>
      <c r="AG13" s="101"/>
      <c r="AH13" s="101"/>
      <c r="AI13" s="101"/>
      <c r="AJ13" s="101"/>
      <c r="AK13" s="101"/>
      <c r="AL13" s="101"/>
      <c r="AM13" s="101"/>
      <c r="AN13" s="101"/>
      <c r="AO13" s="101"/>
      <c r="AP13" s="101"/>
      <c r="AQ13" s="101"/>
      <c r="AR13" s="101"/>
      <c r="AS13" s="101"/>
      <c r="AT13" s="101"/>
      <c r="AU13" s="102"/>
    </row>
    <row r="14" spans="3:47" x14ac:dyDescent="0.3">
      <c r="C14" s="100"/>
      <c r="D14" s="101" t="s">
        <v>294</v>
      </c>
      <c r="E14" s="101"/>
      <c r="F14" s="101"/>
      <c r="G14" s="101"/>
      <c r="H14" s="101"/>
      <c r="I14" s="101"/>
      <c r="J14" s="101"/>
      <c r="K14" s="101"/>
      <c r="L14" s="101"/>
      <c r="M14" s="101"/>
      <c r="N14" s="101"/>
      <c r="O14" s="101"/>
      <c r="P14" s="101"/>
      <c r="Q14" s="101"/>
      <c r="R14" s="101"/>
      <c r="S14" s="101"/>
      <c r="T14" s="101"/>
      <c r="U14" s="101"/>
      <c r="V14" s="101"/>
      <c r="W14" s="101"/>
      <c r="X14" s="101"/>
      <c r="Y14" s="101"/>
      <c r="Z14" s="101"/>
      <c r="AA14" s="101"/>
      <c r="AB14" s="101"/>
      <c r="AC14" s="101"/>
      <c r="AD14" s="101"/>
      <c r="AE14" s="101"/>
      <c r="AF14" s="101"/>
      <c r="AG14" s="101"/>
      <c r="AH14" s="101"/>
      <c r="AI14" s="101"/>
      <c r="AJ14" s="101"/>
      <c r="AK14" s="101"/>
      <c r="AL14" s="101"/>
      <c r="AM14" s="101"/>
      <c r="AN14" s="101"/>
      <c r="AO14" s="101"/>
      <c r="AP14" s="101"/>
      <c r="AQ14" s="101"/>
      <c r="AR14" s="101"/>
      <c r="AS14" s="101"/>
      <c r="AT14" s="101"/>
      <c r="AU14" s="102"/>
    </row>
    <row r="15" spans="3:47" x14ac:dyDescent="0.3">
      <c r="C15" s="100"/>
      <c r="D15" s="101" t="s">
        <v>204</v>
      </c>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01"/>
      <c r="AL15" s="101"/>
      <c r="AM15" s="101"/>
      <c r="AN15" s="101"/>
      <c r="AO15" s="101"/>
      <c r="AP15" s="101"/>
      <c r="AQ15" s="101"/>
      <c r="AR15" s="101"/>
      <c r="AS15" s="101"/>
      <c r="AT15" s="101"/>
      <c r="AU15" s="102"/>
    </row>
    <row r="16" spans="3:47" x14ac:dyDescent="0.3">
      <c r="C16" s="100"/>
      <c r="D16" s="103" t="s">
        <v>194</v>
      </c>
      <c r="E16" s="101" t="s">
        <v>205</v>
      </c>
      <c r="F16" s="101"/>
      <c r="G16" s="101"/>
      <c r="H16" s="101"/>
      <c r="I16" s="101"/>
      <c r="J16" s="101"/>
      <c r="K16" s="101"/>
      <c r="L16" s="101"/>
      <c r="M16" s="101"/>
      <c r="N16" s="101"/>
      <c r="O16" s="101"/>
      <c r="P16" s="101"/>
      <c r="Q16" s="101"/>
      <c r="R16" s="101"/>
      <c r="S16" s="101"/>
      <c r="T16" s="101"/>
      <c r="U16" s="101"/>
      <c r="V16" s="101"/>
      <c r="W16" s="101"/>
      <c r="X16" s="101"/>
      <c r="Y16" s="101"/>
      <c r="Z16" s="101"/>
      <c r="AA16" s="101"/>
      <c r="AB16" s="101"/>
      <c r="AC16" s="101"/>
      <c r="AD16" s="101"/>
      <c r="AE16" s="101"/>
      <c r="AF16" s="101"/>
      <c r="AG16" s="101"/>
      <c r="AH16" s="101"/>
      <c r="AI16" s="101"/>
      <c r="AJ16" s="101"/>
      <c r="AK16" s="101"/>
      <c r="AL16" s="101"/>
      <c r="AM16" s="101"/>
      <c r="AN16" s="101"/>
      <c r="AO16" s="101"/>
      <c r="AP16" s="101"/>
      <c r="AQ16" s="101"/>
      <c r="AR16" s="101"/>
      <c r="AS16" s="101"/>
      <c r="AT16" s="101"/>
      <c r="AU16" s="102"/>
    </row>
    <row r="17" spans="3:47" x14ac:dyDescent="0.3">
      <c r="C17" s="100"/>
      <c r="D17" s="103" t="s">
        <v>194</v>
      </c>
      <c r="E17" s="101" t="s">
        <v>295</v>
      </c>
      <c r="F17" s="101"/>
      <c r="G17" s="101"/>
      <c r="H17" s="101"/>
      <c r="I17" s="101"/>
      <c r="J17" s="101"/>
      <c r="K17" s="101"/>
      <c r="L17" s="101"/>
      <c r="M17" s="101"/>
      <c r="N17" s="101"/>
      <c r="O17" s="101"/>
      <c r="P17" s="101"/>
      <c r="Q17" s="101"/>
      <c r="R17" s="101"/>
      <c r="S17" s="101"/>
      <c r="T17" s="101"/>
      <c r="U17" s="101"/>
      <c r="V17" s="101"/>
      <c r="W17" s="101"/>
      <c r="X17" s="101"/>
      <c r="Y17" s="101"/>
      <c r="Z17" s="101"/>
      <c r="AA17" s="101"/>
      <c r="AB17" s="101"/>
      <c r="AC17" s="101"/>
      <c r="AD17" s="101"/>
      <c r="AE17" s="101"/>
      <c r="AF17" s="101"/>
      <c r="AG17" s="101"/>
      <c r="AH17" s="101"/>
      <c r="AI17" s="101"/>
      <c r="AJ17" s="101"/>
      <c r="AK17" s="101"/>
      <c r="AL17" s="101"/>
      <c r="AM17" s="101"/>
      <c r="AN17" s="101"/>
      <c r="AO17" s="101"/>
      <c r="AP17" s="101"/>
      <c r="AQ17" s="101"/>
      <c r="AR17" s="101"/>
      <c r="AS17" s="101"/>
      <c r="AT17" s="101"/>
      <c r="AU17" s="102"/>
    </row>
    <row r="18" spans="3:47" x14ac:dyDescent="0.3">
      <c r="C18" s="100"/>
      <c r="D18" s="103" t="s">
        <v>194</v>
      </c>
      <c r="E18" s="101" t="s">
        <v>296</v>
      </c>
      <c r="F18" s="101"/>
      <c r="G18" s="101"/>
      <c r="H18" s="101"/>
      <c r="I18" s="101"/>
      <c r="J18" s="101"/>
      <c r="K18" s="101"/>
      <c r="L18" s="101"/>
      <c r="M18" s="101"/>
      <c r="N18" s="101"/>
      <c r="O18" s="101"/>
      <c r="P18" s="101"/>
      <c r="Q18" s="101"/>
      <c r="R18" s="101"/>
      <c r="S18" s="101"/>
      <c r="T18" s="101"/>
      <c r="U18" s="101"/>
      <c r="V18" s="101"/>
      <c r="W18" s="101"/>
      <c r="X18" s="101"/>
      <c r="Y18" s="101"/>
      <c r="Z18" s="101"/>
      <c r="AA18" s="101"/>
      <c r="AB18" s="101"/>
      <c r="AC18" s="101"/>
      <c r="AD18" s="101"/>
      <c r="AE18" s="101"/>
      <c r="AF18" s="101"/>
      <c r="AG18" s="101"/>
      <c r="AH18" s="101"/>
      <c r="AI18" s="101"/>
      <c r="AJ18" s="101"/>
      <c r="AK18" s="101"/>
      <c r="AL18" s="101"/>
      <c r="AM18" s="101"/>
      <c r="AN18" s="101"/>
      <c r="AO18" s="101"/>
      <c r="AP18" s="101"/>
      <c r="AQ18" s="101"/>
      <c r="AR18" s="101"/>
      <c r="AS18" s="101"/>
      <c r="AT18" s="101"/>
      <c r="AU18" s="102"/>
    </row>
    <row r="19" spans="3:47" x14ac:dyDescent="0.3">
      <c r="C19" s="100"/>
      <c r="D19" s="103" t="s">
        <v>194</v>
      </c>
      <c r="E19" s="101" t="s">
        <v>206</v>
      </c>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01"/>
      <c r="AK19" s="101"/>
      <c r="AL19" s="101"/>
      <c r="AM19" s="101"/>
      <c r="AN19" s="101"/>
      <c r="AO19" s="101"/>
      <c r="AP19" s="101"/>
      <c r="AQ19" s="101"/>
      <c r="AR19" s="101"/>
      <c r="AS19" s="101"/>
      <c r="AT19" s="101"/>
      <c r="AU19" s="102"/>
    </row>
    <row r="20" spans="3:47" x14ac:dyDescent="0.3">
      <c r="C20" s="100"/>
      <c r="D20" s="101" t="s">
        <v>207</v>
      </c>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101"/>
      <c r="AC20" s="101"/>
      <c r="AD20" s="101"/>
      <c r="AE20" s="101"/>
      <c r="AF20" s="101"/>
      <c r="AG20" s="101"/>
      <c r="AH20" s="101"/>
      <c r="AI20" s="101"/>
      <c r="AJ20" s="101"/>
      <c r="AK20" s="101"/>
      <c r="AL20" s="101"/>
      <c r="AM20" s="101"/>
      <c r="AN20" s="101"/>
      <c r="AO20" s="101"/>
      <c r="AP20" s="101"/>
      <c r="AQ20" s="101"/>
      <c r="AR20" s="101"/>
      <c r="AS20" s="101"/>
      <c r="AT20" s="101"/>
      <c r="AU20" s="102"/>
    </row>
    <row r="21" spans="3:47" x14ac:dyDescent="0.3">
      <c r="C21" s="100"/>
      <c r="D21" s="104"/>
      <c r="E21" s="104"/>
      <c r="F21" s="104"/>
      <c r="G21" s="104"/>
      <c r="H21" s="104"/>
      <c r="I21" s="104"/>
      <c r="J21" s="104"/>
      <c r="K21" s="104"/>
      <c r="L21" s="104"/>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2"/>
    </row>
    <row r="22" spans="3:47" x14ac:dyDescent="0.3">
      <c r="C22" s="100"/>
      <c r="D22" s="101" t="s">
        <v>208</v>
      </c>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101"/>
      <c r="AC22" s="101"/>
      <c r="AD22" s="101"/>
      <c r="AE22" s="101"/>
      <c r="AF22" s="101"/>
      <c r="AG22" s="101"/>
      <c r="AH22" s="101"/>
      <c r="AI22" s="101"/>
      <c r="AJ22" s="101"/>
      <c r="AK22" s="101"/>
      <c r="AL22" s="101"/>
      <c r="AM22" s="101"/>
      <c r="AN22" s="101"/>
      <c r="AO22" s="101"/>
      <c r="AP22" s="101"/>
      <c r="AQ22" s="101"/>
      <c r="AR22" s="101"/>
      <c r="AS22" s="101"/>
      <c r="AT22" s="101"/>
      <c r="AU22" s="102"/>
    </row>
    <row r="23" spans="3:47" x14ac:dyDescent="0.3">
      <c r="C23" s="100"/>
      <c r="D23" s="101" t="s">
        <v>209</v>
      </c>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01"/>
      <c r="AL23" s="101"/>
      <c r="AM23" s="101"/>
      <c r="AN23" s="101"/>
      <c r="AO23" s="101"/>
      <c r="AP23" s="101"/>
      <c r="AQ23" s="101"/>
      <c r="AR23" s="101"/>
      <c r="AS23" s="101"/>
      <c r="AT23" s="101"/>
      <c r="AU23" s="102"/>
    </row>
    <row r="24" spans="3:47" x14ac:dyDescent="0.3">
      <c r="C24" s="100"/>
      <c r="D24" s="104"/>
      <c r="E24" s="104"/>
      <c r="F24" s="104"/>
      <c r="G24" s="104"/>
      <c r="H24" s="104"/>
      <c r="I24" s="104"/>
      <c r="J24" s="104"/>
      <c r="K24" s="104"/>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4"/>
      <c r="AI24" s="104"/>
      <c r="AJ24" s="104"/>
      <c r="AK24" s="104"/>
      <c r="AL24" s="104"/>
      <c r="AM24" s="104"/>
      <c r="AN24" s="104"/>
      <c r="AO24" s="104"/>
      <c r="AP24" s="104"/>
      <c r="AQ24" s="104"/>
      <c r="AR24" s="104"/>
      <c r="AS24" s="104"/>
      <c r="AT24" s="104"/>
      <c r="AU24" s="102"/>
    </row>
    <row r="25" spans="3:47" x14ac:dyDescent="0.3">
      <c r="C25" s="100"/>
      <c r="D25" s="104"/>
      <c r="E25" s="104"/>
      <c r="F25" s="104"/>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4"/>
      <c r="AI25" s="104"/>
      <c r="AJ25" s="104"/>
      <c r="AK25" s="104"/>
      <c r="AL25" s="104"/>
      <c r="AM25" s="104"/>
      <c r="AN25" s="104"/>
      <c r="AO25" s="104"/>
      <c r="AP25" s="104"/>
      <c r="AQ25" s="104"/>
      <c r="AR25" s="104"/>
      <c r="AS25" s="104"/>
      <c r="AT25" s="104"/>
      <c r="AU25" s="102"/>
    </row>
    <row r="26" spans="3:47" ht="25" thickBot="1" x14ac:dyDescent="0.35">
      <c r="C26" s="105"/>
      <c r="D26" s="106"/>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7"/>
    </row>
    <row r="27" spans="3:47" x14ac:dyDescent="0.3">
      <c r="C27" s="104"/>
      <c r="D27" s="104"/>
      <c r="E27" s="104"/>
      <c r="F27" s="104"/>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4"/>
      <c r="AI27" s="104"/>
      <c r="AJ27" s="104"/>
      <c r="AK27" s="104"/>
      <c r="AL27" s="104"/>
      <c r="AM27" s="104"/>
      <c r="AN27" s="104"/>
      <c r="AO27" s="104"/>
      <c r="AP27" s="104"/>
      <c r="AQ27" s="104"/>
      <c r="AR27" s="104"/>
      <c r="AS27" s="104"/>
      <c r="AT27" s="104"/>
      <c r="AU27" s="104"/>
    </row>
    <row r="28" spans="3:47" x14ac:dyDescent="0.3">
      <c r="C28" s="96"/>
      <c r="D28" s="97"/>
      <c r="E28" s="97"/>
      <c r="F28" s="97"/>
      <c r="G28" s="97"/>
      <c r="H28" s="97"/>
      <c r="I28" s="97"/>
      <c r="J28" s="97"/>
      <c r="K28" s="97"/>
      <c r="L28" s="97"/>
      <c r="M28" s="97"/>
      <c r="N28" s="97"/>
      <c r="O28" s="97"/>
      <c r="P28" s="97"/>
      <c r="Q28" s="97"/>
      <c r="R28" s="97"/>
      <c r="S28" s="97"/>
      <c r="T28" s="97"/>
      <c r="U28" s="97"/>
      <c r="V28" s="97"/>
      <c r="W28" s="97"/>
      <c r="X28" s="97"/>
      <c r="Y28" s="97"/>
      <c r="Z28" s="97"/>
      <c r="AA28" s="97"/>
      <c r="AB28" s="97"/>
      <c r="AC28" s="97"/>
      <c r="AD28" s="97"/>
      <c r="AE28" s="97"/>
      <c r="AF28" s="97"/>
      <c r="AG28" s="97"/>
      <c r="AH28" s="97"/>
      <c r="AI28" s="97"/>
      <c r="AJ28" s="97"/>
      <c r="AK28" s="97"/>
      <c r="AL28" s="97"/>
      <c r="AM28" s="97"/>
      <c r="AN28" s="97"/>
      <c r="AO28" s="97"/>
      <c r="AP28" s="97"/>
      <c r="AQ28" s="97"/>
      <c r="AR28" s="97"/>
      <c r="AS28" s="97"/>
      <c r="AT28" s="97"/>
      <c r="AU28" s="98"/>
    </row>
    <row r="29" spans="3:47" x14ac:dyDescent="0.3">
      <c r="C29" s="100"/>
      <c r="D29" s="108" t="s">
        <v>210</v>
      </c>
      <c r="E29" s="108"/>
      <c r="F29" s="108"/>
      <c r="G29" s="108"/>
      <c r="H29" s="108"/>
      <c r="I29" s="108"/>
      <c r="J29" s="108"/>
      <c r="K29" s="108"/>
      <c r="L29" s="108"/>
      <c r="M29" s="108"/>
      <c r="N29" s="108"/>
      <c r="O29" s="108"/>
      <c r="P29" s="108"/>
      <c r="Q29" s="108"/>
      <c r="R29" s="108"/>
      <c r="S29" s="108"/>
      <c r="T29" s="108"/>
      <c r="U29" s="108"/>
      <c r="V29" s="108"/>
      <c r="W29" s="108"/>
      <c r="X29" s="108"/>
      <c r="Y29" s="108"/>
      <c r="Z29" s="108"/>
      <c r="AA29" s="108"/>
      <c r="AB29" s="108"/>
      <c r="AC29" s="108"/>
      <c r="AD29" s="108"/>
      <c r="AE29" s="108"/>
      <c r="AF29" s="108"/>
      <c r="AG29" s="108"/>
      <c r="AH29" s="108"/>
      <c r="AI29" s="108"/>
      <c r="AJ29" s="108"/>
      <c r="AK29" s="108"/>
      <c r="AL29" s="108"/>
      <c r="AM29" s="108"/>
      <c r="AN29" s="108"/>
      <c r="AO29" s="108"/>
      <c r="AP29" s="108"/>
      <c r="AQ29" s="108"/>
      <c r="AR29" s="108"/>
      <c r="AS29" s="108"/>
      <c r="AT29" s="108"/>
      <c r="AU29" s="102"/>
    </row>
    <row r="30" spans="3:47" x14ac:dyDescent="0.3">
      <c r="C30" s="100"/>
      <c r="D30" s="101" t="s">
        <v>297</v>
      </c>
      <c r="E30" s="101"/>
      <c r="F30" s="101"/>
      <c r="G30" s="101"/>
      <c r="H30" s="101"/>
      <c r="I30" s="101"/>
      <c r="J30" s="101"/>
      <c r="K30" s="101"/>
      <c r="L30" s="101"/>
      <c r="M30" s="101"/>
      <c r="N30" s="101"/>
      <c r="O30" s="101"/>
      <c r="P30" s="101"/>
      <c r="Q30" s="101"/>
      <c r="R30" s="101"/>
      <c r="S30" s="101"/>
      <c r="T30" s="101"/>
      <c r="U30" s="101"/>
      <c r="V30" s="101"/>
      <c r="W30" s="101"/>
      <c r="X30" s="101"/>
      <c r="Y30" s="101"/>
      <c r="Z30" s="101"/>
      <c r="AA30" s="101"/>
      <c r="AB30" s="101"/>
      <c r="AC30" s="101"/>
      <c r="AD30" s="101"/>
      <c r="AE30" s="101"/>
      <c r="AF30" s="101"/>
      <c r="AG30" s="101"/>
      <c r="AH30" s="101"/>
      <c r="AI30" s="101"/>
      <c r="AJ30" s="101"/>
      <c r="AK30" s="101"/>
      <c r="AL30" s="101"/>
      <c r="AM30" s="101"/>
      <c r="AN30" s="101"/>
      <c r="AO30" s="101"/>
      <c r="AP30" s="101"/>
      <c r="AQ30" s="101"/>
      <c r="AR30" s="101"/>
      <c r="AS30" s="101"/>
      <c r="AT30" s="101"/>
      <c r="AU30" s="102"/>
    </row>
    <row r="31" spans="3:47" x14ac:dyDescent="0.3">
      <c r="C31" s="100"/>
      <c r="D31" s="101" t="s">
        <v>211</v>
      </c>
      <c r="E31" s="101"/>
      <c r="F31" s="101"/>
      <c r="G31" s="101"/>
      <c r="H31" s="101"/>
      <c r="I31" s="101"/>
      <c r="J31" s="101"/>
      <c r="K31" s="101"/>
      <c r="L31" s="101"/>
      <c r="M31" s="101"/>
      <c r="N31" s="101"/>
      <c r="O31" s="101"/>
      <c r="P31" s="101"/>
      <c r="Q31" s="101"/>
      <c r="R31" s="101"/>
      <c r="S31" s="101"/>
      <c r="T31" s="101"/>
      <c r="U31" s="101"/>
      <c r="V31" s="101"/>
      <c r="W31" s="101"/>
      <c r="X31" s="101"/>
      <c r="Y31" s="101"/>
      <c r="Z31" s="101"/>
      <c r="AA31" s="101"/>
      <c r="AB31" s="101"/>
      <c r="AC31" s="101"/>
      <c r="AD31" s="101"/>
      <c r="AE31" s="101"/>
      <c r="AF31" s="101"/>
      <c r="AG31" s="101"/>
      <c r="AH31" s="101"/>
      <c r="AI31" s="101"/>
      <c r="AJ31" s="101"/>
      <c r="AK31" s="101"/>
      <c r="AL31" s="101"/>
      <c r="AM31" s="101"/>
      <c r="AN31" s="101"/>
      <c r="AO31" s="101"/>
      <c r="AP31" s="101"/>
      <c r="AQ31" s="101"/>
      <c r="AR31" s="101"/>
      <c r="AS31" s="101"/>
      <c r="AT31" s="101"/>
      <c r="AU31" s="102"/>
    </row>
    <row r="32" spans="3:47" x14ac:dyDescent="0.3">
      <c r="C32" s="100"/>
      <c r="D32" s="109" t="s">
        <v>214</v>
      </c>
      <c r="E32" s="109"/>
      <c r="F32" s="109"/>
      <c r="G32" s="109"/>
      <c r="H32" s="109"/>
      <c r="I32" s="101" t="s">
        <v>212</v>
      </c>
      <c r="J32" s="101"/>
      <c r="K32" s="101"/>
      <c r="L32" s="101"/>
      <c r="M32" s="101"/>
      <c r="N32" s="101"/>
      <c r="O32" s="101"/>
      <c r="P32" s="101"/>
      <c r="Q32" s="101"/>
      <c r="R32" s="101"/>
      <c r="S32" s="101"/>
      <c r="T32" s="101"/>
      <c r="U32" s="101"/>
      <c r="V32" s="101"/>
      <c r="W32" s="101"/>
      <c r="X32" s="101"/>
      <c r="Y32" s="101"/>
      <c r="Z32" s="101"/>
      <c r="AA32" s="101"/>
      <c r="AB32" s="101"/>
      <c r="AC32" s="101"/>
      <c r="AD32" s="101"/>
      <c r="AE32" s="101"/>
      <c r="AF32" s="101"/>
      <c r="AG32" s="101"/>
      <c r="AH32" s="101"/>
      <c r="AI32" s="101"/>
      <c r="AJ32" s="101"/>
      <c r="AK32" s="101"/>
      <c r="AL32" s="101"/>
      <c r="AM32" s="101"/>
      <c r="AN32" s="101"/>
      <c r="AO32" s="101"/>
      <c r="AP32" s="101"/>
      <c r="AQ32" s="101"/>
      <c r="AR32" s="101"/>
      <c r="AS32" s="101"/>
      <c r="AT32" s="101"/>
      <c r="AU32" s="102"/>
    </row>
    <row r="33" spans="3:47" x14ac:dyDescent="0.3">
      <c r="C33" s="100"/>
      <c r="D33" s="109" t="s">
        <v>215</v>
      </c>
      <c r="E33" s="109"/>
      <c r="F33" s="109"/>
      <c r="G33" s="109"/>
      <c r="H33" s="109"/>
      <c r="I33" s="101" t="s">
        <v>213</v>
      </c>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01"/>
      <c r="AL33" s="101"/>
      <c r="AM33" s="101"/>
      <c r="AN33" s="101"/>
      <c r="AO33" s="101"/>
      <c r="AP33" s="101"/>
      <c r="AQ33" s="101"/>
      <c r="AR33" s="101"/>
      <c r="AS33" s="101"/>
      <c r="AT33" s="101"/>
      <c r="AU33" s="102"/>
    </row>
    <row r="34" spans="3:47" x14ac:dyDescent="0.3">
      <c r="C34" s="100"/>
      <c r="D34" s="109" t="s">
        <v>216</v>
      </c>
      <c r="E34" s="109"/>
      <c r="F34" s="109"/>
      <c r="G34" s="109"/>
      <c r="H34" s="109"/>
      <c r="I34" s="101" t="s">
        <v>252</v>
      </c>
      <c r="J34" s="101"/>
      <c r="K34" s="101"/>
      <c r="L34" s="101"/>
      <c r="M34" s="101"/>
      <c r="N34" s="101"/>
      <c r="O34" s="101"/>
      <c r="P34" s="101"/>
      <c r="Q34" s="101"/>
      <c r="R34" s="101"/>
      <c r="S34" s="101"/>
      <c r="T34" s="101"/>
      <c r="U34" s="101"/>
      <c r="V34" s="101"/>
      <c r="W34" s="101"/>
      <c r="X34" s="101"/>
      <c r="Y34" s="101"/>
      <c r="Z34" s="101"/>
      <c r="AA34" s="101"/>
      <c r="AB34" s="101"/>
      <c r="AC34" s="101"/>
      <c r="AD34" s="101"/>
      <c r="AE34" s="101"/>
      <c r="AF34" s="101"/>
      <c r="AG34" s="101"/>
      <c r="AH34" s="101"/>
      <c r="AI34" s="101"/>
      <c r="AJ34" s="101"/>
      <c r="AK34" s="101"/>
      <c r="AL34" s="101"/>
      <c r="AM34" s="101"/>
      <c r="AN34" s="101"/>
      <c r="AO34" s="101"/>
      <c r="AP34" s="101"/>
      <c r="AQ34" s="101"/>
      <c r="AR34" s="101"/>
      <c r="AS34" s="101"/>
      <c r="AT34" s="101"/>
      <c r="AU34" s="102"/>
    </row>
    <row r="35" spans="3:47" x14ac:dyDescent="0.3">
      <c r="C35" s="100"/>
      <c r="D35" s="109" t="s">
        <v>217</v>
      </c>
      <c r="E35" s="109"/>
      <c r="F35" s="109"/>
      <c r="G35" s="109"/>
      <c r="H35" s="109"/>
      <c r="I35" s="110" t="s">
        <v>253</v>
      </c>
      <c r="J35" s="110"/>
      <c r="K35" s="110"/>
      <c r="L35" s="110"/>
      <c r="M35" s="110"/>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02"/>
    </row>
    <row r="36" spans="3:47" x14ac:dyDescent="0.3">
      <c r="C36" s="100"/>
      <c r="D36" s="109" t="s">
        <v>218</v>
      </c>
      <c r="E36" s="109"/>
      <c r="F36" s="109"/>
      <c r="G36" s="109"/>
      <c r="H36" s="109"/>
      <c r="I36" s="110" t="s">
        <v>253</v>
      </c>
      <c r="J36" s="110"/>
      <c r="K36" s="110"/>
      <c r="L36" s="110"/>
      <c r="M36" s="110"/>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02"/>
    </row>
    <row r="37" spans="3:47" x14ac:dyDescent="0.3">
      <c r="C37" s="100"/>
      <c r="D37" s="109" t="s">
        <v>219</v>
      </c>
      <c r="E37" s="109"/>
      <c r="F37" s="109"/>
      <c r="G37" s="109"/>
      <c r="H37" s="109"/>
      <c r="I37" s="110" t="s">
        <v>253</v>
      </c>
      <c r="J37" s="110"/>
      <c r="K37" s="110"/>
      <c r="L37" s="110"/>
      <c r="M37" s="110"/>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02"/>
    </row>
    <row r="38" spans="3:47" x14ac:dyDescent="0.3">
      <c r="C38" s="100"/>
      <c r="D38" s="109" t="s">
        <v>220</v>
      </c>
      <c r="E38" s="109"/>
      <c r="F38" s="109"/>
      <c r="G38" s="109"/>
      <c r="H38" s="109"/>
      <c r="I38" s="110" t="s">
        <v>253</v>
      </c>
      <c r="J38" s="110"/>
      <c r="K38" s="110"/>
      <c r="L38" s="110"/>
      <c r="M38" s="110"/>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02"/>
    </row>
    <row r="39" spans="3:47" x14ac:dyDescent="0.3">
      <c r="C39" s="100"/>
      <c r="D39" s="109" t="s">
        <v>221</v>
      </c>
      <c r="E39" s="109"/>
      <c r="F39" s="109"/>
      <c r="G39" s="109"/>
      <c r="H39" s="109"/>
      <c r="I39" s="110" t="s">
        <v>253</v>
      </c>
      <c r="J39" s="110"/>
      <c r="K39" s="110"/>
      <c r="L39" s="110"/>
      <c r="M39" s="110"/>
      <c r="N39" s="110"/>
      <c r="O39" s="110"/>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02"/>
    </row>
    <row r="40" spans="3:47" x14ac:dyDescent="0.3">
      <c r="C40" s="100"/>
      <c r="D40" s="109" t="s">
        <v>222</v>
      </c>
      <c r="E40" s="109"/>
      <c r="F40" s="109"/>
      <c r="G40" s="109"/>
      <c r="H40" s="109"/>
      <c r="I40" s="110" t="s">
        <v>253</v>
      </c>
      <c r="J40" s="110"/>
      <c r="K40" s="110"/>
      <c r="L40" s="110"/>
      <c r="M40" s="110"/>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02"/>
    </row>
    <row r="41" spans="3:47" x14ac:dyDescent="0.3">
      <c r="C41" s="100"/>
      <c r="D41" s="109" t="s">
        <v>223</v>
      </c>
      <c r="E41" s="109"/>
      <c r="F41" s="109"/>
      <c r="G41" s="109"/>
      <c r="H41" s="109"/>
      <c r="I41" s="110" t="s">
        <v>253</v>
      </c>
      <c r="J41" s="110"/>
      <c r="K41" s="110"/>
      <c r="L41" s="110"/>
      <c r="M41" s="110"/>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02"/>
    </row>
    <row r="42" spans="3:47" x14ac:dyDescent="0.3">
      <c r="C42" s="100"/>
      <c r="D42" s="109" t="s">
        <v>224</v>
      </c>
      <c r="E42" s="109"/>
      <c r="F42" s="109"/>
      <c r="G42" s="109"/>
      <c r="H42" s="109"/>
      <c r="I42" s="110" t="s">
        <v>253</v>
      </c>
      <c r="J42" s="110"/>
      <c r="K42" s="110"/>
      <c r="L42" s="110"/>
      <c r="M42" s="110"/>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02"/>
    </row>
    <row r="43" spans="3:47" x14ac:dyDescent="0.3">
      <c r="C43" s="100"/>
      <c r="D43" s="101" t="s">
        <v>240</v>
      </c>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c r="AI43" s="101"/>
      <c r="AJ43" s="101"/>
      <c r="AK43" s="101"/>
      <c r="AL43" s="101"/>
      <c r="AM43" s="101"/>
      <c r="AN43" s="101"/>
      <c r="AO43" s="101"/>
      <c r="AP43" s="101"/>
      <c r="AQ43" s="101"/>
      <c r="AR43" s="101"/>
      <c r="AS43" s="101"/>
      <c r="AT43" s="101"/>
      <c r="AU43" s="102"/>
    </row>
    <row r="44" spans="3:47" x14ac:dyDescent="0.3">
      <c r="C44" s="100"/>
      <c r="D44" s="101" t="s">
        <v>246</v>
      </c>
      <c r="E44" s="101"/>
      <c r="F44" s="101"/>
      <c r="G44" s="101"/>
      <c r="H44" s="101"/>
      <c r="I44" s="101"/>
      <c r="J44" s="101"/>
      <c r="K44" s="101"/>
      <c r="L44" s="101"/>
      <c r="M44" s="101"/>
      <c r="N44" s="101"/>
      <c r="O44" s="101"/>
      <c r="P44" s="101"/>
      <c r="Q44" s="101"/>
      <c r="R44" s="101"/>
      <c r="S44" s="101"/>
      <c r="T44" s="101"/>
      <c r="U44" s="101"/>
      <c r="V44" s="101"/>
      <c r="W44" s="101"/>
      <c r="X44" s="101"/>
      <c r="Y44" s="101"/>
      <c r="Z44" s="101"/>
      <c r="AA44" s="101"/>
      <c r="AB44" s="101"/>
      <c r="AC44" s="101"/>
      <c r="AD44" s="101"/>
      <c r="AE44" s="101"/>
      <c r="AF44" s="101"/>
      <c r="AG44" s="101"/>
      <c r="AH44" s="101"/>
      <c r="AI44" s="101"/>
      <c r="AJ44" s="101"/>
      <c r="AK44" s="101"/>
      <c r="AL44" s="101"/>
      <c r="AM44" s="101"/>
      <c r="AN44" s="101"/>
      <c r="AO44" s="101"/>
      <c r="AP44" s="101"/>
      <c r="AQ44" s="101"/>
      <c r="AR44" s="101"/>
      <c r="AS44" s="101"/>
      <c r="AT44" s="101"/>
      <c r="AU44" s="102"/>
    </row>
    <row r="45" spans="3:47" x14ac:dyDescent="0.3">
      <c r="C45" s="100"/>
      <c r="D45" s="101" t="s">
        <v>225</v>
      </c>
      <c r="E45" s="101"/>
      <c r="F45" s="101"/>
      <c r="G45" s="101"/>
      <c r="H45" s="101"/>
      <c r="I45" s="101"/>
      <c r="J45" s="101"/>
      <c r="K45" s="101"/>
      <c r="L45" s="101"/>
      <c r="M45" s="101"/>
      <c r="N45" s="101"/>
      <c r="O45" s="101"/>
      <c r="P45" s="101"/>
      <c r="Q45" s="101"/>
      <c r="R45" s="101"/>
      <c r="S45" s="101"/>
      <c r="T45" s="101"/>
      <c r="U45" s="101"/>
      <c r="V45" s="101"/>
      <c r="W45" s="101"/>
      <c r="X45" s="101"/>
      <c r="Y45" s="101"/>
      <c r="Z45" s="101"/>
      <c r="AA45" s="101"/>
      <c r="AB45" s="101"/>
      <c r="AC45" s="101"/>
      <c r="AD45" s="101"/>
      <c r="AE45" s="101"/>
      <c r="AF45" s="101"/>
      <c r="AG45" s="101"/>
      <c r="AH45" s="101"/>
      <c r="AI45" s="101"/>
      <c r="AJ45" s="101"/>
      <c r="AK45" s="101"/>
      <c r="AL45" s="101"/>
      <c r="AM45" s="101"/>
      <c r="AN45" s="101"/>
      <c r="AO45" s="101"/>
      <c r="AP45" s="101"/>
      <c r="AQ45" s="101"/>
      <c r="AR45" s="101"/>
      <c r="AS45" s="101"/>
      <c r="AT45" s="101"/>
      <c r="AU45" s="102"/>
    </row>
    <row r="46" spans="3:47" x14ac:dyDescent="0.3">
      <c r="C46" s="100"/>
      <c r="D46" s="101" t="s">
        <v>226</v>
      </c>
      <c r="E46" s="101"/>
      <c r="F46" s="101"/>
      <c r="G46" s="101"/>
      <c r="H46" s="101"/>
      <c r="I46" s="101"/>
      <c r="J46" s="101"/>
      <c r="K46" s="101"/>
      <c r="L46" s="101"/>
      <c r="M46" s="101"/>
      <c r="N46" s="101"/>
      <c r="O46" s="101"/>
      <c r="P46" s="101"/>
      <c r="Q46" s="101"/>
      <c r="R46" s="101"/>
      <c r="S46" s="101"/>
      <c r="T46" s="101"/>
      <c r="U46" s="101"/>
      <c r="V46" s="101"/>
      <c r="W46" s="101"/>
      <c r="X46" s="101"/>
      <c r="Y46" s="101"/>
      <c r="Z46" s="101"/>
      <c r="AA46" s="101"/>
      <c r="AB46" s="101"/>
      <c r="AC46" s="101"/>
      <c r="AD46" s="101"/>
      <c r="AE46" s="101"/>
      <c r="AF46" s="101"/>
      <c r="AG46" s="101"/>
      <c r="AH46" s="101"/>
      <c r="AI46" s="101"/>
      <c r="AJ46" s="101"/>
      <c r="AK46" s="101"/>
      <c r="AL46" s="101"/>
      <c r="AM46" s="101"/>
      <c r="AN46" s="101"/>
      <c r="AO46" s="101"/>
      <c r="AP46" s="101"/>
      <c r="AQ46" s="101"/>
      <c r="AR46" s="101"/>
      <c r="AS46" s="101"/>
      <c r="AT46" s="101"/>
      <c r="AU46" s="102"/>
    </row>
    <row r="47" spans="3:47" x14ac:dyDescent="0.3">
      <c r="C47" s="100"/>
      <c r="D47" s="104"/>
      <c r="E47" s="104"/>
      <c r="F47" s="104"/>
      <c r="G47" s="104"/>
      <c r="H47" s="104"/>
      <c r="I47" s="104"/>
      <c r="J47" s="104"/>
      <c r="K47" s="104"/>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c r="AM47" s="104"/>
      <c r="AN47" s="104"/>
      <c r="AO47" s="104"/>
      <c r="AP47" s="104"/>
      <c r="AQ47" s="104"/>
      <c r="AR47" s="104"/>
      <c r="AS47" s="104"/>
      <c r="AT47" s="104"/>
      <c r="AU47" s="102"/>
    </row>
    <row r="48" spans="3:47" x14ac:dyDescent="0.3">
      <c r="C48" s="100"/>
      <c r="D48" s="104"/>
      <c r="E48" s="104"/>
      <c r="F48" s="104"/>
      <c r="G48" s="104"/>
      <c r="H48" s="104"/>
      <c r="I48" s="104"/>
      <c r="J48" s="104"/>
      <c r="K48" s="10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104"/>
      <c r="AK48" s="104"/>
      <c r="AL48" s="104"/>
      <c r="AM48" s="104"/>
      <c r="AN48" s="104"/>
      <c r="AO48" s="104"/>
      <c r="AP48" s="104"/>
      <c r="AQ48" s="104"/>
      <c r="AR48" s="104"/>
      <c r="AS48" s="104"/>
      <c r="AT48" s="104"/>
      <c r="AU48" s="102"/>
    </row>
    <row r="49" spans="3:47" x14ac:dyDescent="0.3">
      <c r="C49" s="100"/>
      <c r="D49" s="104"/>
      <c r="E49" s="104"/>
      <c r="F49" s="104"/>
      <c r="G49" s="104"/>
      <c r="H49" s="104"/>
      <c r="I49" s="104"/>
      <c r="J49" s="104"/>
      <c r="K49" s="10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c r="AM49" s="104"/>
      <c r="AN49" s="104"/>
      <c r="AO49" s="104"/>
      <c r="AP49" s="104"/>
      <c r="AQ49" s="104"/>
      <c r="AR49" s="104"/>
      <c r="AS49" s="104"/>
      <c r="AT49" s="104"/>
      <c r="AU49" s="102"/>
    </row>
    <row r="50" spans="3:47" x14ac:dyDescent="0.3">
      <c r="C50" s="100"/>
      <c r="D50" s="104"/>
      <c r="E50" s="104"/>
      <c r="F50" s="104"/>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104"/>
      <c r="AK50" s="104"/>
      <c r="AL50" s="104"/>
      <c r="AM50" s="104"/>
      <c r="AN50" s="104"/>
      <c r="AO50" s="104"/>
      <c r="AP50" s="104"/>
      <c r="AQ50" s="104"/>
      <c r="AR50" s="104"/>
      <c r="AS50" s="104"/>
      <c r="AT50" s="104"/>
      <c r="AU50" s="102"/>
    </row>
    <row r="51" spans="3:47" x14ac:dyDescent="0.3">
      <c r="C51" s="100"/>
      <c r="D51" s="104"/>
      <c r="E51" s="10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2"/>
    </row>
    <row r="52" spans="3:47" x14ac:dyDescent="0.3">
      <c r="C52" s="100"/>
      <c r="D52" s="104"/>
      <c r="E52" s="104"/>
      <c r="F52" s="104"/>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104"/>
      <c r="AF52" s="104"/>
      <c r="AG52" s="104"/>
      <c r="AH52" s="104"/>
      <c r="AI52" s="104"/>
      <c r="AJ52" s="104"/>
      <c r="AK52" s="104"/>
      <c r="AL52" s="104"/>
      <c r="AM52" s="104"/>
      <c r="AN52" s="104"/>
      <c r="AO52" s="104"/>
      <c r="AP52" s="104"/>
      <c r="AQ52" s="104"/>
      <c r="AR52" s="104"/>
      <c r="AS52" s="104"/>
      <c r="AT52" s="104"/>
      <c r="AU52" s="102"/>
    </row>
    <row r="53" spans="3:47" x14ac:dyDescent="0.3">
      <c r="C53" s="100"/>
      <c r="D53" s="104"/>
      <c r="E53" s="104"/>
      <c r="F53" s="104"/>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104"/>
      <c r="AF53" s="104"/>
      <c r="AG53" s="104"/>
      <c r="AH53" s="104"/>
      <c r="AI53" s="104"/>
      <c r="AJ53" s="104"/>
      <c r="AK53" s="104"/>
      <c r="AL53" s="104"/>
      <c r="AM53" s="104"/>
      <c r="AN53" s="104"/>
      <c r="AO53" s="104"/>
      <c r="AP53" s="104"/>
      <c r="AQ53" s="104"/>
      <c r="AR53" s="104"/>
      <c r="AS53" s="104"/>
      <c r="AT53" s="104"/>
      <c r="AU53" s="102"/>
    </row>
    <row r="54" spans="3:47" x14ac:dyDescent="0.3">
      <c r="C54" s="100"/>
      <c r="D54" s="104"/>
      <c r="E54" s="104"/>
      <c r="F54" s="104"/>
      <c r="G54" s="104"/>
      <c r="H54" s="104"/>
      <c r="I54" s="104"/>
      <c r="J54" s="104"/>
      <c r="K54" s="104"/>
      <c r="L54" s="104"/>
      <c r="M54" s="104"/>
      <c r="N54" s="104"/>
      <c r="O54" s="104"/>
      <c r="P54" s="104"/>
      <c r="Q54" s="104"/>
      <c r="R54" s="104"/>
      <c r="S54" s="104"/>
      <c r="T54" s="104"/>
      <c r="U54" s="104"/>
      <c r="V54" s="104"/>
      <c r="W54" s="104"/>
      <c r="X54" s="104"/>
      <c r="Y54" s="104"/>
      <c r="Z54" s="104"/>
      <c r="AA54" s="104"/>
      <c r="AB54" s="104"/>
      <c r="AC54" s="104"/>
      <c r="AD54" s="104"/>
      <c r="AE54" s="104"/>
      <c r="AF54" s="104"/>
      <c r="AG54" s="104"/>
      <c r="AH54" s="104"/>
      <c r="AI54" s="104"/>
      <c r="AJ54" s="104"/>
      <c r="AK54" s="104"/>
      <c r="AL54" s="104"/>
      <c r="AM54" s="104"/>
      <c r="AN54" s="104"/>
      <c r="AO54" s="104"/>
      <c r="AP54" s="104"/>
      <c r="AQ54" s="104"/>
      <c r="AR54" s="104"/>
      <c r="AS54" s="104"/>
      <c r="AT54" s="104"/>
      <c r="AU54" s="102"/>
    </row>
    <row r="55" spans="3:47" x14ac:dyDescent="0.3">
      <c r="C55" s="100"/>
      <c r="D55" s="104"/>
      <c r="E55" s="104"/>
      <c r="F55" s="104"/>
      <c r="G55" s="104"/>
      <c r="H55" s="104"/>
      <c r="I55" s="104"/>
      <c r="J55" s="104"/>
      <c r="K55" s="104"/>
      <c r="L55" s="104"/>
      <c r="M55" s="104"/>
      <c r="N55" s="104"/>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c r="AM55" s="104"/>
      <c r="AN55" s="104"/>
      <c r="AO55" s="104"/>
      <c r="AP55" s="104"/>
      <c r="AQ55" s="104"/>
      <c r="AR55" s="104"/>
      <c r="AS55" s="104"/>
      <c r="AT55" s="104"/>
      <c r="AU55" s="102"/>
    </row>
    <row r="56" spans="3:47" x14ac:dyDescent="0.3">
      <c r="C56" s="100"/>
      <c r="D56" s="101" t="s">
        <v>230</v>
      </c>
      <c r="E56" s="101"/>
      <c r="F56" s="101"/>
      <c r="G56" s="101"/>
      <c r="H56" s="101"/>
      <c r="I56" s="101"/>
      <c r="J56" s="101"/>
      <c r="K56" s="101"/>
      <c r="L56" s="101"/>
      <c r="M56" s="101"/>
      <c r="N56" s="101"/>
      <c r="O56" s="101"/>
      <c r="P56" s="101"/>
      <c r="Q56" s="101"/>
      <c r="R56" s="101"/>
      <c r="S56" s="101"/>
      <c r="T56" s="101"/>
      <c r="U56" s="101"/>
      <c r="V56" s="101"/>
      <c r="W56" s="101"/>
      <c r="X56" s="101"/>
      <c r="Y56" s="101"/>
      <c r="Z56" s="101"/>
      <c r="AA56" s="101"/>
      <c r="AB56" s="101"/>
      <c r="AC56" s="101"/>
      <c r="AD56" s="101"/>
      <c r="AE56" s="101"/>
      <c r="AF56" s="101"/>
      <c r="AG56" s="101"/>
      <c r="AH56" s="101"/>
      <c r="AI56" s="101"/>
      <c r="AJ56" s="101"/>
      <c r="AK56" s="101"/>
      <c r="AL56" s="101"/>
      <c r="AM56" s="101"/>
      <c r="AN56" s="101"/>
      <c r="AO56" s="101"/>
      <c r="AP56" s="101"/>
      <c r="AQ56" s="101"/>
      <c r="AR56" s="101"/>
      <c r="AS56" s="101"/>
      <c r="AT56" s="101"/>
      <c r="AU56" s="102"/>
    </row>
    <row r="57" spans="3:47" x14ac:dyDescent="0.3">
      <c r="C57" s="100"/>
      <c r="D57" s="103" t="s">
        <v>194</v>
      </c>
      <c r="E57" s="101" t="s">
        <v>227</v>
      </c>
      <c r="F57" s="101"/>
      <c r="G57" s="101"/>
      <c r="H57" s="101"/>
      <c r="I57" s="101"/>
      <c r="J57" s="101"/>
      <c r="K57" s="101"/>
      <c r="L57" s="101"/>
      <c r="M57" s="101"/>
      <c r="N57" s="101"/>
      <c r="O57" s="101"/>
      <c r="P57" s="101"/>
      <c r="Q57" s="101"/>
      <c r="R57" s="101"/>
      <c r="S57" s="101"/>
      <c r="T57" s="101"/>
      <c r="U57" s="101"/>
      <c r="V57" s="101"/>
      <c r="W57" s="101"/>
      <c r="X57" s="101"/>
      <c r="Y57" s="101"/>
      <c r="Z57" s="101"/>
      <c r="AA57" s="101"/>
      <c r="AB57" s="101"/>
      <c r="AC57" s="101"/>
      <c r="AD57" s="101"/>
      <c r="AE57" s="101"/>
      <c r="AF57" s="101"/>
      <c r="AG57" s="101"/>
      <c r="AH57" s="101"/>
      <c r="AI57" s="101"/>
      <c r="AJ57" s="101"/>
      <c r="AK57" s="101"/>
      <c r="AL57" s="101"/>
      <c r="AM57" s="101"/>
      <c r="AN57" s="101"/>
      <c r="AO57" s="101"/>
      <c r="AP57" s="101"/>
      <c r="AQ57" s="101"/>
      <c r="AR57" s="101"/>
      <c r="AS57" s="101"/>
      <c r="AT57" s="101"/>
      <c r="AU57" s="102"/>
    </row>
    <row r="58" spans="3:47" x14ac:dyDescent="0.3">
      <c r="C58" s="100"/>
      <c r="D58" s="103" t="s">
        <v>194</v>
      </c>
      <c r="E58" s="101" t="s">
        <v>228</v>
      </c>
      <c r="F58" s="101"/>
      <c r="G58" s="101"/>
      <c r="H58" s="101"/>
      <c r="I58" s="101"/>
      <c r="J58" s="101"/>
      <c r="K58" s="101"/>
      <c r="L58" s="101"/>
      <c r="M58" s="101"/>
      <c r="N58" s="101"/>
      <c r="O58" s="101"/>
      <c r="P58" s="101"/>
      <c r="Q58" s="101"/>
      <c r="R58" s="101"/>
      <c r="S58" s="101"/>
      <c r="T58" s="101"/>
      <c r="U58" s="101"/>
      <c r="V58" s="101"/>
      <c r="W58" s="101"/>
      <c r="X58" s="101"/>
      <c r="Y58" s="101"/>
      <c r="Z58" s="101"/>
      <c r="AA58" s="101"/>
      <c r="AB58" s="101"/>
      <c r="AC58" s="101"/>
      <c r="AD58" s="101"/>
      <c r="AE58" s="101"/>
      <c r="AF58" s="101"/>
      <c r="AG58" s="101"/>
      <c r="AH58" s="101"/>
      <c r="AI58" s="101"/>
      <c r="AJ58" s="101"/>
      <c r="AK58" s="101"/>
      <c r="AL58" s="101"/>
      <c r="AM58" s="101"/>
      <c r="AN58" s="101"/>
      <c r="AO58" s="101"/>
      <c r="AP58" s="101"/>
      <c r="AQ58" s="101"/>
      <c r="AR58" s="101"/>
      <c r="AS58" s="101"/>
      <c r="AT58" s="101"/>
      <c r="AU58" s="102"/>
    </row>
    <row r="59" spans="3:47" x14ac:dyDescent="0.3">
      <c r="C59" s="100"/>
      <c r="D59" s="103" t="s">
        <v>194</v>
      </c>
      <c r="E59" s="101" t="s">
        <v>229</v>
      </c>
      <c r="F59" s="101"/>
      <c r="G59" s="101"/>
      <c r="H59" s="101"/>
      <c r="I59" s="101"/>
      <c r="J59" s="101"/>
      <c r="K59" s="101"/>
      <c r="L59" s="101"/>
      <c r="M59" s="101"/>
      <c r="N59" s="101"/>
      <c r="O59" s="101"/>
      <c r="P59" s="101"/>
      <c r="Q59" s="101"/>
      <c r="R59" s="101"/>
      <c r="S59" s="101"/>
      <c r="T59" s="101"/>
      <c r="U59" s="101"/>
      <c r="V59" s="101"/>
      <c r="W59" s="101"/>
      <c r="X59" s="101"/>
      <c r="Y59" s="101"/>
      <c r="Z59" s="101"/>
      <c r="AA59" s="101"/>
      <c r="AB59" s="101"/>
      <c r="AC59" s="101"/>
      <c r="AD59" s="101"/>
      <c r="AE59" s="101"/>
      <c r="AF59" s="101"/>
      <c r="AG59" s="101"/>
      <c r="AH59" s="101"/>
      <c r="AI59" s="101"/>
      <c r="AJ59" s="101"/>
      <c r="AK59" s="101"/>
      <c r="AL59" s="101"/>
      <c r="AM59" s="101"/>
      <c r="AN59" s="101"/>
      <c r="AO59" s="101"/>
      <c r="AP59" s="101"/>
      <c r="AQ59" s="101"/>
      <c r="AR59" s="101"/>
      <c r="AS59" s="101"/>
      <c r="AT59" s="101"/>
      <c r="AU59" s="102"/>
    </row>
    <row r="60" spans="3:47" x14ac:dyDescent="0.3">
      <c r="C60" s="100"/>
      <c r="D60" s="101" t="s">
        <v>298</v>
      </c>
      <c r="E60" s="101"/>
      <c r="F60" s="101"/>
      <c r="G60" s="101"/>
      <c r="H60" s="101"/>
      <c r="I60" s="101"/>
      <c r="J60" s="101"/>
      <c r="K60" s="101"/>
      <c r="L60" s="101"/>
      <c r="M60" s="101"/>
      <c r="N60" s="101"/>
      <c r="O60" s="101"/>
      <c r="P60" s="101"/>
      <c r="Q60" s="101"/>
      <c r="R60" s="101"/>
      <c r="S60" s="101"/>
      <c r="T60" s="101"/>
      <c r="U60" s="101"/>
      <c r="V60" s="101"/>
      <c r="W60" s="101"/>
      <c r="X60" s="101"/>
      <c r="Y60" s="101"/>
      <c r="Z60" s="101"/>
      <c r="AA60" s="101"/>
      <c r="AB60" s="101"/>
      <c r="AC60" s="101"/>
      <c r="AD60" s="101"/>
      <c r="AE60" s="101"/>
      <c r="AF60" s="101"/>
      <c r="AG60" s="101"/>
      <c r="AH60" s="101"/>
      <c r="AI60" s="101"/>
      <c r="AJ60" s="101"/>
      <c r="AK60" s="101"/>
      <c r="AL60" s="101"/>
      <c r="AM60" s="101"/>
      <c r="AN60" s="101"/>
      <c r="AO60" s="101"/>
      <c r="AP60" s="101"/>
      <c r="AQ60" s="101"/>
      <c r="AR60" s="101"/>
      <c r="AS60" s="101"/>
      <c r="AT60" s="101"/>
      <c r="AU60" s="102"/>
    </row>
    <row r="61" spans="3:47" x14ac:dyDescent="0.3">
      <c r="C61" s="100"/>
      <c r="D61" s="110"/>
      <c r="E61" s="110"/>
      <c r="F61" s="110"/>
      <c r="G61" s="110"/>
      <c r="H61" s="110"/>
      <c r="I61" s="110"/>
      <c r="J61" s="110"/>
      <c r="K61" s="110"/>
      <c r="L61" s="110"/>
      <c r="M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02"/>
    </row>
    <row r="62" spans="3:47" x14ac:dyDescent="0.3">
      <c r="C62" s="100"/>
      <c r="D62" s="110"/>
      <c r="E62" s="110"/>
      <c r="F62" s="110"/>
      <c r="G62" s="110"/>
      <c r="H62" s="110"/>
      <c r="I62" s="110"/>
      <c r="J62" s="110"/>
      <c r="K62" s="110"/>
      <c r="L62" s="110"/>
      <c r="M62" s="110"/>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02"/>
    </row>
    <row r="63" spans="3:47" x14ac:dyDescent="0.3">
      <c r="C63" s="100"/>
      <c r="D63" s="110"/>
      <c r="E63" s="110"/>
      <c r="F63" s="110"/>
      <c r="G63" s="110"/>
      <c r="H63" s="110"/>
      <c r="I63" s="110"/>
      <c r="J63" s="110"/>
      <c r="K63" s="110"/>
      <c r="L63" s="110"/>
      <c r="M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02"/>
    </row>
    <row r="64" spans="3:47" x14ac:dyDescent="0.3">
      <c r="C64" s="100"/>
      <c r="D64" s="110"/>
      <c r="E64" s="110"/>
      <c r="F64" s="110"/>
      <c r="G64" s="110"/>
      <c r="H64" s="110"/>
      <c r="I64" s="110"/>
      <c r="J64" s="110"/>
      <c r="K64" s="110"/>
      <c r="L64" s="110"/>
      <c r="M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02"/>
    </row>
    <row r="65" spans="3:47" x14ac:dyDescent="0.3">
      <c r="C65" s="100"/>
      <c r="D65" s="110"/>
      <c r="E65" s="110"/>
      <c r="F65" s="110"/>
      <c r="G65" s="110"/>
      <c r="H65" s="110"/>
      <c r="I65" s="110"/>
      <c r="J65" s="110"/>
      <c r="K65" s="110"/>
      <c r="L65" s="110"/>
      <c r="M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02"/>
    </row>
    <row r="66" spans="3:47" x14ac:dyDescent="0.3">
      <c r="C66" s="100"/>
      <c r="D66" s="110"/>
      <c r="E66" s="110"/>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02"/>
    </row>
    <row r="67" spans="3:47" x14ac:dyDescent="0.3">
      <c r="C67" s="100"/>
      <c r="D67" s="103"/>
      <c r="E67" s="110"/>
      <c r="F67" s="110"/>
      <c r="G67" s="110"/>
      <c r="H67" s="110"/>
      <c r="I67" s="110"/>
      <c r="J67" s="110"/>
      <c r="K67" s="110"/>
      <c r="L67" s="110"/>
      <c r="M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02"/>
    </row>
    <row r="68" spans="3:47" x14ac:dyDescent="0.3">
      <c r="C68" s="100"/>
      <c r="D68" s="101" t="s">
        <v>299</v>
      </c>
      <c r="E68" s="101"/>
      <c r="F68" s="101"/>
      <c r="G68" s="101"/>
      <c r="H68" s="101"/>
      <c r="I68" s="101"/>
      <c r="J68" s="101"/>
      <c r="K68" s="101"/>
      <c r="L68" s="101"/>
      <c r="M68" s="101"/>
      <c r="N68" s="101"/>
      <c r="O68" s="101"/>
      <c r="P68" s="101"/>
      <c r="Q68" s="101"/>
      <c r="R68" s="101"/>
      <c r="S68" s="101"/>
      <c r="T68" s="101"/>
      <c r="U68" s="101"/>
      <c r="V68" s="101"/>
      <c r="W68" s="101"/>
      <c r="X68" s="101"/>
      <c r="Y68" s="101"/>
      <c r="Z68" s="101"/>
      <c r="AA68" s="101"/>
      <c r="AB68" s="101"/>
      <c r="AC68" s="101"/>
      <c r="AD68" s="101"/>
      <c r="AE68" s="101"/>
      <c r="AF68" s="101"/>
      <c r="AG68" s="101"/>
      <c r="AH68" s="101"/>
      <c r="AI68" s="101"/>
      <c r="AJ68" s="101"/>
      <c r="AK68" s="101"/>
      <c r="AL68" s="101"/>
      <c r="AM68" s="101"/>
      <c r="AN68" s="101"/>
      <c r="AO68" s="101"/>
      <c r="AP68" s="101"/>
      <c r="AQ68" s="101"/>
      <c r="AR68" s="101"/>
      <c r="AS68" s="101"/>
      <c r="AT68" s="101"/>
      <c r="AU68" s="102"/>
    </row>
    <row r="69" spans="3:47" x14ac:dyDescent="0.3">
      <c r="C69" s="100"/>
      <c r="D69" s="103" t="s">
        <v>194</v>
      </c>
      <c r="E69" s="101" t="s">
        <v>231</v>
      </c>
      <c r="F69" s="101"/>
      <c r="G69" s="101"/>
      <c r="H69" s="101"/>
      <c r="I69" s="101"/>
      <c r="J69" s="101"/>
      <c r="K69" s="101"/>
      <c r="L69" s="101"/>
      <c r="M69" s="101"/>
      <c r="N69" s="101"/>
      <c r="O69" s="101"/>
      <c r="P69" s="101"/>
      <c r="Q69" s="101"/>
      <c r="R69" s="101"/>
      <c r="S69" s="101"/>
      <c r="T69" s="101"/>
      <c r="U69" s="101"/>
      <c r="V69" s="101"/>
      <c r="W69" s="101"/>
      <c r="X69" s="101"/>
      <c r="Y69" s="101"/>
      <c r="Z69" s="101"/>
      <c r="AA69" s="101"/>
      <c r="AB69" s="101"/>
      <c r="AC69" s="101"/>
      <c r="AD69" s="101"/>
      <c r="AE69" s="101"/>
      <c r="AF69" s="101"/>
      <c r="AG69" s="101"/>
      <c r="AH69" s="101"/>
      <c r="AI69" s="101"/>
      <c r="AJ69" s="101"/>
      <c r="AK69" s="101"/>
      <c r="AL69" s="101"/>
      <c r="AM69" s="101"/>
      <c r="AN69" s="101"/>
      <c r="AO69" s="101"/>
      <c r="AP69" s="101"/>
      <c r="AQ69" s="101"/>
      <c r="AR69" s="101"/>
      <c r="AS69" s="101"/>
      <c r="AT69" s="101"/>
      <c r="AU69" s="102"/>
    </row>
    <row r="70" spans="3:47" x14ac:dyDescent="0.3">
      <c r="C70" s="100"/>
      <c r="D70" s="103" t="s">
        <v>194</v>
      </c>
      <c r="E70" s="101" t="s">
        <v>232</v>
      </c>
      <c r="F70" s="101"/>
      <c r="G70" s="101"/>
      <c r="H70" s="101"/>
      <c r="I70" s="101"/>
      <c r="J70" s="101"/>
      <c r="K70" s="101"/>
      <c r="L70" s="101"/>
      <c r="M70" s="101"/>
      <c r="N70" s="101"/>
      <c r="O70" s="101"/>
      <c r="P70" s="101"/>
      <c r="Q70" s="101"/>
      <c r="R70" s="101"/>
      <c r="S70" s="101"/>
      <c r="T70" s="101"/>
      <c r="U70" s="101"/>
      <c r="V70" s="101"/>
      <c r="W70" s="101"/>
      <c r="X70" s="101"/>
      <c r="Y70" s="101"/>
      <c r="Z70" s="101"/>
      <c r="AA70" s="101"/>
      <c r="AB70" s="101"/>
      <c r="AC70" s="101"/>
      <c r="AD70" s="101"/>
      <c r="AE70" s="101"/>
      <c r="AF70" s="101"/>
      <c r="AG70" s="101"/>
      <c r="AH70" s="101"/>
      <c r="AI70" s="101"/>
      <c r="AJ70" s="101"/>
      <c r="AK70" s="101"/>
      <c r="AL70" s="101"/>
      <c r="AM70" s="101"/>
      <c r="AN70" s="101"/>
      <c r="AO70" s="101"/>
      <c r="AP70" s="101"/>
      <c r="AQ70" s="101"/>
      <c r="AR70" s="101"/>
      <c r="AS70" s="101"/>
      <c r="AT70" s="101"/>
      <c r="AU70" s="102"/>
    </row>
    <row r="71" spans="3:47" x14ac:dyDescent="0.3">
      <c r="C71" s="100"/>
      <c r="D71" s="101" t="s">
        <v>298</v>
      </c>
      <c r="E71" s="101"/>
      <c r="F71" s="101"/>
      <c r="G71" s="101"/>
      <c r="H71" s="101"/>
      <c r="I71" s="101"/>
      <c r="J71" s="101"/>
      <c r="K71" s="101"/>
      <c r="L71" s="101"/>
      <c r="M71" s="101"/>
      <c r="N71" s="101"/>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01"/>
      <c r="AL71" s="101"/>
      <c r="AM71" s="101"/>
      <c r="AN71" s="101"/>
      <c r="AO71" s="101"/>
      <c r="AP71" s="101"/>
      <c r="AQ71" s="101"/>
      <c r="AR71" s="101"/>
      <c r="AS71" s="101"/>
      <c r="AT71" s="101"/>
      <c r="AU71" s="102"/>
    </row>
    <row r="72" spans="3:47" x14ac:dyDescent="0.3">
      <c r="C72" s="100"/>
      <c r="D72" s="104"/>
      <c r="E72" s="104"/>
      <c r="F72" s="104"/>
      <c r="G72" s="104"/>
      <c r="H72" s="104"/>
      <c r="I72" s="104"/>
      <c r="J72" s="104"/>
      <c r="K72" s="104"/>
      <c r="L72" s="104"/>
      <c r="M72" s="104"/>
      <c r="N72" s="104"/>
      <c r="O72" s="104"/>
      <c r="P72" s="104"/>
      <c r="Q72" s="104"/>
      <c r="R72" s="104"/>
      <c r="S72" s="104"/>
      <c r="T72" s="104"/>
      <c r="U72" s="104"/>
      <c r="V72" s="104"/>
      <c r="W72" s="104"/>
      <c r="X72" s="104"/>
      <c r="Y72" s="104"/>
      <c r="Z72" s="104"/>
      <c r="AA72" s="104"/>
      <c r="AB72" s="104"/>
      <c r="AC72" s="104"/>
      <c r="AD72" s="104"/>
      <c r="AE72" s="104"/>
      <c r="AF72" s="104"/>
      <c r="AG72" s="104"/>
      <c r="AH72" s="104"/>
      <c r="AI72" s="104"/>
      <c r="AJ72" s="104"/>
      <c r="AK72" s="104"/>
      <c r="AL72" s="104"/>
      <c r="AM72" s="104"/>
      <c r="AN72" s="104"/>
      <c r="AO72" s="104"/>
      <c r="AP72" s="104"/>
      <c r="AQ72" s="104"/>
      <c r="AR72" s="104"/>
      <c r="AS72" s="104"/>
      <c r="AT72" s="104"/>
      <c r="AU72" s="102"/>
    </row>
    <row r="73" spans="3:47" x14ac:dyDescent="0.3">
      <c r="C73" s="100"/>
      <c r="D73" s="104"/>
      <c r="E73" s="104"/>
      <c r="F73" s="104"/>
      <c r="G73" s="104"/>
      <c r="H73" s="104"/>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c r="AM73" s="104"/>
      <c r="AN73" s="104"/>
      <c r="AO73" s="104"/>
      <c r="AP73" s="104"/>
      <c r="AQ73" s="104"/>
      <c r="AR73" s="104"/>
      <c r="AS73" s="104"/>
      <c r="AT73" s="104"/>
      <c r="AU73" s="102"/>
    </row>
    <row r="74" spans="3:47" x14ac:dyDescent="0.3">
      <c r="C74" s="100"/>
      <c r="D74" s="104"/>
      <c r="E74" s="104"/>
      <c r="F74" s="104"/>
      <c r="G74" s="104"/>
      <c r="H74" s="104"/>
      <c r="I74" s="104"/>
      <c r="J74" s="104"/>
      <c r="K74" s="104"/>
      <c r="L74" s="104"/>
      <c r="M74" s="104"/>
      <c r="N74" s="104"/>
      <c r="O74" s="104"/>
      <c r="P74" s="104"/>
      <c r="Q74" s="104"/>
      <c r="R74" s="104"/>
      <c r="S74" s="104"/>
      <c r="T74" s="104"/>
      <c r="U74" s="104"/>
      <c r="V74" s="104"/>
      <c r="W74" s="104"/>
      <c r="X74" s="104"/>
      <c r="Y74" s="104"/>
      <c r="Z74" s="104"/>
      <c r="AA74" s="104"/>
      <c r="AB74" s="104"/>
      <c r="AC74" s="104"/>
      <c r="AD74" s="104"/>
      <c r="AE74" s="104"/>
      <c r="AF74" s="104"/>
      <c r="AG74" s="104"/>
      <c r="AH74" s="104"/>
      <c r="AI74" s="104"/>
      <c r="AJ74" s="104"/>
      <c r="AK74" s="104"/>
      <c r="AL74" s="104"/>
      <c r="AM74" s="104"/>
      <c r="AN74" s="104"/>
      <c r="AO74" s="104"/>
      <c r="AP74" s="104"/>
      <c r="AQ74" s="104"/>
      <c r="AR74" s="104"/>
      <c r="AS74" s="104"/>
      <c r="AT74" s="104"/>
      <c r="AU74" s="102"/>
    </row>
    <row r="75" spans="3:47" x14ac:dyDescent="0.3">
      <c r="C75" s="100"/>
      <c r="D75" s="104"/>
      <c r="E75" s="104"/>
      <c r="F75" s="104"/>
      <c r="G75" s="104"/>
      <c r="H75" s="104"/>
      <c r="I75" s="104"/>
      <c r="J75" s="104"/>
      <c r="K75" s="104"/>
      <c r="L75" s="104"/>
      <c r="M75" s="104"/>
      <c r="N75" s="104"/>
      <c r="O75" s="104"/>
      <c r="P75" s="104"/>
      <c r="Q75" s="104"/>
      <c r="R75" s="104"/>
      <c r="S75" s="104"/>
      <c r="T75" s="104"/>
      <c r="U75" s="104"/>
      <c r="V75" s="104"/>
      <c r="W75" s="104"/>
      <c r="X75" s="104"/>
      <c r="Y75" s="104"/>
      <c r="Z75" s="104"/>
      <c r="AA75" s="104"/>
      <c r="AB75" s="104"/>
      <c r="AC75" s="104"/>
      <c r="AD75" s="104"/>
      <c r="AE75" s="104"/>
      <c r="AF75" s="104"/>
      <c r="AG75" s="104"/>
      <c r="AH75" s="104"/>
      <c r="AI75" s="104"/>
      <c r="AJ75" s="104"/>
      <c r="AK75" s="104"/>
      <c r="AL75" s="104"/>
      <c r="AM75" s="104"/>
      <c r="AN75" s="104"/>
      <c r="AO75" s="104"/>
      <c r="AP75" s="104"/>
      <c r="AQ75" s="104"/>
      <c r="AR75" s="104"/>
      <c r="AS75" s="104"/>
      <c r="AT75" s="104"/>
      <c r="AU75" s="102"/>
    </row>
    <row r="76" spans="3:47" x14ac:dyDescent="0.3">
      <c r="C76" s="100"/>
      <c r="D76" s="104"/>
      <c r="E76" s="104"/>
      <c r="F76" s="104"/>
      <c r="G76" s="104"/>
      <c r="H76" s="104"/>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c r="AM76" s="104"/>
      <c r="AN76" s="104"/>
      <c r="AO76" s="104"/>
      <c r="AP76" s="104"/>
      <c r="AQ76" s="104"/>
      <c r="AR76" s="104"/>
      <c r="AS76" s="104"/>
      <c r="AT76" s="104"/>
      <c r="AU76" s="102"/>
    </row>
    <row r="77" spans="3:47" x14ac:dyDescent="0.3">
      <c r="C77" s="100"/>
      <c r="D77" s="104"/>
      <c r="E77" s="104"/>
      <c r="F77" s="104"/>
      <c r="G77" s="104"/>
      <c r="H77" s="104"/>
      <c r="I77" s="104"/>
      <c r="J77" s="104"/>
      <c r="K77" s="104"/>
      <c r="L77" s="104"/>
      <c r="M77" s="104"/>
      <c r="N77" s="104"/>
      <c r="O77" s="10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c r="AM77" s="104"/>
      <c r="AN77" s="104"/>
      <c r="AO77" s="104"/>
      <c r="AP77" s="104"/>
      <c r="AQ77" s="104"/>
      <c r="AR77" s="104"/>
      <c r="AS77" s="104"/>
      <c r="AT77" s="104"/>
      <c r="AU77" s="102"/>
    </row>
    <row r="78" spans="3:47" x14ac:dyDescent="0.3">
      <c r="C78" s="100"/>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4"/>
      <c r="AB78" s="104"/>
      <c r="AC78" s="104"/>
      <c r="AD78" s="104"/>
      <c r="AE78" s="104"/>
      <c r="AF78" s="104"/>
      <c r="AG78" s="104"/>
      <c r="AH78" s="104"/>
      <c r="AI78" s="104"/>
      <c r="AJ78" s="104"/>
      <c r="AK78" s="104"/>
      <c r="AL78" s="104"/>
      <c r="AM78" s="104"/>
      <c r="AN78" s="104"/>
      <c r="AO78" s="104"/>
      <c r="AP78" s="104"/>
      <c r="AQ78" s="104"/>
      <c r="AR78" s="104"/>
      <c r="AS78" s="104"/>
      <c r="AT78" s="104"/>
      <c r="AU78" s="102"/>
    </row>
    <row r="79" spans="3:47" x14ac:dyDescent="0.3">
      <c r="C79" s="100"/>
      <c r="D79" s="101" t="s">
        <v>233</v>
      </c>
      <c r="E79" s="101"/>
      <c r="F79" s="101"/>
      <c r="G79" s="101"/>
      <c r="H79" s="101"/>
      <c r="I79" s="101"/>
      <c r="J79" s="101"/>
      <c r="K79" s="101"/>
      <c r="L79" s="101"/>
      <c r="M79" s="101"/>
      <c r="N79" s="101"/>
      <c r="O79" s="101"/>
      <c r="P79" s="101"/>
      <c r="Q79" s="101"/>
      <c r="R79" s="101"/>
      <c r="S79" s="101"/>
      <c r="T79" s="101"/>
      <c r="U79" s="101"/>
      <c r="V79" s="101"/>
      <c r="W79" s="101"/>
      <c r="X79" s="101"/>
      <c r="Y79" s="101"/>
      <c r="Z79" s="101"/>
      <c r="AA79" s="101"/>
      <c r="AB79" s="101"/>
      <c r="AC79" s="101"/>
      <c r="AD79" s="101"/>
      <c r="AE79" s="101"/>
      <c r="AF79" s="101"/>
      <c r="AG79" s="101"/>
      <c r="AH79" s="101"/>
      <c r="AI79" s="101"/>
      <c r="AJ79" s="101"/>
      <c r="AK79" s="101"/>
      <c r="AL79" s="101"/>
      <c r="AM79" s="101"/>
      <c r="AN79" s="101"/>
      <c r="AO79" s="101"/>
      <c r="AP79" s="101"/>
      <c r="AQ79" s="101"/>
      <c r="AR79" s="101"/>
      <c r="AS79" s="101"/>
      <c r="AT79" s="101"/>
      <c r="AU79" s="102"/>
    </row>
    <row r="80" spans="3:47" x14ac:dyDescent="0.3">
      <c r="C80" s="100"/>
      <c r="D80" s="104"/>
      <c r="E80" s="104"/>
      <c r="F80" s="104"/>
      <c r="G80" s="104"/>
      <c r="H80" s="104"/>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c r="AM80" s="104"/>
      <c r="AN80" s="104"/>
      <c r="AO80" s="104"/>
      <c r="AP80" s="104"/>
      <c r="AQ80" s="104"/>
      <c r="AR80" s="104"/>
      <c r="AS80" s="104"/>
      <c r="AT80" s="104"/>
      <c r="AU80" s="102"/>
    </row>
    <row r="81" spans="3:47" x14ac:dyDescent="0.3">
      <c r="C81" s="100"/>
      <c r="D81" s="104"/>
      <c r="E81" s="30" t="s">
        <v>7</v>
      </c>
      <c r="F81" s="30"/>
      <c r="G81" s="31" t="s">
        <v>8</v>
      </c>
      <c r="H81" s="31"/>
      <c r="I81" s="30" t="s">
        <v>9</v>
      </c>
      <c r="J81" s="30"/>
      <c r="K81" s="30" t="s">
        <v>111</v>
      </c>
      <c r="L81" s="30"/>
      <c r="M81" s="30" t="s">
        <v>1</v>
      </c>
      <c r="N81" s="30"/>
      <c r="O81" s="30" t="s">
        <v>112</v>
      </c>
      <c r="P81" s="30"/>
      <c r="Q81" s="30"/>
      <c r="R81" s="30" t="s">
        <v>113</v>
      </c>
      <c r="S81" s="30"/>
      <c r="T81" s="30" t="s">
        <v>114</v>
      </c>
      <c r="U81" s="30"/>
      <c r="V81" s="30" t="s">
        <v>115</v>
      </c>
      <c r="W81" s="30"/>
      <c r="X81" s="30"/>
      <c r="Y81" s="30" t="s">
        <v>116</v>
      </c>
      <c r="Z81" s="30"/>
      <c r="AA81" s="30" t="s">
        <v>117</v>
      </c>
      <c r="AB81" s="30"/>
      <c r="AC81" s="30"/>
      <c r="AD81" s="30" t="s">
        <v>118</v>
      </c>
      <c r="AE81" s="30"/>
      <c r="AF81" s="30"/>
      <c r="AG81" s="104"/>
      <c r="AH81" s="104"/>
      <c r="AI81" s="104"/>
      <c r="AJ81" s="104"/>
      <c r="AK81" s="104"/>
      <c r="AL81" s="104"/>
      <c r="AM81" s="104"/>
      <c r="AN81" s="104"/>
      <c r="AO81" s="104"/>
      <c r="AP81" s="104"/>
      <c r="AQ81" s="104"/>
      <c r="AR81" s="104"/>
      <c r="AS81" s="104"/>
      <c r="AT81" s="104"/>
      <c r="AU81" s="102"/>
    </row>
    <row r="82" spans="3:47" x14ac:dyDescent="0.3">
      <c r="C82" s="100"/>
      <c r="D82" s="104"/>
      <c r="E82" s="32"/>
      <c r="F82" s="33"/>
      <c r="G82" s="34">
        <v>1</v>
      </c>
      <c r="H82" s="35"/>
      <c r="I82" s="35">
        <v>3</v>
      </c>
      <c r="J82" s="35"/>
      <c r="K82" s="35">
        <v>1E-8</v>
      </c>
      <c r="L82" s="35"/>
      <c r="M82" s="35">
        <v>1000000000</v>
      </c>
      <c r="N82" s="35"/>
      <c r="O82" s="35">
        <v>1</v>
      </c>
      <c r="P82" s="35"/>
      <c r="Q82" s="35"/>
      <c r="R82" s="35">
        <v>1</v>
      </c>
      <c r="S82" s="35"/>
      <c r="T82" s="35">
        <v>0</v>
      </c>
      <c r="U82" s="35"/>
      <c r="V82" s="35">
        <v>0</v>
      </c>
      <c r="W82" s="35"/>
      <c r="X82" s="35"/>
      <c r="Y82" s="35">
        <v>100</v>
      </c>
      <c r="Z82" s="35"/>
      <c r="AA82" s="35">
        <v>0</v>
      </c>
      <c r="AB82" s="35"/>
      <c r="AC82" s="35"/>
      <c r="AD82" s="35">
        <v>7.4999999999999997E-2</v>
      </c>
      <c r="AE82" s="35"/>
      <c r="AF82" s="36"/>
      <c r="AG82" s="104"/>
      <c r="AH82" s="104"/>
      <c r="AI82" s="104"/>
      <c r="AJ82" s="104"/>
      <c r="AK82" s="104"/>
      <c r="AL82" s="104"/>
      <c r="AM82" s="104"/>
      <c r="AN82" s="104"/>
      <c r="AO82" s="104"/>
      <c r="AP82" s="104"/>
      <c r="AQ82" s="104"/>
      <c r="AR82" s="104"/>
      <c r="AS82" s="104"/>
      <c r="AT82" s="104"/>
      <c r="AU82" s="102"/>
    </row>
    <row r="83" spans="3:47" ht="25" thickBot="1" x14ac:dyDescent="0.35">
      <c r="C83" s="105"/>
      <c r="D83" s="106"/>
      <c r="E83" s="106"/>
      <c r="F83" s="106"/>
      <c r="G83" s="106"/>
      <c r="H83" s="106"/>
      <c r="I83" s="106"/>
      <c r="J83" s="106"/>
      <c r="K83" s="106"/>
      <c r="L83" s="106"/>
      <c r="M83" s="106"/>
      <c r="N83" s="106"/>
      <c r="O83" s="106"/>
      <c r="P83" s="106"/>
      <c r="Q83" s="106"/>
      <c r="R83" s="106"/>
      <c r="S83" s="106"/>
      <c r="T83" s="106"/>
      <c r="U83" s="106"/>
      <c r="V83" s="106"/>
      <c r="W83" s="106"/>
      <c r="X83" s="106"/>
      <c r="Y83" s="106"/>
      <c r="Z83" s="106"/>
      <c r="AA83" s="106"/>
      <c r="AB83" s="106"/>
      <c r="AC83" s="106"/>
      <c r="AD83" s="106"/>
      <c r="AE83" s="106"/>
      <c r="AF83" s="106"/>
      <c r="AG83" s="106"/>
      <c r="AH83" s="106"/>
      <c r="AI83" s="106"/>
      <c r="AJ83" s="106"/>
      <c r="AK83" s="106"/>
      <c r="AL83" s="106"/>
      <c r="AM83" s="106"/>
      <c r="AN83" s="106"/>
      <c r="AO83" s="106"/>
      <c r="AP83" s="106"/>
      <c r="AQ83" s="106"/>
      <c r="AR83" s="106"/>
      <c r="AS83" s="106"/>
      <c r="AT83" s="106"/>
      <c r="AU83" s="107"/>
    </row>
    <row r="85" spans="3:47" x14ac:dyDescent="0.3">
      <c r="C85" s="96"/>
      <c r="D85" s="97"/>
      <c r="E85" s="97"/>
      <c r="F85" s="97"/>
      <c r="G85" s="97"/>
      <c r="H85" s="97"/>
      <c r="I85" s="97"/>
      <c r="J85" s="97"/>
      <c r="K85" s="97"/>
      <c r="L85" s="97"/>
      <c r="M85" s="97"/>
      <c r="N85" s="97"/>
      <c r="O85" s="97"/>
      <c r="P85" s="97"/>
      <c r="Q85" s="97"/>
      <c r="R85" s="97"/>
      <c r="S85" s="97"/>
      <c r="T85" s="97"/>
      <c r="U85" s="97"/>
      <c r="V85" s="97"/>
      <c r="W85" s="97"/>
      <c r="X85" s="97"/>
      <c r="Y85" s="97"/>
      <c r="Z85" s="97"/>
      <c r="AA85" s="97"/>
      <c r="AB85" s="97"/>
      <c r="AC85" s="97"/>
      <c r="AD85" s="97"/>
      <c r="AE85" s="97"/>
      <c r="AF85" s="97"/>
      <c r="AG85" s="97"/>
      <c r="AH85" s="97"/>
      <c r="AI85" s="97"/>
      <c r="AJ85" s="97"/>
      <c r="AK85" s="97"/>
      <c r="AL85" s="97"/>
      <c r="AM85" s="97"/>
      <c r="AN85" s="97"/>
      <c r="AO85" s="97"/>
      <c r="AP85" s="97"/>
      <c r="AQ85" s="97"/>
      <c r="AR85" s="97"/>
      <c r="AS85" s="97"/>
      <c r="AT85" s="97"/>
      <c r="AU85" s="98"/>
    </row>
    <row r="86" spans="3:47" x14ac:dyDescent="0.3">
      <c r="C86" s="100"/>
      <c r="D86" s="108" t="s">
        <v>234</v>
      </c>
      <c r="E86" s="108"/>
      <c r="F86" s="108"/>
      <c r="G86" s="108"/>
      <c r="H86" s="108"/>
      <c r="I86" s="108"/>
      <c r="J86" s="108"/>
      <c r="K86" s="108"/>
      <c r="L86" s="108"/>
      <c r="M86" s="108"/>
      <c r="N86" s="108"/>
      <c r="O86" s="108"/>
      <c r="P86" s="108"/>
      <c r="Q86" s="108"/>
      <c r="R86" s="108"/>
      <c r="S86" s="108"/>
      <c r="T86" s="108"/>
      <c r="U86" s="108"/>
      <c r="V86" s="108"/>
      <c r="W86" s="108"/>
      <c r="X86" s="108"/>
      <c r="Y86" s="108"/>
      <c r="Z86" s="108"/>
      <c r="AA86" s="108"/>
      <c r="AB86" s="108"/>
      <c r="AC86" s="108"/>
      <c r="AD86" s="108"/>
      <c r="AE86" s="108"/>
      <c r="AF86" s="108"/>
      <c r="AG86" s="108"/>
      <c r="AH86" s="108"/>
      <c r="AI86" s="108"/>
      <c r="AJ86" s="108"/>
      <c r="AK86" s="108"/>
      <c r="AL86" s="108"/>
      <c r="AM86" s="108"/>
      <c r="AN86" s="108"/>
      <c r="AO86" s="108"/>
      <c r="AP86" s="108"/>
      <c r="AQ86" s="108"/>
      <c r="AR86" s="108"/>
      <c r="AS86" s="108"/>
      <c r="AT86" s="108"/>
      <c r="AU86" s="102"/>
    </row>
    <row r="87" spans="3:47" x14ac:dyDescent="0.3">
      <c r="C87" s="100"/>
      <c r="D87" s="101" t="s">
        <v>300</v>
      </c>
      <c r="E87" s="101"/>
      <c r="F87" s="101"/>
      <c r="G87" s="101"/>
      <c r="H87" s="101"/>
      <c r="I87" s="101"/>
      <c r="J87" s="101"/>
      <c r="K87" s="101"/>
      <c r="L87" s="101"/>
      <c r="M87" s="101"/>
      <c r="N87" s="101"/>
      <c r="O87" s="101"/>
      <c r="P87" s="101"/>
      <c r="Q87" s="101"/>
      <c r="R87" s="101"/>
      <c r="S87" s="101"/>
      <c r="T87" s="101"/>
      <c r="U87" s="101"/>
      <c r="V87" s="101"/>
      <c r="W87" s="101"/>
      <c r="X87" s="101"/>
      <c r="Y87" s="101"/>
      <c r="Z87" s="101"/>
      <c r="AA87" s="101"/>
      <c r="AB87" s="101"/>
      <c r="AC87" s="101"/>
      <c r="AD87" s="101"/>
      <c r="AE87" s="101"/>
      <c r="AF87" s="101"/>
      <c r="AG87" s="101"/>
      <c r="AH87" s="101"/>
      <c r="AI87" s="101"/>
      <c r="AJ87" s="101"/>
      <c r="AK87" s="101"/>
      <c r="AL87" s="101"/>
      <c r="AM87" s="101"/>
      <c r="AN87" s="101"/>
      <c r="AO87" s="101"/>
      <c r="AP87" s="101"/>
      <c r="AQ87" s="101"/>
      <c r="AR87" s="101"/>
      <c r="AS87" s="101"/>
      <c r="AT87" s="101"/>
      <c r="AU87" s="102"/>
    </row>
    <row r="88" spans="3:47" x14ac:dyDescent="0.3">
      <c r="C88" s="100"/>
      <c r="D88" s="101" t="s">
        <v>241</v>
      </c>
      <c r="E88" s="101"/>
      <c r="F88" s="101"/>
      <c r="G88" s="101"/>
      <c r="H88" s="101"/>
      <c r="I88" s="101"/>
      <c r="J88" s="101"/>
      <c r="K88" s="101"/>
      <c r="L88" s="101"/>
      <c r="M88" s="101"/>
      <c r="N88" s="101"/>
      <c r="O88" s="101"/>
      <c r="P88" s="101"/>
      <c r="Q88" s="101"/>
      <c r="R88" s="101"/>
      <c r="S88" s="101"/>
      <c r="T88" s="101"/>
      <c r="U88" s="101"/>
      <c r="V88" s="101"/>
      <c r="W88" s="101"/>
      <c r="X88" s="101"/>
      <c r="Y88" s="101"/>
      <c r="Z88" s="101"/>
      <c r="AA88" s="101"/>
      <c r="AB88" s="101"/>
      <c r="AC88" s="101"/>
      <c r="AD88" s="101"/>
      <c r="AE88" s="101"/>
      <c r="AF88" s="101"/>
      <c r="AG88" s="101"/>
      <c r="AH88" s="101"/>
      <c r="AI88" s="101"/>
      <c r="AJ88" s="101"/>
      <c r="AK88" s="101"/>
      <c r="AL88" s="101"/>
      <c r="AM88" s="101"/>
      <c r="AN88" s="101"/>
      <c r="AO88" s="101"/>
      <c r="AP88" s="101"/>
      <c r="AQ88" s="101"/>
      <c r="AR88" s="101"/>
      <c r="AS88" s="101"/>
      <c r="AT88" s="101"/>
      <c r="AU88" s="102"/>
    </row>
    <row r="89" spans="3:47" x14ac:dyDescent="0.3">
      <c r="C89" s="100"/>
      <c r="D89" s="109" t="s">
        <v>242</v>
      </c>
      <c r="E89" s="109"/>
      <c r="F89" s="109"/>
      <c r="G89" s="109"/>
      <c r="H89" s="109"/>
      <c r="I89" s="101" t="s">
        <v>243</v>
      </c>
      <c r="J89" s="101"/>
      <c r="K89" s="101"/>
      <c r="L89" s="101"/>
      <c r="M89" s="101"/>
      <c r="N89" s="101"/>
      <c r="O89" s="101"/>
      <c r="P89" s="101"/>
      <c r="Q89" s="101"/>
      <c r="R89" s="101"/>
      <c r="S89" s="101"/>
      <c r="T89" s="101"/>
      <c r="U89" s="101"/>
      <c r="V89" s="101"/>
      <c r="W89" s="101"/>
      <c r="X89" s="101"/>
      <c r="Y89" s="101"/>
      <c r="Z89" s="101"/>
      <c r="AA89" s="101"/>
      <c r="AB89" s="101"/>
      <c r="AC89" s="101"/>
      <c r="AD89" s="101"/>
      <c r="AE89" s="101"/>
      <c r="AF89" s="101"/>
      <c r="AG89" s="101"/>
      <c r="AH89" s="101"/>
      <c r="AI89" s="101"/>
      <c r="AJ89" s="101"/>
      <c r="AK89" s="101"/>
      <c r="AL89" s="101"/>
      <c r="AM89" s="101"/>
      <c r="AN89" s="101"/>
      <c r="AO89" s="101"/>
      <c r="AP89" s="101"/>
      <c r="AQ89" s="101"/>
      <c r="AR89" s="101"/>
      <c r="AS89" s="101"/>
      <c r="AT89" s="101"/>
      <c r="AU89" s="102"/>
    </row>
    <row r="90" spans="3:47" x14ac:dyDescent="0.3">
      <c r="C90" s="100"/>
      <c r="D90" s="109" t="s">
        <v>245</v>
      </c>
      <c r="E90" s="109"/>
      <c r="F90" s="109"/>
      <c r="G90" s="109"/>
      <c r="H90" s="109"/>
      <c r="I90" s="101" t="s">
        <v>244</v>
      </c>
      <c r="J90" s="101"/>
      <c r="K90" s="101"/>
      <c r="L90" s="101"/>
      <c r="M90" s="101"/>
      <c r="N90" s="101"/>
      <c r="O90" s="101"/>
      <c r="P90" s="101"/>
      <c r="Q90" s="101"/>
      <c r="R90" s="101"/>
      <c r="S90" s="101"/>
      <c r="T90" s="101"/>
      <c r="U90" s="101"/>
      <c r="V90" s="101"/>
      <c r="W90" s="101"/>
      <c r="X90" s="101"/>
      <c r="Y90" s="101"/>
      <c r="Z90" s="101"/>
      <c r="AA90" s="101"/>
      <c r="AB90" s="101"/>
      <c r="AC90" s="101"/>
      <c r="AD90" s="101"/>
      <c r="AE90" s="101"/>
      <c r="AF90" s="101"/>
      <c r="AG90" s="101"/>
      <c r="AH90" s="101"/>
      <c r="AI90" s="101"/>
      <c r="AJ90" s="101"/>
      <c r="AK90" s="101"/>
      <c r="AL90" s="101"/>
      <c r="AM90" s="101"/>
      <c r="AN90" s="101"/>
      <c r="AO90" s="101"/>
      <c r="AP90" s="101"/>
      <c r="AQ90" s="101"/>
      <c r="AR90" s="101"/>
      <c r="AS90" s="101"/>
      <c r="AT90" s="101"/>
      <c r="AU90" s="102"/>
    </row>
    <row r="91" spans="3:47" x14ac:dyDescent="0.3">
      <c r="C91" s="100"/>
      <c r="D91" s="109" t="s">
        <v>235</v>
      </c>
      <c r="E91" s="109"/>
      <c r="F91" s="109"/>
      <c r="G91" s="109"/>
      <c r="H91" s="109"/>
      <c r="I91" s="101" t="s">
        <v>254</v>
      </c>
      <c r="J91" s="101"/>
      <c r="K91" s="101"/>
      <c r="L91" s="101"/>
      <c r="M91" s="101"/>
      <c r="N91" s="101"/>
      <c r="O91" s="101"/>
      <c r="P91" s="101"/>
      <c r="Q91" s="101"/>
      <c r="R91" s="101"/>
      <c r="S91" s="101"/>
      <c r="T91" s="101"/>
      <c r="U91" s="101"/>
      <c r="V91" s="101"/>
      <c r="W91" s="101"/>
      <c r="X91" s="101"/>
      <c r="Y91" s="101"/>
      <c r="Z91" s="101"/>
      <c r="AA91" s="101"/>
      <c r="AB91" s="101"/>
      <c r="AC91" s="101"/>
      <c r="AD91" s="101"/>
      <c r="AE91" s="101"/>
      <c r="AF91" s="101"/>
      <c r="AG91" s="101"/>
      <c r="AH91" s="101"/>
      <c r="AI91" s="101"/>
      <c r="AJ91" s="101"/>
      <c r="AK91" s="101"/>
      <c r="AL91" s="101"/>
      <c r="AM91" s="101"/>
      <c r="AN91" s="101"/>
      <c r="AO91" s="101"/>
      <c r="AP91" s="101"/>
      <c r="AQ91" s="101"/>
      <c r="AR91" s="101"/>
      <c r="AS91" s="101"/>
      <c r="AT91" s="101"/>
      <c r="AU91" s="102"/>
    </row>
    <row r="92" spans="3:47" x14ac:dyDescent="0.3">
      <c r="C92" s="100"/>
      <c r="D92" s="109" t="s">
        <v>236</v>
      </c>
      <c r="E92" s="109"/>
      <c r="F92" s="109"/>
      <c r="G92" s="109"/>
      <c r="H92" s="109"/>
      <c r="I92" s="101" t="s">
        <v>238</v>
      </c>
      <c r="J92" s="101"/>
      <c r="K92" s="101"/>
      <c r="L92" s="101"/>
      <c r="M92" s="101"/>
      <c r="N92" s="101"/>
      <c r="O92" s="101"/>
      <c r="P92" s="101"/>
      <c r="Q92" s="101"/>
      <c r="R92" s="101"/>
      <c r="S92" s="101"/>
      <c r="T92" s="101"/>
      <c r="U92" s="101"/>
      <c r="V92" s="101"/>
      <c r="W92" s="101"/>
      <c r="X92" s="101"/>
      <c r="Y92" s="101"/>
      <c r="Z92" s="101"/>
      <c r="AA92" s="101"/>
      <c r="AB92" s="101"/>
      <c r="AC92" s="101"/>
      <c r="AD92" s="101"/>
      <c r="AE92" s="101"/>
      <c r="AF92" s="101"/>
      <c r="AG92" s="101"/>
      <c r="AH92" s="101"/>
      <c r="AI92" s="101"/>
      <c r="AJ92" s="101"/>
      <c r="AK92" s="101"/>
      <c r="AL92" s="101"/>
      <c r="AM92" s="101"/>
      <c r="AN92" s="101"/>
      <c r="AO92" s="101"/>
      <c r="AP92" s="101"/>
      <c r="AQ92" s="101"/>
      <c r="AR92" s="101"/>
      <c r="AS92" s="101"/>
      <c r="AT92" s="101"/>
      <c r="AU92" s="102"/>
    </row>
    <row r="93" spans="3:47" x14ac:dyDescent="0.3">
      <c r="C93" s="100"/>
      <c r="D93" s="109" t="s">
        <v>237</v>
      </c>
      <c r="E93" s="109"/>
      <c r="F93" s="109"/>
      <c r="G93" s="109"/>
      <c r="H93" s="109"/>
      <c r="I93" s="101" t="s">
        <v>239</v>
      </c>
      <c r="J93" s="101"/>
      <c r="K93" s="101"/>
      <c r="L93" s="101"/>
      <c r="M93" s="101"/>
      <c r="N93" s="101"/>
      <c r="O93" s="101"/>
      <c r="P93" s="101"/>
      <c r="Q93" s="101"/>
      <c r="R93" s="101"/>
      <c r="S93" s="101"/>
      <c r="T93" s="101"/>
      <c r="U93" s="101"/>
      <c r="V93" s="101"/>
      <c r="W93" s="101"/>
      <c r="X93" s="101"/>
      <c r="Y93" s="101"/>
      <c r="Z93" s="101"/>
      <c r="AA93" s="101"/>
      <c r="AB93" s="101"/>
      <c r="AC93" s="101"/>
      <c r="AD93" s="101"/>
      <c r="AE93" s="101"/>
      <c r="AF93" s="101"/>
      <c r="AG93" s="101"/>
      <c r="AH93" s="101"/>
      <c r="AI93" s="101"/>
      <c r="AJ93" s="101"/>
      <c r="AK93" s="101"/>
      <c r="AL93" s="101"/>
      <c r="AM93" s="101"/>
      <c r="AN93" s="101"/>
      <c r="AO93" s="101"/>
      <c r="AP93" s="101"/>
      <c r="AQ93" s="101"/>
      <c r="AR93" s="101"/>
      <c r="AS93" s="101"/>
      <c r="AT93" s="101"/>
      <c r="AU93" s="102"/>
    </row>
    <row r="94" spans="3:47" x14ac:dyDescent="0.3">
      <c r="C94" s="100"/>
      <c r="D94" s="101" t="s">
        <v>247</v>
      </c>
      <c r="E94" s="101"/>
      <c r="F94" s="101"/>
      <c r="G94" s="101"/>
      <c r="H94" s="101"/>
      <c r="I94" s="101"/>
      <c r="J94" s="101"/>
      <c r="K94" s="101"/>
      <c r="L94" s="101"/>
      <c r="M94" s="101"/>
      <c r="N94" s="101"/>
      <c r="O94" s="101"/>
      <c r="P94" s="101"/>
      <c r="Q94" s="101"/>
      <c r="R94" s="101"/>
      <c r="S94" s="101"/>
      <c r="T94" s="101"/>
      <c r="U94" s="101"/>
      <c r="V94" s="101"/>
      <c r="W94" s="101"/>
      <c r="X94" s="101"/>
      <c r="Y94" s="101"/>
      <c r="Z94" s="101"/>
      <c r="AA94" s="101"/>
      <c r="AB94" s="101"/>
      <c r="AC94" s="101"/>
      <c r="AD94" s="101"/>
      <c r="AE94" s="101"/>
      <c r="AF94" s="101"/>
      <c r="AG94" s="101"/>
      <c r="AH94" s="101"/>
      <c r="AI94" s="101"/>
      <c r="AJ94" s="101"/>
      <c r="AK94" s="101"/>
      <c r="AL94" s="101"/>
      <c r="AM94" s="101"/>
      <c r="AN94" s="101"/>
      <c r="AO94" s="101"/>
      <c r="AP94" s="101"/>
      <c r="AQ94" s="101"/>
      <c r="AR94" s="101"/>
      <c r="AS94" s="101"/>
      <c r="AT94" s="101"/>
      <c r="AU94" s="102"/>
    </row>
    <row r="95" spans="3:47" x14ac:dyDescent="0.3">
      <c r="C95" s="100"/>
      <c r="D95" s="101" t="s">
        <v>248</v>
      </c>
      <c r="E95" s="101"/>
      <c r="F95" s="101"/>
      <c r="G95" s="101"/>
      <c r="H95" s="101"/>
      <c r="I95" s="101"/>
      <c r="J95" s="101"/>
      <c r="K95" s="101"/>
      <c r="L95" s="101"/>
      <c r="M95" s="101"/>
      <c r="N95" s="101"/>
      <c r="O95" s="101"/>
      <c r="P95" s="101"/>
      <c r="Q95" s="101"/>
      <c r="R95" s="101"/>
      <c r="S95" s="101"/>
      <c r="T95" s="101"/>
      <c r="U95" s="101"/>
      <c r="V95" s="101"/>
      <c r="W95" s="101"/>
      <c r="X95" s="101"/>
      <c r="Y95" s="101"/>
      <c r="Z95" s="101"/>
      <c r="AA95" s="101"/>
      <c r="AB95" s="101"/>
      <c r="AC95" s="101"/>
      <c r="AD95" s="101"/>
      <c r="AE95" s="101"/>
      <c r="AF95" s="101"/>
      <c r="AG95" s="101"/>
      <c r="AH95" s="101"/>
      <c r="AI95" s="101"/>
      <c r="AJ95" s="101"/>
      <c r="AK95" s="101"/>
      <c r="AL95" s="101"/>
      <c r="AM95" s="101"/>
      <c r="AN95" s="101"/>
      <c r="AO95" s="101"/>
      <c r="AP95" s="101"/>
      <c r="AQ95" s="101"/>
      <c r="AR95" s="101"/>
      <c r="AS95" s="101"/>
      <c r="AT95" s="101"/>
      <c r="AU95" s="102"/>
    </row>
    <row r="96" spans="3:47" x14ac:dyDescent="0.3">
      <c r="C96" s="100"/>
      <c r="D96" s="110"/>
      <c r="E96" s="110"/>
      <c r="F96" s="110"/>
      <c r="G96" s="110"/>
      <c r="H96" s="110"/>
      <c r="I96" s="110"/>
      <c r="J96" s="110"/>
      <c r="K96" s="110"/>
      <c r="L96" s="110"/>
      <c r="M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02"/>
    </row>
    <row r="97" spans="3:47" x14ac:dyDescent="0.3">
      <c r="C97" s="100"/>
      <c r="D97" s="104"/>
      <c r="E97" s="111"/>
      <c r="F97" s="104"/>
      <c r="G97" s="112" t="s">
        <v>249</v>
      </c>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4"/>
      <c r="AS97" s="111"/>
      <c r="AT97" s="111"/>
      <c r="AU97" s="102"/>
    </row>
    <row r="98" spans="3:47" x14ac:dyDescent="0.3">
      <c r="C98" s="100"/>
      <c r="D98" s="104"/>
      <c r="E98" s="104"/>
      <c r="F98" s="104"/>
      <c r="G98" s="115" t="s">
        <v>250</v>
      </c>
      <c r="H98" s="101" t="s">
        <v>301</v>
      </c>
      <c r="I98" s="101"/>
      <c r="J98" s="101"/>
      <c r="K98" s="101"/>
      <c r="L98" s="101"/>
      <c r="M98" s="101"/>
      <c r="N98" s="101"/>
      <c r="O98" s="101"/>
      <c r="P98" s="101"/>
      <c r="Q98" s="101"/>
      <c r="R98" s="101"/>
      <c r="S98" s="101"/>
      <c r="T98" s="101"/>
      <c r="U98" s="101"/>
      <c r="V98" s="101"/>
      <c r="W98" s="101"/>
      <c r="X98" s="101"/>
      <c r="Y98" s="101"/>
      <c r="Z98" s="101"/>
      <c r="AA98" s="101"/>
      <c r="AB98" s="101"/>
      <c r="AC98" s="101"/>
      <c r="AD98" s="101"/>
      <c r="AE98" s="101"/>
      <c r="AF98" s="101"/>
      <c r="AG98" s="101"/>
      <c r="AH98" s="101"/>
      <c r="AI98" s="101"/>
      <c r="AJ98" s="101"/>
      <c r="AK98" s="101"/>
      <c r="AL98" s="101"/>
      <c r="AM98" s="101"/>
      <c r="AN98" s="101"/>
      <c r="AO98" s="101"/>
      <c r="AP98" s="101"/>
      <c r="AQ98" s="101"/>
      <c r="AR98" s="116"/>
      <c r="AS98" s="117"/>
      <c r="AT98" s="117"/>
      <c r="AU98" s="102"/>
    </row>
    <row r="99" spans="3:47" x14ac:dyDescent="0.3">
      <c r="C99" s="100"/>
      <c r="D99" s="104"/>
      <c r="E99" s="104"/>
      <c r="F99" s="104"/>
      <c r="G99" s="118"/>
      <c r="H99" s="101" t="s">
        <v>302</v>
      </c>
      <c r="I99" s="101"/>
      <c r="J99" s="101"/>
      <c r="K99" s="101"/>
      <c r="L99" s="101"/>
      <c r="M99" s="101"/>
      <c r="N99" s="101"/>
      <c r="O99" s="101"/>
      <c r="P99" s="101"/>
      <c r="Q99" s="101"/>
      <c r="R99" s="101"/>
      <c r="S99" s="101"/>
      <c r="T99" s="101"/>
      <c r="U99" s="101"/>
      <c r="V99" s="101"/>
      <c r="W99" s="101"/>
      <c r="X99" s="101"/>
      <c r="Y99" s="101"/>
      <c r="Z99" s="101"/>
      <c r="AA99" s="101"/>
      <c r="AB99" s="101"/>
      <c r="AC99" s="101"/>
      <c r="AD99" s="101"/>
      <c r="AE99" s="101"/>
      <c r="AF99" s="101"/>
      <c r="AG99" s="101"/>
      <c r="AH99" s="101"/>
      <c r="AI99" s="101"/>
      <c r="AJ99" s="101"/>
      <c r="AK99" s="101"/>
      <c r="AL99" s="101"/>
      <c r="AM99" s="101"/>
      <c r="AN99" s="101"/>
      <c r="AO99" s="101"/>
      <c r="AP99" s="101"/>
      <c r="AQ99" s="101"/>
      <c r="AR99" s="116"/>
      <c r="AS99" s="117"/>
      <c r="AT99" s="117"/>
      <c r="AU99" s="102"/>
    </row>
    <row r="100" spans="3:47" x14ac:dyDescent="0.3">
      <c r="C100" s="100"/>
      <c r="D100" s="104"/>
      <c r="E100" s="104"/>
      <c r="F100" s="104"/>
      <c r="G100" s="119"/>
      <c r="H100" s="120" t="s">
        <v>251</v>
      </c>
      <c r="I100" s="120"/>
      <c r="J100" s="120"/>
      <c r="K100" s="120"/>
      <c r="L100" s="120"/>
      <c r="M100" s="120"/>
      <c r="N100" s="120"/>
      <c r="O100" s="120"/>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0"/>
      <c r="AK100" s="120"/>
      <c r="AL100" s="120"/>
      <c r="AM100" s="120"/>
      <c r="AN100" s="120"/>
      <c r="AO100" s="120"/>
      <c r="AP100" s="120"/>
      <c r="AQ100" s="120"/>
      <c r="AR100" s="121"/>
      <c r="AS100" s="117"/>
      <c r="AT100" s="117"/>
      <c r="AU100" s="102"/>
    </row>
    <row r="101" spans="3:47" x14ac:dyDescent="0.3">
      <c r="C101" s="100"/>
      <c r="D101" s="104"/>
      <c r="E101" s="104"/>
      <c r="F101" s="104"/>
      <c r="G101" s="104"/>
      <c r="H101" s="104"/>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c r="AM101" s="104"/>
      <c r="AN101" s="104"/>
      <c r="AO101" s="104"/>
      <c r="AP101" s="104"/>
      <c r="AQ101" s="104"/>
      <c r="AR101" s="104"/>
      <c r="AS101" s="104"/>
      <c r="AT101" s="104"/>
      <c r="AU101" s="102"/>
    </row>
    <row r="102" spans="3:47" x14ac:dyDescent="0.3">
      <c r="C102" s="100"/>
      <c r="D102" s="101" t="s">
        <v>255</v>
      </c>
      <c r="E102" s="101"/>
      <c r="F102" s="101"/>
      <c r="G102" s="101"/>
      <c r="H102" s="101"/>
      <c r="I102" s="101"/>
      <c r="J102" s="101"/>
      <c r="K102" s="101"/>
      <c r="L102" s="101"/>
      <c r="M102" s="101"/>
      <c r="N102" s="101"/>
      <c r="O102" s="101"/>
      <c r="P102" s="101"/>
      <c r="Q102" s="101"/>
      <c r="R102" s="101"/>
      <c r="S102" s="101"/>
      <c r="T102" s="101"/>
      <c r="U102" s="101"/>
      <c r="V102" s="101"/>
      <c r="W102" s="101"/>
      <c r="X102" s="101"/>
      <c r="Y102" s="101"/>
      <c r="Z102" s="101"/>
      <c r="AA102" s="101"/>
      <c r="AB102" s="101"/>
      <c r="AC102" s="101"/>
      <c r="AD102" s="101"/>
      <c r="AE102" s="101"/>
      <c r="AF102" s="101"/>
      <c r="AG102" s="101"/>
      <c r="AH102" s="101"/>
      <c r="AI102" s="101"/>
      <c r="AJ102" s="101"/>
      <c r="AK102" s="101"/>
      <c r="AL102" s="101"/>
      <c r="AM102" s="101"/>
      <c r="AN102" s="101"/>
      <c r="AO102" s="101"/>
      <c r="AP102" s="101"/>
      <c r="AQ102" s="101"/>
      <c r="AR102" s="101"/>
      <c r="AS102" s="101"/>
      <c r="AT102" s="101"/>
      <c r="AU102" s="102"/>
    </row>
    <row r="103" spans="3:47" x14ac:dyDescent="0.3">
      <c r="C103" s="100"/>
      <c r="D103" s="101" t="s">
        <v>256</v>
      </c>
      <c r="E103" s="101"/>
      <c r="F103" s="101"/>
      <c r="G103" s="101"/>
      <c r="H103" s="101"/>
      <c r="I103" s="101"/>
      <c r="J103" s="101"/>
      <c r="K103" s="101"/>
      <c r="L103" s="101"/>
      <c r="M103" s="101"/>
      <c r="N103" s="101"/>
      <c r="O103" s="101"/>
      <c r="P103" s="101"/>
      <c r="Q103" s="101"/>
      <c r="R103" s="101"/>
      <c r="S103" s="101"/>
      <c r="T103" s="101"/>
      <c r="U103" s="101"/>
      <c r="V103" s="101"/>
      <c r="W103" s="101"/>
      <c r="X103" s="101"/>
      <c r="Y103" s="101"/>
      <c r="Z103" s="101"/>
      <c r="AA103" s="101"/>
      <c r="AB103" s="101"/>
      <c r="AC103" s="101"/>
      <c r="AD103" s="101"/>
      <c r="AE103" s="101"/>
      <c r="AF103" s="101"/>
      <c r="AG103" s="101"/>
      <c r="AH103" s="101"/>
      <c r="AI103" s="101"/>
      <c r="AJ103" s="101"/>
      <c r="AK103" s="101"/>
      <c r="AL103" s="101"/>
      <c r="AM103" s="101"/>
      <c r="AN103" s="101"/>
      <c r="AO103" s="101"/>
      <c r="AP103" s="101"/>
      <c r="AQ103" s="101"/>
      <c r="AR103" s="101"/>
      <c r="AS103" s="101"/>
      <c r="AT103" s="101"/>
      <c r="AU103" s="102"/>
    </row>
    <row r="104" spans="3:47" x14ac:dyDescent="0.3">
      <c r="C104" s="100"/>
      <c r="D104" s="101" t="s">
        <v>257</v>
      </c>
      <c r="E104" s="101"/>
      <c r="F104" s="101"/>
      <c r="G104" s="101"/>
      <c r="H104" s="101"/>
      <c r="I104" s="101"/>
      <c r="J104" s="101"/>
      <c r="K104" s="101"/>
      <c r="L104" s="101"/>
      <c r="M104" s="101"/>
      <c r="N104" s="101"/>
      <c r="O104" s="101"/>
      <c r="P104" s="101"/>
      <c r="Q104" s="101"/>
      <c r="R104" s="101"/>
      <c r="S104" s="101"/>
      <c r="T104" s="101"/>
      <c r="U104" s="101"/>
      <c r="V104" s="101"/>
      <c r="W104" s="101"/>
      <c r="X104" s="101"/>
      <c r="Y104" s="101"/>
      <c r="Z104" s="101"/>
      <c r="AA104" s="101"/>
      <c r="AB104" s="101"/>
      <c r="AC104" s="101"/>
      <c r="AD104" s="101"/>
      <c r="AE104" s="101"/>
      <c r="AF104" s="101"/>
      <c r="AG104" s="101"/>
      <c r="AH104" s="101"/>
      <c r="AI104" s="101"/>
      <c r="AJ104" s="101"/>
      <c r="AK104" s="101"/>
      <c r="AL104" s="101"/>
      <c r="AM104" s="101"/>
      <c r="AN104" s="101"/>
      <c r="AO104" s="101"/>
      <c r="AP104" s="101"/>
      <c r="AQ104" s="101"/>
      <c r="AR104" s="101"/>
      <c r="AS104" s="101"/>
      <c r="AT104" s="101"/>
      <c r="AU104" s="102"/>
    </row>
    <row r="105" spans="3:47" x14ac:dyDescent="0.3">
      <c r="C105" s="100"/>
      <c r="D105" s="103" t="s">
        <v>194</v>
      </c>
      <c r="E105" s="101" t="s">
        <v>261</v>
      </c>
      <c r="F105" s="101"/>
      <c r="G105" s="101"/>
      <c r="H105" s="101"/>
      <c r="I105" s="101"/>
      <c r="J105" s="101"/>
      <c r="K105" s="101"/>
      <c r="L105" s="101"/>
      <c r="M105" s="101"/>
      <c r="N105" s="101"/>
      <c r="O105" s="101"/>
      <c r="P105" s="101"/>
      <c r="Q105" s="101"/>
      <c r="R105" s="101"/>
      <c r="S105" s="101"/>
      <c r="T105" s="101"/>
      <c r="U105" s="101"/>
      <c r="V105" s="101"/>
      <c r="W105" s="101"/>
      <c r="X105" s="101"/>
      <c r="Y105" s="101"/>
      <c r="Z105" s="101"/>
      <c r="AA105" s="101"/>
      <c r="AB105" s="101"/>
      <c r="AC105" s="101"/>
      <c r="AD105" s="101"/>
      <c r="AE105" s="101"/>
      <c r="AF105" s="101"/>
      <c r="AG105" s="101"/>
      <c r="AH105" s="101"/>
      <c r="AI105" s="101"/>
      <c r="AJ105" s="101"/>
      <c r="AK105" s="101"/>
      <c r="AL105" s="101"/>
      <c r="AM105" s="101"/>
      <c r="AN105" s="101"/>
      <c r="AO105" s="101"/>
      <c r="AP105" s="101"/>
      <c r="AQ105" s="101"/>
      <c r="AR105" s="101"/>
      <c r="AS105" s="101"/>
      <c r="AT105" s="101"/>
      <c r="AU105" s="102"/>
    </row>
    <row r="106" spans="3:47" x14ac:dyDescent="0.3">
      <c r="C106" s="100"/>
      <c r="D106" s="103" t="s">
        <v>194</v>
      </c>
      <c r="E106" s="101" t="s">
        <v>258</v>
      </c>
      <c r="F106" s="101"/>
      <c r="G106" s="101"/>
      <c r="H106" s="101"/>
      <c r="I106" s="101"/>
      <c r="J106" s="101"/>
      <c r="K106" s="101"/>
      <c r="L106" s="101"/>
      <c r="M106" s="101"/>
      <c r="N106" s="101"/>
      <c r="O106" s="101"/>
      <c r="P106" s="101"/>
      <c r="Q106" s="101"/>
      <c r="R106" s="101"/>
      <c r="S106" s="101"/>
      <c r="T106" s="101"/>
      <c r="U106" s="101"/>
      <c r="V106" s="101"/>
      <c r="W106" s="101"/>
      <c r="X106" s="101"/>
      <c r="Y106" s="101"/>
      <c r="Z106" s="101"/>
      <c r="AA106" s="101"/>
      <c r="AB106" s="101"/>
      <c r="AC106" s="101"/>
      <c r="AD106" s="101"/>
      <c r="AE106" s="101"/>
      <c r="AF106" s="101"/>
      <c r="AG106" s="101"/>
      <c r="AH106" s="101"/>
      <c r="AI106" s="101"/>
      <c r="AJ106" s="101"/>
      <c r="AK106" s="101"/>
      <c r="AL106" s="101"/>
      <c r="AM106" s="101"/>
      <c r="AN106" s="101"/>
      <c r="AO106" s="101"/>
      <c r="AP106" s="101"/>
      <c r="AQ106" s="101"/>
      <c r="AR106" s="101"/>
      <c r="AS106" s="101"/>
      <c r="AT106" s="101"/>
      <c r="AU106" s="102"/>
    </row>
    <row r="107" spans="3:47" x14ac:dyDescent="0.3">
      <c r="C107" s="100"/>
      <c r="D107" s="103" t="s">
        <v>194</v>
      </c>
      <c r="E107" s="101" t="s">
        <v>260</v>
      </c>
      <c r="F107" s="101"/>
      <c r="G107" s="101"/>
      <c r="H107" s="101"/>
      <c r="I107" s="101"/>
      <c r="J107" s="101"/>
      <c r="K107" s="101"/>
      <c r="L107" s="101"/>
      <c r="M107" s="101"/>
      <c r="N107" s="101"/>
      <c r="O107" s="101"/>
      <c r="P107" s="101"/>
      <c r="Q107" s="101"/>
      <c r="R107" s="101"/>
      <c r="S107" s="101"/>
      <c r="T107" s="101"/>
      <c r="U107" s="101"/>
      <c r="V107" s="101"/>
      <c r="W107" s="101"/>
      <c r="X107" s="101"/>
      <c r="Y107" s="101"/>
      <c r="Z107" s="101"/>
      <c r="AA107" s="101"/>
      <c r="AB107" s="101"/>
      <c r="AC107" s="101"/>
      <c r="AD107" s="101"/>
      <c r="AE107" s="101"/>
      <c r="AF107" s="101"/>
      <c r="AG107" s="101"/>
      <c r="AH107" s="101"/>
      <c r="AI107" s="101"/>
      <c r="AJ107" s="101"/>
      <c r="AK107" s="101"/>
      <c r="AL107" s="101"/>
      <c r="AM107" s="101"/>
      <c r="AN107" s="101"/>
      <c r="AO107" s="101"/>
      <c r="AP107" s="101"/>
      <c r="AQ107" s="101"/>
      <c r="AR107" s="101"/>
      <c r="AS107" s="101"/>
      <c r="AT107" s="101"/>
      <c r="AU107" s="102"/>
    </row>
    <row r="108" spans="3:47" x14ac:dyDescent="0.3">
      <c r="C108" s="100"/>
      <c r="D108" s="103" t="s">
        <v>194</v>
      </c>
      <c r="E108" s="101" t="s">
        <v>259</v>
      </c>
      <c r="F108" s="101"/>
      <c r="G108" s="101"/>
      <c r="H108" s="101"/>
      <c r="I108" s="101"/>
      <c r="J108" s="101"/>
      <c r="K108" s="101"/>
      <c r="L108" s="101"/>
      <c r="M108" s="101"/>
      <c r="N108" s="101"/>
      <c r="O108" s="101"/>
      <c r="P108" s="101"/>
      <c r="Q108" s="101"/>
      <c r="R108" s="101"/>
      <c r="S108" s="101"/>
      <c r="T108" s="101"/>
      <c r="U108" s="101"/>
      <c r="V108" s="101"/>
      <c r="W108" s="101"/>
      <c r="X108" s="101"/>
      <c r="Y108" s="101"/>
      <c r="Z108" s="101"/>
      <c r="AA108" s="101"/>
      <c r="AB108" s="101"/>
      <c r="AC108" s="101"/>
      <c r="AD108" s="101"/>
      <c r="AE108" s="101"/>
      <c r="AF108" s="101"/>
      <c r="AG108" s="101"/>
      <c r="AH108" s="101"/>
      <c r="AI108" s="101"/>
      <c r="AJ108" s="101"/>
      <c r="AK108" s="101"/>
      <c r="AL108" s="101"/>
      <c r="AM108" s="101"/>
      <c r="AN108" s="101"/>
      <c r="AO108" s="101"/>
      <c r="AP108" s="101"/>
      <c r="AQ108" s="101"/>
      <c r="AR108" s="101"/>
      <c r="AS108" s="101"/>
      <c r="AT108" s="101"/>
      <c r="AU108" s="102"/>
    </row>
    <row r="109" spans="3:47" x14ac:dyDescent="0.3">
      <c r="C109" s="100"/>
      <c r="D109" s="122" t="s">
        <v>262</v>
      </c>
      <c r="E109" s="122"/>
      <c r="F109" s="122"/>
      <c r="G109" s="122"/>
      <c r="H109" s="122"/>
      <c r="I109" s="122"/>
      <c r="J109" s="122"/>
      <c r="K109" s="122"/>
      <c r="L109" s="122"/>
      <c r="M109" s="122"/>
      <c r="N109" s="122"/>
      <c r="O109" s="122"/>
      <c r="P109" s="122"/>
      <c r="Q109" s="122"/>
      <c r="R109" s="122"/>
      <c r="S109" s="122"/>
      <c r="T109" s="122"/>
      <c r="U109" s="122"/>
      <c r="V109" s="122"/>
      <c r="W109" s="122"/>
      <c r="X109" s="122"/>
      <c r="Y109" s="122"/>
      <c r="Z109" s="122"/>
      <c r="AA109" s="122"/>
      <c r="AB109" s="122"/>
      <c r="AC109" s="122"/>
      <c r="AD109" s="122"/>
      <c r="AE109" s="122"/>
      <c r="AF109" s="122"/>
      <c r="AG109" s="122"/>
      <c r="AH109" s="122"/>
      <c r="AI109" s="122"/>
      <c r="AJ109" s="122"/>
      <c r="AK109" s="122"/>
      <c r="AL109" s="122"/>
      <c r="AM109" s="122"/>
      <c r="AN109" s="122"/>
      <c r="AO109" s="122"/>
      <c r="AP109" s="122"/>
      <c r="AQ109" s="122"/>
      <c r="AR109" s="122"/>
      <c r="AS109" s="122"/>
      <c r="AT109" s="122"/>
      <c r="AU109" s="102"/>
    </row>
    <row r="110" spans="3:47" x14ac:dyDescent="0.3">
      <c r="C110" s="100"/>
      <c r="D110" s="104"/>
      <c r="E110" s="101" t="s">
        <v>303</v>
      </c>
      <c r="F110" s="101"/>
      <c r="G110" s="101"/>
      <c r="H110" s="101"/>
      <c r="I110" s="101"/>
      <c r="J110" s="101"/>
      <c r="K110" s="101"/>
      <c r="L110" s="101"/>
      <c r="M110" s="101"/>
      <c r="N110" s="101"/>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01"/>
      <c r="AL110" s="101"/>
      <c r="AM110" s="101"/>
      <c r="AN110" s="101"/>
      <c r="AO110" s="101"/>
      <c r="AP110" s="101"/>
      <c r="AQ110" s="101"/>
      <c r="AR110" s="101"/>
      <c r="AS110" s="101"/>
      <c r="AT110" s="101"/>
      <c r="AU110" s="102"/>
    </row>
    <row r="111" spans="3:47" x14ac:dyDescent="0.3">
      <c r="C111" s="100"/>
      <c r="D111" s="122" t="s">
        <v>263</v>
      </c>
      <c r="E111" s="122"/>
      <c r="F111" s="122"/>
      <c r="G111" s="122"/>
      <c r="H111" s="122"/>
      <c r="I111" s="122"/>
      <c r="J111" s="122"/>
      <c r="K111" s="122"/>
      <c r="L111" s="122"/>
      <c r="M111" s="122"/>
      <c r="N111" s="122"/>
      <c r="O111" s="122"/>
      <c r="P111" s="122"/>
      <c r="Q111" s="122"/>
      <c r="R111" s="122"/>
      <c r="S111" s="122"/>
      <c r="T111" s="122"/>
      <c r="U111" s="122"/>
      <c r="V111" s="122"/>
      <c r="W111" s="122"/>
      <c r="X111" s="122"/>
      <c r="Y111" s="122"/>
      <c r="Z111" s="122"/>
      <c r="AA111" s="122"/>
      <c r="AB111" s="122"/>
      <c r="AC111" s="122"/>
      <c r="AD111" s="122"/>
      <c r="AE111" s="122"/>
      <c r="AF111" s="122"/>
      <c r="AG111" s="122"/>
      <c r="AH111" s="122"/>
      <c r="AI111" s="122"/>
      <c r="AJ111" s="122"/>
      <c r="AK111" s="122"/>
      <c r="AL111" s="122"/>
      <c r="AM111" s="122"/>
      <c r="AN111" s="122"/>
      <c r="AO111" s="122"/>
      <c r="AP111" s="122"/>
      <c r="AQ111" s="122"/>
      <c r="AR111" s="122"/>
      <c r="AS111" s="122"/>
      <c r="AT111" s="122"/>
      <c r="AU111" s="102"/>
    </row>
    <row r="112" spans="3:47" x14ac:dyDescent="0.3">
      <c r="C112" s="100"/>
      <c r="D112" s="104"/>
      <c r="E112" s="101" t="s">
        <v>304</v>
      </c>
      <c r="F112" s="101"/>
      <c r="G112" s="101"/>
      <c r="H112" s="101"/>
      <c r="I112" s="101"/>
      <c r="J112" s="101"/>
      <c r="K112" s="101"/>
      <c r="L112" s="101"/>
      <c r="M112" s="101"/>
      <c r="N112" s="101"/>
      <c r="O112" s="101"/>
      <c r="P112" s="101"/>
      <c r="Q112" s="101"/>
      <c r="R112" s="101"/>
      <c r="S112" s="101"/>
      <c r="T112" s="101"/>
      <c r="U112" s="101"/>
      <c r="V112" s="101"/>
      <c r="W112" s="101"/>
      <c r="X112" s="101"/>
      <c r="Y112" s="101"/>
      <c r="Z112" s="101"/>
      <c r="AA112" s="101"/>
      <c r="AB112" s="101"/>
      <c r="AC112" s="101"/>
      <c r="AD112" s="101"/>
      <c r="AE112" s="101"/>
      <c r="AF112" s="101"/>
      <c r="AG112" s="101"/>
      <c r="AH112" s="101"/>
      <c r="AI112" s="101"/>
      <c r="AJ112" s="101"/>
      <c r="AK112" s="101"/>
      <c r="AL112" s="101"/>
      <c r="AM112" s="101"/>
      <c r="AN112" s="101"/>
      <c r="AO112" s="101"/>
      <c r="AP112" s="101"/>
      <c r="AQ112" s="101"/>
      <c r="AR112" s="101"/>
      <c r="AS112" s="101"/>
      <c r="AT112" s="101"/>
      <c r="AU112" s="102"/>
    </row>
    <row r="113" spans="3:47" x14ac:dyDescent="0.3">
      <c r="C113" s="100"/>
      <c r="D113" s="104"/>
      <c r="E113" s="101" t="s">
        <v>305</v>
      </c>
      <c r="F113" s="101"/>
      <c r="G113" s="101"/>
      <c r="H113" s="101"/>
      <c r="I113" s="101"/>
      <c r="J113" s="101"/>
      <c r="K113" s="101"/>
      <c r="L113" s="101"/>
      <c r="M113" s="101"/>
      <c r="N113" s="101"/>
      <c r="O113" s="101"/>
      <c r="P113" s="101"/>
      <c r="Q113" s="101"/>
      <c r="R113" s="101"/>
      <c r="S113" s="101"/>
      <c r="T113" s="101"/>
      <c r="U113" s="101"/>
      <c r="V113" s="101"/>
      <c r="W113" s="101"/>
      <c r="X113" s="101"/>
      <c r="Y113" s="101"/>
      <c r="Z113" s="101"/>
      <c r="AA113" s="101"/>
      <c r="AB113" s="101"/>
      <c r="AC113" s="101"/>
      <c r="AD113" s="101"/>
      <c r="AE113" s="101"/>
      <c r="AF113" s="101"/>
      <c r="AG113" s="101"/>
      <c r="AH113" s="101"/>
      <c r="AI113" s="101"/>
      <c r="AJ113" s="101"/>
      <c r="AK113" s="101"/>
      <c r="AL113" s="101"/>
      <c r="AM113" s="101"/>
      <c r="AN113" s="101"/>
      <c r="AO113" s="101"/>
      <c r="AP113" s="101"/>
      <c r="AQ113" s="101"/>
      <c r="AR113" s="101"/>
      <c r="AS113" s="101"/>
      <c r="AT113" s="101"/>
      <c r="AU113" s="102"/>
    </row>
    <row r="114" spans="3:47" x14ac:dyDescent="0.3">
      <c r="C114" s="100"/>
      <c r="D114" s="104"/>
      <c r="E114" s="104"/>
      <c r="F114" s="123">
        <v>1</v>
      </c>
      <c r="G114" s="123"/>
      <c r="H114" s="101" t="s">
        <v>264</v>
      </c>
      <c r="I114" s="101"/>
      <c r="J114" s="101"/>
      <c r="K114" s="101"/>
      <c r="L114" s="101"/>
      <c r="M114" s="101"/>
      <c r="N114" s="101"/>
      <c r="O114" s="101"/>
      <c r="P114" s="101"/>
      <c r="Q114" s="101"/>
      <c r="R114" s="101"/>
      <c r="S114" s="101"/>
      <c r="T114" s="101"/>
      <c r="U114" s="101"/>
      <c r="V114" s="101"/>
      <c r="W114" s="101"/>
      <c r="X114" s="101"/>
      <c r="Y114" s="101"/>
      <c r="Z114" s="101"/>
      <c r="AA114" s="101"/>
      <c r="AB114" s="101"/>
      <c r="AC114" s="101"/>
      <c r="AD114" s="101"/>
      <c r="AE114" s="101"/>
      <c r="AF114" s="101"/>
      <c r="AG114" s="101"/>
      <c r="AH114" s="101"/>
      <c r="AI114" s="101"/>
      <c r="AJ114" s="101"/>
      <c r="AK114" s="101"/>
      <c r="AL114" s="101"/>
      <c r="AM114" s="101"/>
      <c r="AN114" s="101"/>
      <c r="AO114" s="101"/>
      <c r="AP114" s="101"/>
      <c r="AQ114" s="101"/>
      <c r="AR114" s="101"/>
      <c r="AS114" s="101"/>
      <c r="AT114" s="101"/>
      <c r="AU114" s="102"/>
    </row>
    <row r="115" spans="3:47" x14ac:dyDescent="0.3">
      <c r="C115" s="100"/>
      <c r="D115" s="104"/>
      <c r="E115" s="104"/>
      <c r="F115" s="123" t="s">
        <v>88</v>
      </c>
      <c r="G115" s="123"/>
      <c r="H115" s="101" t="s">
        <v>306</v>
      </c>
      <c r="I115" s="101"/>
      <c r="J115" s="101"/>
      <c r="K115" s="101"/>
      <c r="L115" s="101"/>
      <c r="M115" s="101"/>
      <c r="N115" s="101"/>
      <c r="O115" s="101"/>
      <c r="P115" s="101"/>
      <c r="Q115" s="101"/>
      <c r="R115" s="101"/>
      <c r="S115" s="101"/>
      <c r="T115" s="101"/>
      <c r="U115" s="101"/>
      <c r="V115" s="101"/>
      <c r="W115" s="101"/>
      <c r="X115" s="101"/>
      <c r="Y115" s="101"/>
      <c r="Z115" s="101"/>
      <c r="AA115" s="101"/>
      <c r="AB115" s="101"/>
      <c r="AC115" s="101"/>
      <c r="AD115" s="101"/>
      <c r="AE115" s="101"/>
      <c r="AF115" s="101"/>
      <c r="AG115" s="101"/>
      <c r="AH115" s="101"/>
      <c r="AI115" s="101"/>
      <c r="AJ115" s="101"/>
      <c r="AK115" s="101"/>
      <c r="AL115" s="101"/>
      <c r="AM115" s="101"/>
      <c r="AN115" s="101"/>
      <c r="AO115" s="101"/>
      <c r="AP115" s="101"/>
      <c r="AQ115" s="101"/>
      <c r="AR115" s="101"/>
      <c r="AS115" s="101"/>
      <c r="AT115" s="101"/>
      <c r="AU115" s="102"/>
    </row>
    <row r="116" spans="3:47" x14ac:dyDescent="0.3">
      <c r="C116" s="100"/>
      <c r="D116" s="104"/>
      <c r="E116" s="104"/>
      <c r="F116" s="123" t="s">
        <v>157</v>
      </c>
      <c r="G116" s="123"/>
      <c r="H116" s="101" t="s">
        <v>307</v>
      </c>
      <c r="I116" s="101"/>
      <c r="J116" s="101"/>
      <c r="K116" s="101"/>
      <c r="L116" s="101"/>
      <c r="M116" s="101"/>
      <c r="N116" s="101"/>
      <c r="O116" s="101"/>
      <c r="P116" s="101"/>
      <c r="Q116" s="101"/>
      <c r="R116" s="101"/>
      <c r="S116" s="101"/>
      <c r="T116" s="101"/>
      <c r="U116" s="101"/>
      <c r="V116" s="101"/>
      <c r="W116" s="101"/>
      <c r="X116" s="101"/>
      <c r="Y116" s="101"/>
      <c r="Z116" s="101"/>
      <c r="AA116" s="101"/>
      <c r="AB116" s="101"/>
      <c r="AC116" s="101"/>
      <c r="AD116" s="101"/>
      <c r="AE116" s="101"/>
      <c r="AF116" s="101"/>
      <c r="AG116" s="101"/>
      <c r="AH116" s="101"/>
      <c r="AI116" s="101"/>
      <c r="AJ116" s="101"/>
      <c r="AK116" s="101"/>
      <c r="AL116" s="101"/>
      <c r="AM116" s="101"/>
      <c r="AN116" s="101"/>
      <c r="AO116" s="101"/>
      <c r="AP116" s="101"/>
      <c r="AQ116" s="101"/>
      <c r="AR116" s="101"/>
      <c r="AS116" s="101"/>
      <c r="AT116" s="101"/>
      <c r="AU116" s="102"/>
    </row>
    <row r="117" spans="3:47" x14ac:dyDescent="0.3">
      <c r="C117" s="100"/>
      <c r="D117" s="104"/>
      <c r="E117" s="101" t="s">
        <v>308</v>
      </c>
      <c r="F117" s="101"/>
      <c r="G117" s="101"/>
      <c r="H117" s="101"/>
      <c r="I117" s="101"/>
      <c r="J117" s="101"/>
      <c r="K117" s="101"/>
      <c r="L117" s="101"/>
      <c r="M117" s="101"/>
      <c r="N117" s="101"/>
      <c r="O117" s="101"/>
      <c r="P117" s="101"/>
      <c r="Q117" s="101"/>
      <c r="R117" s="101"/>
      <c r="S117" s="101"/>
      <c r="T117" s="101"/>
      <c r="U117" s="101"/>
      <c r="V117" s="101"/>
      <c r="W117" s="101"/>
      <c r="X117" s="101"/>
      <c r="Y117" s="101"/>
      <c r="Z117" s="101"/>
      <c r="AA117" s="101"/>
      <c r="AB117" s="101"/>
      <c r="AC117" s="101"/>
      <c r="AD117" s="101"/>
      <c r="AE117" s="101"/>
      <c r="AF117" s="101"/>
      <c r="AG117" s="101"/>
      <c r="AH117" s="101"/>
      <c r="AI117" s="101"/>
      <c r="AJ117" s="101"/>
      <c r="AK117" s="101"/>
      <c r="AL117" s="101"/>
      <c r="AM117" s="101"/>
      <c r="AN117" s="101"/>
      <c r="AO117" s="101"/>
      <c r="AP117" s="101"/>
      <c r="AQ117" s="101"/>
      <c r="AR117" s="101"/>
      <c r="AS117" s="101"/>
      <c r="AT117" s="101"/>
      <c r="AU117" s="102"/>
    </row>
    <row r="118" spans="3:47" x14ac:dyDescent="0.3">
      <c r="C118" s="100"/>
      <c r="D118" s="104"/>
      <c r="E118" s="101" t="s">
        <v>309</v>
      </c>
      <c r="F118" s="101"/>
      <c r="G118" s="101"/>
      <c r="H118" s="101"/>
      <c r="I118" s="101"/>
      <c r="J118" s="101"/>
      <c r="K118" s="101"/>
      <c r="L118" s="101"/>
      <c r="M118" s="101"/>
      <c r="N118" s="101"/>
      <c r="O118" s="101"/>
      <c r="P118" s="101"/>
      <c r="Q118" s="101"/>
      <c r="R118" s="101"/>
      <c r="S118" s="101"/>
      <c r="T118" s="101"/>
      <c r="U118" s="101"/>
      <c r="V118" s="101"/>
      <c r="W118" s="101"/>
      <c r="X118" s="101"/>
      <c r="Y118" s="101"/>
      <c r="Z118" s="101"/>
      <c r="AA118" s="101"/>
      <c r="AB118" s="101"/>
      <c r="AC118" s="101"/>
      <c r="AD118" s="101"/>
      <c r="AE118" s="101"/>
      <c r="AF118" s="101"/>
      <c r="AG118" s="101"/>
      <c r="AH118" s="101"/>
      <c r="AI118" s="101"/>
      <c r="AJ118" s="101"/>
      <c r="AK118" s="101"/>
      <c r="AL118" s="101"/>
      <c r="AM118" s="101"/>
      <c r="AN118" s="101"/>
      <c r="AO118" s="101"/>
      <c r="AP118" s="101"/>
      <c r="AQ118" s="101"/>
      <c r="AR118" s="101"/>
      <c r="AS118" s="101"/>
      <c r="AT118" s="101"/>
      <c r="AU118" s="102"/>
    </row>
    <row r="119" spans="3:47" x14ac:dyDescent="0.3">
      <c r="C119" s="100"/>
      <c r="D119" s="104"/>
      <c r="E119" s="101" t="s">
        <v>266</v>
      </c>
      <c r="F119" s="101"/>
      <c r="G119" s="101"/>
      <c r="H119" s="101"/>
      <c r="I119" s="101"/>
      <c r="J119" s="101"/>
      <c r="K119" s="101"/>
      <c r="L119" s="101"/>
      <c r="M119" s="101"/>
      <c r="N119" s="101"/>
      <c r="O119" s="101"/>
      <c r="P119" s="101"/>
      <c r="Q119" s="101"/>
      <c r="R119" s="101"/>
      <c r="S119" s="101"/>
      <c r="T119" s="101"/>
      <c r="U119" s="101"/>
      <c r="V119" s="101"/>
      <c r="W119" s="101"/>
      <c r="X119" s="101"/>
      <c r="Y119" s="101"/>
      <c r="Z119" s="101"/>
      <c r="AA119" s="101"/>
      <c r="AB119" s="101"/>
      <c r="AC119" s="101"/>
      <c r="AD119" s="101"/>
      <c r="AE119" s="101"/>
      <c r="AF119" s="101"/>
      <c r="AG119" s="101"/>
      <c r="AH119" s="101"/>
      <c r="AI119" s="101"/>
      <c r="AJ119" s="101"/>
      <c r="AK119" s="101"/>
      <c r="AL119" s="101"/>
      <c r="AM119" s="101"/>
      <c r="AN119" s="101"/>
      <c r="AO119" s="101"/>
      <c r="AP119" s="101"/>
      <c r="AQ119" s="101"/>
      <c r="AR119" s="101"/>
      <c r="AS119" s="101"/>
      <c r="AT119" s="101"/>
      <c r="AU119" s="102"/>
    </row>
    <row r="120" spans="3:47" x14ac:dyDescent="0.3">
      <c r="C120" s="100"/>
      <c r="D120" s="104"/>
      <c r="E120" s="101" t="s">
        <v>265</v>
      </c>
      <c r="F120" s="101"/>
      <c r="G120" s="101"/>
      <c r="H120" s="101"/>
      <c r="I120" s="101"/>
      <c r="J120" s="101"/>
      <c r="K120" s="101"/>
      <c r="L120" s="101"/>
      <c r="M120" s="101"/>
      <c r="N120" s="101"/>
      <c r="O120" s="101"/>
      <c r="P120" s="101"/>
      <c r="Q120" s="101"/>
      <c r="R120" s="101"/>
      <c r="S120" s="101"/>
      <c r="T120" s="101"/>
      <c r="U120" s="101"/>
      <c r="V120" s="101"/>
      <c r="W120" s="101"/>
      <c r="X120" s="101"/>
      <c r="Y120" s="101"/>
      <c r="Z120" s="101"/>
      <c r="AA120" s="101"/>
      <c r="AB120" s="101"/>
      <c r="AC120" s="101"/>
      <c r="AD120" s="101"/>
      <c r="AE120" s="101"/>
      <c r="AF120" s="101"/>
      <c r="AG120" s="101"/>
      <c r="AH120" s="101"/>
      <c r="AI120" s="101"/>
      <c r="AJ120" s="101"/>
      <c r="AK120" s="101"/>
      <c r="AL120" s="101"/>
      <c r="AM120" s="101"/>
      <c r="AN120" s="101"/>
      <c r="AO120" s="101"/>
      <c r="AP120" s="101"/>
      <c r="AQ120" s="101"/>
      <c r="AR120" s="101"/>
      <c r="AS120" s="101"/>
      <c r="AT120" s="101"/>
      <c r="AU120" s="102"/>
    </row>
    <row r="121" spans="3:47" x14ac:dyDescent="0.3">
      <c r="C121" s="100"/>
      <c r="D121" s="104"/>
      <c r="E121" s="104"/>
      <c r="F121" s="104"/>
      <c r="G121" s="104"/>
      <c r="H121" s="104"/>
      <c r="I121" s="104"/>
      <c r="J121" s="104"/>
      <c r="K121" s="104"/>
      <c r="L121" s="104"/>
      <c r="M121" s="104"/>
      <c r="N121" s="104"/>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c r="AM121" s="104"/>
      <c r="AN121" s="104"/>
      <c r="AO121" s="104"/>
      <c r="AP121" s="104"/>
      <c r="AQ121" s="104"/>
      <c r="AR121" s="104"/>
      <c r="AS121" s="104"/>
      <c r="AT121" s="104"/>
      <c r="AU121" s="102"/>
    </row>
    <row r="122" spans="3:47" x14ac:dyDescent="0.3">
      <c r="C122" s="100"/>
      <c r="D122" s="104"/>
      <c r="E122" s="104"/>
      <c r="F122" s="104"/>
      <c r="G122" s="104"/>
      <c r="H122" s="104"/>
      <c r="I122" s="104"/>
      <c r="J122" s="104"/>
      <c r="K122" s="104"/>
      <c r="L122" s="104"/>
      <c r="M122" s="104"/>
      <c r="N122" s="104"/>
      <c r="O122" s="104"/>
      <c r="P122" s="104"/>
      <c r="Q122" s="104"/>
      <c r="R122" s="104"/>
      <c r="S122" s="104"/>
      <c r="T122" s="104"/>
      <c r="U122" s="104"/>
      <c r="V122" s="104"/>
      <c r="W122" s="104"/>
      <c r="X122" s="104"/>
      <c r="Y122" s="104"/>
      <c r="Z122" s="104"/>
      <c r="AA122" s="104"/>
      <c r="AB122" s="104"/>
      <c r="AC122" s="104"/>
      <c r="AD122" s="104"/>
      <c r="AE122" s="104"/>
      <c r="AF122" s="104"/>
      <c r="AG122" s="104"/>
      <c r="AH122" s="104"/>
      <c r="AI122" s="104"/>
      <c r="AJ122" s="104"/>
      <c r="AK122" s="104"/>
      <c r="AL122" s="104"/>
      <c r="AM122" s="104"/>
      <c r="AN122" s="104"/>
      <c r="AO122" s="104"/>
      <c r="AP122" s="104"/>
      <c r="AQ122" s="104"/>
      <c r="AR122" s="104"/>
      <c r="AS122" s="104"/>
      <c r="AT122" s="104"/>
      <c r="AU122" s="102"/>
    </row>
    <row r="123" spans="3:47" x14ac:dyDescent="0.3">
      <c r="C123" s="100"/>
      <c r="D123" s="104"/>
      <c r="E123" s="104"/>
      <c r="F123" s="104"/>
      <c r="G123" s="104"/>
      <c r="H123" s="104"/>
      <c r="I123" s="104"/>
      <c r="J123" s="104"/>
      <c r="K123" s="104"/>
      <c r="L123" s="104"/>
      <c r="M123" s="104"/>
      <c r="N123" s="104"/>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c r="AM123" s="104"/>
      <c r="AN123" s="104"/>
      <c r="AO123" s="104"/>
      <c r="AP123" s="104"/>
      <c r="AQ123" s="104"/>
      <c r="AR123" s="104"/>
      <c r="AS123" s="104"/>
      <c r="AT123" s="104"/>
      <c r="AU123" s="102"/>
    </row>
    <row r="124" spans="3:47" x14ac:dyDescent="0.3">
      <c r="C124" s="100"/>
      <c r="D124" s="104"/>
      <c r="E124" s="104"/>
      <c r="F124" s="104"/>
      <c r="G124" s="104"/>
      <c r="H124" s="104"/>
      <c r="I124" s="104"/>
      <c r="J124" s="104"/>
      <c r="K124" s="104"/>
      <c r="L124" s="104"/>
      <c r="M124" s="104"/>
      <c r="N124" s="104"/>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c r="AM124" s="104"/>
      <c r="AN124" s="104"/>
      <c r="AO124" s="104"/>
      <c r="AP124" s="104"/>
      <c r="AQ124" s="104"/>
      <c r="AR124" s="104"/>
      <c r="AS124" s="104"/>
      <c r="AT124" s="104"/>
      <c r="AU124" s="102"/>
    </row>
    <row r="125" spans="3:47" x14ac:dyDescent="0.3">
      <c r="C125" s="100"/>
      <c r="D125" s="104"/>
      <c r="E125" s="104"/>
      <c r="F125" s="104"/>
      <c r="G125" s="104"/>
      <c r="H125" s="104"/>
      <c r="I125" s="104"/>
      <c r="J125" s="104"/>
      <c r="K125" s="104"/>
      <c r="L125" s="104"/>
      <c r="M125" s="104"/>
      <c r="N125" s="104"/>
      <c r="O125" s="104"/>
      <c r="P125" s="104"/>
      <c r="Q125" s="104"/>
      <c r="R125" s="104"/>
      <c r="S125" s="104"/>
      <c r="T125" s="104"/>
      <c r="U125" s="104"/>
      <c r="V125" s="104"/>
      <c r="W125" s="104"/>
      <c r="X125" s="104"/>
      <c r="Y125" s="104"/>
      <c r="Z125" s="104"/>
      <c r="AA125" s="104"/>
      <c r="AB125" s="104"/>
      <c r="AC125" s="104"/>
      <c r="AD125" s="104"/>
      <c r="AE125" s="104"/>
      <c r="AF125" s="104"/>
      <c r="AG125" s="104"/>
      <c r="AH125" s="104"/>
      <c r="AI125" s="104"/>
      <c r="AJ125" s="104"/>
      <c r="AK125" s="104"/>
      <c r="AL125" s="104"/>
      <c r="AM125" s="104"/>
      <c r="AN125" s="104"/>
      <c r="AO125" s="104"/>
      <c r="AP125" s="104"/>
      <c r="AQ125" s="104"/>
      <c r="AR125" s="104"/>
      <c r="AS125" s="104"/>
      <c r="AT125" s="104"/>
      <c r="AU125" s="102"/>
    </row>
    <row r="126" spans="3:47" x14ac:dyDescent="0.3">
      <c r="C126" s="100"/>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04"/>
      <c r="AL126" s="104"/>
      <c r="AM126" s="104"/>
      <c r="AN126" s="104"/>
      <c r="AO126" s="104"/>
      <c r="AP126" s="104"/>
      <c r="AQ126" s="104"/>
      <c r="AR126" s="104"/>
      <c r="AS126" s="104"/>
      <c r="AT126" s="104"/>
      <c r="AU126" s="102"/>
    </row>
    <row r="127" spans="3:47" x14ac:dyDescent="0.3">
      <c r="C127" s="100"/>
      <c r="D127" s="104"/>
      <c r="E127" s="10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c r="AM127" s="104"/>
      <c r="AN127" s="104"/>
      <c r="AO127" s="104"/>
      <c r="AP127" s="104"/>
      <c r="AQ127" s="104"/>
      <c r="AR127" s="104"/>
      <c r="AS127" s="104"/>
      <c r="AT127" s="104"/>
      <c r="AU127" s="102"/>
    </row>
    <row r="128" spans="3:47" x14ac:dyDescent="0.3">
      <c r="C128" s="100"/>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4"/>
      <c r="Z128" s="104"/>
      <c r="AA128" s="104"/>
      <c r="AB128" s="104"/>
      <c r="AC128" s="104"/>
      <c r="AD128" s="104"/>
      <c r="AE128" s="104"/>
      <c r="AF128" s="104"/>
      <c r="AG128" s="104"/>
      <c r="AH128" s="104"/>
      <c r="AI128" s="104"/>
      <c r="AJ128" s="104"/>
      <c r="AK128" s="104"/>
      <c r="AL128" s="104"/>
      <c r="AM128" s="104"/>
      <c r="AN128" s="104"/>
      <c r="AO128" s="104"/>
      <c r="AP128" s="104"/>
      <c r="AQ128" s="104"/>
      <c r="AR128" s="104"/>
      <c r="AS128" s="104"/>
      <c r="AT128" s="104"/>
      <c r="AU128" s="102"/>
    </row>
    <row r="129" spans="3:47" x14ac:dyDescent="0.3">
      <c r="C129" s="100"/>
      <c r="D129" s="104"/>
      <c r="E129" s="104"/>
      <c r="F129" s="104"/>
      <c r="G129" s="104"/>
      <c r="H129" s="104"/>
      <c r="I129" s="104"/>
      <c r="J129" s="104"/>
      <c r="K129" s="104"/>
      <c r="L129" s="104"/>
      <c r="M129" s="104"/>
      <c r="N129" s="104"/>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c r="AM129" s="104"/>
      <c r="AN129" s="104"/>
      <c r="AO129" s="104"/>
      <c r="AP129" s="104"/>
      <c r="AQ129" s="104"/>
      <c r="AR129" s="104"/>
      <c r="AS129" s="104"/>
      <c r="AT129" s="104"/>
      <c r="AU129" s="102"/>
    </row>
    <row r="130" spans="3:47" x14ac:dyDescent="0.3">
      <c r="C130" s="100"/>
      <c r="D130" s="104"/>
      <c r="E130" s="104"/>
      <c r="F130" s="104"/>
      <c r="G130" s="104"/>
      <c r="H130" s="104"/>
      <c r="I130" s="104"/>
      <c r="J130" s="104"/>
      <c r="K130" s="104"/>
      <c r="L130" s="104"/>
      <c r="M130" s="104"/>
      <c r="N130" s="10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c r="AM130" s="104"/>
      <c r="AN130" s="104"/>
      <c r="AO130" s="104"/>
      <c r="AP130" s="104"/>
      <c r="AQ130" s="104"/>
      <c r="AR130" s="104"/>
      <c r="AS130" s="104"/>
      <c r="AT130" s="104"/>
      <c r="AU130" s="102"/>
    </row>
    <row r="131" spans="3:47" ht="77" customHeight="1" x14ac:dyDescent="0.3">
      <c r="C131" s="100"/>
      <c r="D131" s="104"/>
      <c r="E131" s="104"/>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4"/>
      <c r="AP131" s="104"/>
      <c r="AQ131" s="104"/>
      <c r="AR131" s="104"/>
      <c r="AS131" s="104"/>
      <c r="AT131" s="104"/>
      <c r="AU131" s="102"/>
    </row>
    <row r="132" spans="3:47" x14ac:dyDescent="0.3">
      <c r="C132" s="100"/>
      <c r="D132" s="122" t="s">
        <v>267</v>
      </c>
      <c r="E132" s="122"/>
      <c r="F132" s="122"/>
      <c r="G132" s="122"/>
      <c r="H132" s="122"/>
      <c r="I132" s="122"/>
      <c r="J132" s="122"/>
      <c r="K132" s="122"/>
      <c r="L132" s="122"/>
      <c r="M132" s="122"/>
      <c r="N132" s="122"/>
      <c r="O132" s="122"/>
      <c r="P132" s="122"/>
      <c r="Q132" s="122"/>
      <c r="R132" s="122"/>
      <c r="S132" s="122"/>
      <c r="T132" s="122"/>
      <c r="U132" s="122"/>
      <c r="V132" s="122"/>
      <c r="W132" s="122"/>
      <c r="X132" s="122"/>
      <c r="Y132" s="122"/>
      <c r="Z132" s="122"/>
      <c r="AA132" s="122"/>
      <c r="AB132" s="122"/>
      <c r="AC132" s="122"/>
      <c r="AD132" s="122"/>
      <c r="AE132" s="122"/>
      <c r="AF132" s="122"/>
      <c r="AG132" s="122"/>
      <c r="AH132" s="122"/>
      <c r="AI132" s="122"/>
      <c r="AJ132" s="122"/>
      <c r="AK132" s="122"/>
      <c r="AL132" s="122"/>
      <c r="AM132" s="122"/>
      <c r="AN132" s="122"/>
      <c r="AO132" s="122"/>
      <c r="AP132" s="122"/>
      <c r="AQ132" s="122"/>
      <c r="AR132" s="122"/>
      <c r="AS132" s="122"/>
      <c r="AT132" s="122"/>
      <c r="AU132" s="102"/>
    </row>
    <row r="133" spans="3:47" x14ac:dyDescent="0.3">
      <c r="C133" s="100"/>
      <c r="D133" s="104"/>
      <c r="E133" s="101" t="s">
        <v>310</v>
      </c>
      <c r="F133" s="101"/>
      <c r="G133" s="101"/>
      <c r="H133" s="101"/>
      <c r="I133" s="101"/>
      <c r="J133" s="101"/>
      <c r="K133" s="101"/>
      <c r="L133" s="101"/>
      <c r="M133" s="101"/>
      <c r="N133" s="101"/>
      <c r="O133" s="101"/>
      <c r="P133" s="101"/>
      <c r="Q133" s="101"/>
      <c r="R133" s="101"/>
      <c r="S133" s="101"/>
      <c r="T133" s="101"/>
      <c r="U133" s="101"/>
      <c r="V133" s="101"/>
      <c r="W133" s="101"/>
      <c r="X133" s="101"/>
      <c r="Y133" s="101"/>
      <c r="Z133" s="101"/>
      <c r="AA133" s="101"/>
      <c r="AB133" s="101"/>
      <c r="AC133" s="101"/>
      <c r="AD133" s="101"/>
      <c r="AE133" s="101"/>
      <c r="AF133" s="101"/>
      <c r="AG133" s="101"/>
      <c r="AH133" s="101"/>
      <c r="AI133" s="101"/>
      <c r="AJ133" s="101"/>
      <c r="AK133" s="101"/>
      <c r="AL133" s="101"/>
      <c r="AM133" s="101"/>
      <c r="AN133" s="101"/>
      <c r="AO133" s="101"/>
      <c r="AP133" s="101"/>
      <c r="AQ133" s="101"/>
      <c r="AR133" s="101"/>
      <c r="AS133" s="101"/>
      <c r="AT133" s="101"/>
      <c r="AU133" s="102"/>
    </row>
    <row r="134" spans="3:47" x14ac:dyDescent="0.3">
      <c r="C134" s="100"/>
      <c r="D134" s="104"/>
      <c r="E134" s="101" t="s">
        <v>305</v>
      </c>
      <c r="F134" s="101"/>
      <c r="G134" s="101"/>
      <c r="H134" s="101"/>
      <c r="I134" s="101"/>
      <c r="J134" s="101"/>
      <c r="K134" s="101"/>
      <c r="L134" s="101"/>
      <c r="M134" s="101"/>
      <c r="N134" s="101"/>
      <c r="O134" s="101"/>
      <c r="P134" s="101"/>
      <c r="Q134" s="101"/>
      <c r="R134" s="101"/>
      <c r="S134" s="101"/>
      <c r="T134" s="101"/>
      <c r="U134" s="101"/>
      <c r="V134" s="101"/>
      <c r="W134" s="101"/>
      <c r="X134" s="101"/>
      <c r="Y134" s="101"/>
      <c r="Z134" s="101"/>
      <c r="AA134" s="101"/>
      <c r="AB134" s="101"/>
      <c r="AC134" s="101"/>
      <c r="AD134" s="101"/>
      <c r="AE134" s="101"/>
      <c r="AF134" s="101"/>
      <c r="AG134" s="101"/>
      <c r="AH134" s="101"/>
      <c r="AI134" s="101"/>
      <c r="AJ134" s="101"/>
      <c r="AK134" s="101"/>
      <c r="AL134" s="101"/>
      <c r="AM134" s="101"/>
      <c r="AN134" s="101"/>
      <c r="AO134" s="101"/>
      <c r="AP134" s="101"/>
      <c r="AQ134" s="101"/>
      <c r="AR134" s="101"/>
      <c r="AS134" s="101"/>
      <c r="AT134" s="101"/>
      <c r="AU134" s="102"/>
    </row>
    <row r="135" spans="3:47" x14ac:dyDescent="0.3">
      <c r="C135" s="100"/>
      <c r="D135" s="104"/>
      <c r="E135" s="104"/>
      <c r="F135" s="123">
        <v>1</v>
      </c>
      <c r="G135" s="123"/>
      <c r="H135" s="101" t="s">
        <v>264</v>
      </c>
      <c r="I135" s="101"/>
      <c r="J135" s="101"/>
      <c r="K135" s="101"/>
      <c r="L135" s="101"/>
      <c r="M135" s="101"/>
      <c r="N135" s="101"/>
      <c r="O135" s="101"/>
      <c r="P135" s="101"/>
      <c r="Q135" s="101"/>
      <c r="R135" s="101"/>
      <c r="S135" s="101"/>
      <c r="T135" s="101"/>
      <c r="U135" s="101"/>
      <c r="V135" s="101"/>
      <c r="W135" s="101"/>
      <c r="X135" s="101"/>
      <c r="Y135" s="101"/>
      <c r="Z135" s="101"/>
      <c r="AA135" s="101"/>
      <c r="AB135" s="101"/>
      <c r="AC135" s="101"/>
      <c r="AD135" s="101"/>
      <c r="AE135" s="101"/>
      <c r="AF135" s="101"/>
      <c r="AG135" s="101"/>
      <c r="AH135" s="101"/>
      <c r="AI135" s="101"/>
      <c r="AJ135" s="101"/>
      <c r="AK135" s="101"/>
      <c r="AL135" s="101"/>
      <c r="AM135" s="101"/>
      <c r="AN135" s="101"/>
      <c r="AO135" s="101"/>
      <c r="AP135" s="101"/>
      <c r="AQ135" s="101"/>
      <c r="AR135" s="101"/>
      <c r="AS135" s="101"/>
      <c r="AT135" s="101"/>
      <c r="AU135" s="102"/>
    </row>
    <row r="136" spans="3:47" x14ac:dyDescent="0.3">
      <c r="C136" s="100"/>
      <c r="D136" s="104"/>
      <c r="E136" s="104"/>
      <c r="F136" s="123" t="s">
        <v>88</v>
      </c>
      <c r="G136" s="123"/>
      <c r="H136" s="101" t="s">
        <v>306</v>
      </c>
      <c r="I136" s="101"/>
      <c r="J136" s="101"/>
      <c r="K136" s="101"/>
      <c r="L136" s="101"/>
      <c r="M136" s="101"/>
      <c r="N136" s="101"/>
      <c r="O136" s="101"/>
      <c r="P136" s="101"/>
      <c r="Q136" s="101"/>
      <c r="R136" s="101"/>
      <c r="S136" s="101"/>
      <c r="T136" s="101"/>
      <c r="U136" s="101"/>
      <c r="V136" s="101"/>
      <c r="W136" s="101"/>
      <c r="X136" s="101"/>
      <c r="Y136" s="101"/>
      <c r="Z136" s="101"/>
      <c r="AA136" s="101"/>
      <c r="AB136" s="101"/>
      <c r="AC136" s="101"/>
      <c r="AD136" s="101"/>
      <c r="AE136" s="101"/>
      <c r="AF136" s="101"/>
      <c r="AG136" s="101"/>
      <c r="AH136" s="101"/>
      <c r="AI136" s="101"/>
      <c r="AJ136" s="101"/>
      <c r="AK136" s="101"/>
      <c r="AL136" s="101"/>
      <c r="AM136" s="101"/>
      <c r="AN136" s="101"/>
      <c r="AO136" s="101"/>
      <c r="AP136" s="101"/>
      <c r="AQ136" s="101"/>
      <c r="AR136" s="101"/>
      <c r="AS136" s="101"/>
      <c r="AT136" s="101"/>
      <c r="AU136" s="102"/>
    </row>
    <row r="137" spans="3:47" x14ac:dyDescent="0.3">
      <c r="C137" s="100"/>
      <c r="D137" s="104"/>
      <c r="E137" s="104"/>
      <c r="F137" s="123" t="s">
        <v>157</v>
      </c>
      <c r="G137" s="123"/>
      <c r="H137" s="101" t="s">
        <v>307</v>
      </c>
      <c r="I137" s="101"/>
      <c r="J137" s="101"/>
      <c r="K137" s="101"/>
      <c r="L137" s="101"/>
      <c r="M137" s="101"/>
      <c r="N137" s="101"/>
      <c r="O137" s="101"/>
      <c r="P137" s="101"/>
      <c r="Q137" s="101"/>
      <c r="R137" s="101"/>
      <c r="S137" s="101"/>
      <c r="T137" s="101"/>
      <c r="U137" s="101"/>
      <c r="V137" s="101"/>
      <c r="W137" s="101"/>
      <c r="X137" s="101"/>
      <c r="Y137" s="101"/>
      <c r="Z137" s="101"/>
      <c r="AA137" s="101"/>
      <c r="AB137" s="101"/>
      <c r="AC137" s="101"/>
      <c r="AD137" s="101"/>
      <c r="AE137" s="101"/>
      <c r="AF137" s="101"/>
      <c r="AG137" s="101"/>
      <c r="AH137" s="101"/>
      <c r="AI137" s="101"/>
      <c r="AJ137" s="101"/>
      <c r="AK137" s="101"/>
      <c r="AL137" s="101"/>
      <c r="AM137" s="101"/>
      <c r="AN137" s="101"/>
      <c r="AO137" s="101"/>
      <c r="AP137" s="101"/>
      <c r="AQ137" s="101"/>
      <c r="AR137" s="101"/>
      <c r="AS137" s="101"/>
      <c r="AT137" s="101"/>
      <c r="AU137" s="102"/>
    </row>
    <row r="138" spans="3:47" x14ac:dyDescent="0.3">
      <c r="C138" s="100"/>
      <c r="D138" s="104"/>
      <c r="E138" s="101" t="s">
        <v>311</v>
      </c>
      <c r="F138" s="101"/>
      <c r="G138" s="101"/>
      <c r="H138" s="101"/>
      <c r="I138" s="101"/>
      <c r="J138" s="101"/>
      <c r="K138" s="101"/>
      <c r="L138" s="101"/>
      <c r="M138" s="101"/>
      <c r="N138" s="101"/>
      <c r="O138" s="101"/>
      <c r="P138" s="101"/>
      <c r="Q138" s="101"/>
      <c r="R138" s="101"/>
      <c r="S138" s="101"/>
      <c r="T138" s="101"/>
      <c r="U138" s="101"/>
      <c r="V138" s="101"/>
      <c r="W138" s="101"/>
      <c r="X138" s="101"/>
      <c r="Y138" s="101"/>
      <c r="Z138" s="101"/>
      <c r="AA138" s="101"/>
      <c r="AB138" s="101"/>
      <c r="AC138" s="101"/>
      <c r="AD138" s="101"/>
      <c r="AE138" s="101"/>
      <c r="AF138" s="101"/>
      <c r="AG138" s="101"/>
      <c r="AH138" s="101"/>
      <c r="AI138" s="101"/>
      <c r="AJ138" s="101"/>
      <c r="AK138" s="101"/>
      <c r="AL138" s="101"/>
      <c r="AM138" s="101"/>
      <c r="AN138" s="101"/>
      <c r="AO138" s="101"/>
      <c r="AP138" s="101"/>
      <c r="AQ138" s="101"/>
      <c r="AR138" s="101"/>
      <c r="AS138" s="101"/>
      <c r="AT138" s="101"/>
      <c r="AU138" s="102"/>
    </row>
    <row r="139" spans="3:47" x14ac:dyDescent="0.3">
      <c r="C139" s="100"/>
      <c r="D139" s="104"/>
      <c r="E139" s="101" t="s">
        <v>312</v>
      </c>
      <c r="F139" s="101"/>
      <c r="G139" s="101"/>
      <c r="H139" s="101"/>
      <c r="I139" s="101"/>
      <c r="J139" s="101"/>
      <c r="K139" s="101"/>
      <c r="L139" s="101"/>
      <c r="M139" s="101"/>
      <c r="N139" s="101"/>
      <c r="O139" s="101"/>
      <c r="P139" s="101"/>
      <c r="Q139" s="101"/>
      <c r="R139" s="101"/>
      <c r="S139" s="101"/>
      <c r="T139" s="101"/>
      <c r="U139" s="101"/>
      <c r="V139" s="101"/>
      <c r="W139" s="101"/>
      <c r="X139" s="101"/>
      <c r="Y139" s="101"/>
      <c r="Z139" s="101"/>
      <c r="AA139" s="101"/>
      <c r="AB139" s="101"/>
      <c r="AC139" s="101"/>
      <c r="AD139" s="101"/>
      <c r="AE139" s="101"/>
      <c r="AF139" s="101"/>
      <c r="AG139" s="101"/>
      <c r="AH139" s="101"/>
      <c r="AI139" s="101"/>
      <c r="AJ139" s="101"/>
      <c r="AK139" s="101"/>
      <c r="AL139" s="101"/>
      <c r="AM139" s="101"/>
      <c r="AN139" s="101"/>
      <c r="AO139" s="101"/>
      <c r="AP139" s="101"/>
      <c r="AQ139" s="101"/>
      <c r="AR139" s="101"/>
      <c r="AS139" s="101"/>
      <c r="AT139" s="101"/>
      <c r="AU139" s="102"/>
    </row>
    <row r="140" spans="3:47" x14ac:dyDescent="0.3">
      <c r="C140" s="100"/>
      <c r="D140" s="104"/>
      <c r="E140" s="101" t="s">
        <v>268</v>
      </c>
      <c r="F140" s="101"/>
      <c r="G140" s="101"/>
      <c r="H140" s="101"/>
      <c r="I140" s="101"/>
      <c r="J140" s="101"/>
      <c r="K140" s="101"/>
      <c r="L140" s="101"/>
      <c r="M140" s="101"/>
      <c r="N140" s="101"/>
      <c r="O140" s="101"/>
      <c r="P140" s="101"/>
      <c r="Q140" s="101"/>
      <c r="R140" s="101"/>
      <c r="S140" s="101"/>
      <c r="T140" s="101"/>
      <c r="U140" s="101"/>
      <c r="V140" s="101"/>
      <c r="W140" s="101"/>
      <c r="X140" s="101"/>
      <c r="Y140" s="101"/>
      <c r="Z140" s="101"/>
      <c r="AA140" s="101"/>
      <c r="AB140" s="101"/>
      <c r="AC140" s="101"/>
      <c r="AD140" s="101"/>
      <c r="AE140" s="101"/>
      <c r="AF140" s="101"/>
      <c r="AG140" s="101"/>
      <c r="AH140" s="101"/>
      <c r="AI140" s="101"/>
      <c r="AJ140" s="101"/>
      <c r="AK140" s="101"/>
      <c r="AL140" s="101"/>
      <c r="AM140" s="101"/>
      <c r="AN140" s="101"/>
      <c r="AO140" s="101"/>
      <c r="AP140" s="101"/>
      <c r="AQ140" s="101"/>
      <c r="AR140" s="101"/>
      <c r="AS140" s="101"/>
      <c r="AT140" s="101"/>
      <c r="AU140" s="102"/>
    </row>
    <row r="141" spans="3:47" x14ac:dyDescent="0.3">
      <c r="C141" s="100"/>
      <c r="D141" s="104"/>
      <c r="E141" s="104"/>
      <c r="F141" s="104"/>
      <c r="G141" s="104"/>
      <c r="H141" s="104"/>
      <c r="I141" s="104"/>
      <c r="J141" s="104"/>
      <c r="K141" s="104"/>
      <c r="L141" s="104"/>
      <c r="M141" s="104"/>
      <c r="N141" s="104"/>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c r="AM141" s="104"/>
      <c r="AN141" s="104"/>
      <c r="AO141" s="104"/>
      <c r="AP141" s="104"/>
      <c r="AQ141" s="104"/>
      <c r="AR141" s="104"/>
      <c r="AS141" s="104"/>
      <c r="AT141" s="104"/>
      <c r="AU141" s="102"/>
    </row>
    <row r="142" spans="3:47" x14ac:dyDescent="0.3">
      <c r="C142" s="100"/>
      <c r="D142" s="104"/>
      <c r="E142" s="104"/>
      <c r="F142" s="104"/>
      <c r="G142" s="104"/>
      <c r="H142" s="104"/>
      <c r="I142" s="104"/>
      <c r="J142" s="104"/>
      <c r="K142" s="104"/>
      <c r="L142" s="104"/>
      <c r="M142" s="104"/>
      <c r="N142" s="104"/>
      <c r="O142" s="104"/>
      <c r="P142" s="104"/>
      <c r="Q142" s="104"/>
      <c r="R142" s="104"/>
      <c r="S142" s="104"/>
      <c r="T142" s="104"/>
      <c r="U142" s="104"/>
      <c r="V142" s="104"/>
      <c r="W142" s="104"/>
      <c r="X142" s="104"/>
      <c r="Y142" s="104"/>
      <c r="Z142" s="104"/>
      <c r="AA142" s="104"/>
      <c r="AB142" s="104"/>
      <c r="AC142" s="104"/>
      <c r="AD142" s="104"/>
      <c r="AE142" s="104"/>
      <c r="AF142" s="104"/>
      <c r="AG142" s="104"/>
      <c r="AH142" s="104"/>
      <c r="AI142" s="104"/>
      <c r="AJ142" s="104"/>
      <c r="AK142" s="104"/>
      <c r="AL142" s="104"/>
      <c r="AM142" s="104"/>
      <c r="AN142" s="104"/>
      <c r="AO142" s="104"/>
      <c r="AP142" s="104"/>
      <c r="AQ142" s="104"/>
      <c r="AR142" s="104"/>
      <c r="AS142" s="104"/>
      <c r="AT142" s="104"/>
      <c r="AU142" s="102"/>
    </row>
    <row r="143" spans="3:47" x14ac:dyDescent="0.3">
      <c r="C143" s="100"/>
      <c r="D143" s="104"/>
      <c r="E143" s="104"/>
      <c r="F143" s="104"/>
      <c r="G143" s="104"/>
      <c r="H143" s="104"/>
      <c r="I143" s="104"/>
      <c r="J143" s="104"/>
      <c r="K143" s="104"/>
      <c r="L143" s="104"/>
      <c r="M143" s="104"/>
      <c r="N143" s="104"/>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c r="AM143" s="104"/>
      <c r="AN143" s="104"/>
      <c r="AO143" s="104"/>
      <c r="AP143" s="104"/>
      <c r="AQ143" s="104"/>
      <c r="AR143" s="104"/>
      <c r="AS143" s="104"/>
      <c r="AT143" s="104"/>
      <c r="AU143" s="102"/>
    </row>
    <row r="144" spans="3:47" x14ac:dyDescent="0.3">
      <c r="C144" s="100"/>
      <c r="D144" s="104"/>
      <c r="E144" s="104"/>
      <c r="F144" s="104"/>
      <c r="G144" s="104"/>
      <c r="H144" s="104"/>
      <c r="I144" s="104"/>
      <c r="J144" s="104"/>
      <c r="K144" s="104"/>
      <c r="L144" s="104"/>
      <c r="M144" s="104"/>
      <c r="N144" s="104"/>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c r="AM144" s="104"/>
      <c r="AN144" s="104"/>
      <c r="AO144" s="104"/>
      <c r="AP144" s="104"/>
      <c r="AQ144" s="104"/>
      <c r="AR144" s="104"/>
      <c r="AS144" s="104"/>
      <c r="AT144" s="104"/>
      <c r="AU144" s="102"/>
    </row>
    <row r="145" spans="3:47" x14ac:dyDescent="0.3">
      <c r="C145" s="100"/>
      <c r="D145" s="104"/>
      <c r="E145" s="104"/>
      <c r="F145" s="104"/>
      <c r="G145" s="104"/>
      <c r="H145" s="104"/>
      <c r="I145" s="104"/>
      <c r="J145" s="104"/>
      <c r="K145" s="104"/>
      <c r="L145" s="104"/>
      <c r="M145" s="104"/>
      <c r="N145" s="104"/>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c r="AM145" s="104"/>
      <c r="AN145" s="104"/>
      <c r="AO145" s="104"/>
      <c r="AP145" s="104"/>
      <c r="AQ145" s="104"/>
      <c r="AR145" s="104"/>
      <c r="AS145" s="104"/>
      <c r="AT145" s="104"/>
      <c r="AU145" s="102"/>
    </row>
    <row r="146" spans="3:47" x14ac:dyDescent="0.3">
      <c r="C146" s="100"/>
      <c r="D146" s="104"/>
      <c r="E146" s="104"/>
      <c r="F146" s="104"/>
      <c r="G146" s="104"/>
      <c r="H146" s="104"/>
      <c r="I146" s="104"/>
      <c r="J146" s="104"/>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c r="AM146" s="104"/>
      <c r="AN146" s="104"/>
      <c r="AO146" s="104"/>
      <c r="AP146" s="104"/>
      <c r="AQ146" s="104"/>
      <c r="AR146" s="104"/>
      <c r="AS146" s="104"/>
      <c r="AT146" s="104"/>
      <c r="AU146" s="102"/>
    </row>
    <row r="147" spans="3:47" x14ac:dyDescent="0.3">
      <c r="C147" s="100"/>
      <c r="D147" s="104"/>
      <c r="E147" s="104"/>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c r="AM147" s="104"/>
      <c r="AN147" s="104"/>
      <c r="AO147" s="104"/>
      <c r="AP147" s="104"/>
      <c r="AQ147" s="104"/>
      <c r="AR147" s="104"/>
      <c r="AS147" s="104"/>
      <c r="AT147" s="104"/>
      <c r="AU147" s="102"/>
    </row>
    <row r="148" spans="3:47" x14ac:dyDescent="0.3">
      <c r="C148" s="100"/>
      <c r="D148" s="104"/>
      <c r="E148" s="104"/>
      <c r="F148" s="104"/>
      <c r="G148" s="104"/>
      <c r="H148" s="104"/>
      <c r="I148" s="104"/>
      <c r="J148" s="104"/>
      <c r="K148" s="104"/>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c r="AM148" s="104"/>
      <c r="AN148" s="104"/>
      <c r="AO148" s="104"/>
      <c r="AP148" s="104"/>
      <c r="AQ148" s="104"/>
      <c r="AR148" s="104"/>
      <c r="AS148" s="104"/>
      <c r="AT148" s="104"/>
      <c r="AU148" s="102"/>
    </row>
    <row r="149" spans="3:47" x14ac:dyDescent="0.3">
      <c r="C149" s="100"/>
      <c r="D149" s="104"/>
      <c r="E149" s="104"/>
      <c r="F149" s="104"/>
      <c r="G149" s="104"/>
      <c r="H149" s="104"/>
      <c r="I149" s="104"/>
      <c r="J149" s="104"/>
      <c r="K149" s="104"/>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c r="AM149" s="104"/>
      <c r="AN149" s="104"/>
      <c r="AO149" s="104"/>
      <c r="AP149" s="104"/>
      <c r="AQ149" s="104"/>
      <c r="AR149" s="104"/>
      <c r="AS149" s="104"/>
      <c r="AT149" s="104"/>
      <c r="AU149" s="102"/>
    </row>
    <row r="150" spans="3:47" x14ac:dyDescent="0.3">
      <c r="C150" s="100"/>
      <c r="D150" s="104"/>
      <c r="E150" s="104"/>
      <c r="F150" s="104"/>
      <c r="G150" s="104"/>
      <c r="H150" s="104"/>
      <c r="I150" s="104"/>
      <c r="J150" s="104"/>
      <c r="K150" s="104"/>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c r="AM150" s="104"/>
      <c r="AN150" s="104"/>
      <c r="AO150" s="104"/>
      <c r="AP150" s="104"/>
      <c r="AQ150" s="104"/>
      <c r="AR150" s="104"/>
      <c r="AS150" s="104"/>
      <c r="AT150" s="104"/>
      <c r="AU150" s="102"/>
    </row>
    <row r="151" spans="3:47" x14ac:dyDescent="0.3">
      <c r="C151" s="100"/>
      <c r="D151" s="122" t="s">
        <v>269</v>
      </c>
      <c r="E151" s="122"/>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c r="AB151" s="122"/>
      <c r="AC151" s="122"/>
      <c r="AD151" s="122"/>
      <c r="AE151" s="122"/>
      <c r="AF151" s="122"/>
      <c r="AG151" s="122"/>
      <c r="AH151" s="122"/>
      <c r="AI151" s="122"/>
      <c r="AJ151" s="122"/>
      <c r="AK151" s="122"/>
      <c r="AL151" s="122"/>
      <c r="AM151" s="122"/>
      <c r="AN151" s="122"/>
      <c r="AO151" s="122"/>
      <c r="AP151" s="122"/>
      <c r="AQ151" s="122"/>
      <c r="AR151" s="122"/>
      <c r="AS151" s="122"/>
      <c r="AT151" s="122"/>
      <c r="AU151" s="102"/>
    </row>
    <row r="152" spans="3:47" x14ac:dyDescent="0.3">
      <c r="C152" s="100"/>
      <c r="D152" s="104"/>
      <c r="E152" s="101" t="s">
        <v>313</v>
      </c>
      <c r="F152" s="101"/>
      <c r="G152" s="101"/>
      <c r="H152" s="101"/>
      <c r="I152" s="101"/>
      <c r="J152" s="101"/>
      <c r="K152" s="101"/>
      <c r="L152" s="101"/>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c r="AJ152" s="101"/>
      <c r="AK152" s="101"/>
      <c r="AL152" s="101"/>
      <c r="AM152" s="101"/>
      <c r="AN152" s="101"/>
      <c r="AO152" s="101"/>
      <c r="AP152" s="101"/>
      <c r="AQ152" s="101"/>
      <c r="AR152" s="101"/>
      <c r="AS152" s="101"/>
      <c r="AT152" s="101"/>
      <c r="AU152" s="102"/>
    </row>
    <row r="153" spans="3:47" x14ac:dyDescent="0.3">
      <c r="C153" s="100"/>
      <c r="D153" s="104"/>
      <c r="E153" s="101" t="s">
        <v>314</v>
      </c>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c r="AC153" s="101"/>
      <c r="AD153" s="101"/>
      <c r="AE153" s="101"/>
      <c r="AF153" s="101"/>
      <c r="AG153" s="101"/>
      <c r="AH153" s="101"/>
      <c r="AI153" s="101"/>
      <c r="AJ153" s="101"/>
      <c r="AK153" s="101"/>
      <c r="AL153" s="101"/>
      <c r="AM153" s="101"/>
      <c r="AN153" s="101"/>
      <c r="AO153" s="101"/>
      <c r="AP153" s="101"/>
      <c r="AQ153" s="101"/>
      <c r="AR153" s="101"/>
      <c r="AS153" s="101"/>
      <c r="AT153" s="101"/>
      <c r="AU153" s="102"/>
    </row>
    <row r="154" spans="3:47" x14ac:dyDescent="0.3">
      <c r="C154" s="100"/>
      <c r="D154" s="104"/>
      <c r="E154" s="104"/>
      <c r="F154" s="123" t="s">
        <v>270</v>
      </c>
      <c r="G154" s="123"/>
      <c r="H154" s="101" t="s">
        <v>315</v>
      </c>
      <c r="I154" s="101"/>
      <c r="J154" s="101"/>
      <c r="K154" s="101"/>
      <c r="L154" s="101"/>
      <c r="M154" s="101"/>
      <c r="N154" s="101"/>
      <c r="O154" s="101"/>
      <c r="P154" s="101"/>
      <c r="Q154" s="101"/>
      <c r="R154" s="101"/>
      <c r="S154" s="101"/>
      <c r="T154" s="101"/>
      <c r="U154" s="101"/>
      <c r="V154" s="101"/>
      <c r="W154" s="101"/>
      <c r="X154" s="101"/>
      <c r="Y154" s="101"/>
      <c r="Z154" s="101"/>
      <c r="AA154" s="101"/>
      <c r="AB154" s="101"/>
      <c r="AC154" s="101"/>
      <c r="AD154" s="101"/>
      <c r="AE154" s="101"/>
      <c r="AF154" s="101"/>
      <c r="AG154" s="101"/>
      <c r="AH154" s="101"/>
      <c r="AI154" s="101"/>
      <c r="AJ154" s="101"/>
      <c r="AK154" s="101"/>
      <c r="AL154" s="101"/>
      <c r="AM154" s="101"/>
      <c r="AN154" s="101"/>
      <c r="AO154" s="101"/>
      <c r="AP154" s="101"/>
      <c r="AQ154" s="101"/>
      <c r="AR154" s="101"/>
      <c r="AS154" s="101"/>
      <c r="AT154" s="101"/>
      <c r="AU154" s="102"/>
    </row>
    <row r="155" spans="3:47" x14ac:dyDescent="0.3">
      <c r="C155" s="100"/>
      <c r="D155" s="104"/>
      <c r="E155" s="104"/>
      <c r="F155" s="124"/>
      <c r="G155" s="124"/>
      <c r="H155" s="110"/>
      <c r="I155" s="110"/>
      <c r="J155" s="110"/>
      <c r="K155" s="110"/>
      <c r="L155" s="110"/>
      <c r="M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02"/>
    </row>
    <row r="156" spans="3:47" x14ac:dyDescent="0.3">
      <c r="C156" s="100"/>
      <c r="D156" s="104"/>
      <c r="E156" s="104"/>
      <c r="F156" s="123" t="s">
        <v>271</v>
      </c>
      <c r="G156" s="123"/>
      <c r="H156" s="101" t="s">
        <v>272</v>
      </c>
      <c r="I156" s="101"/>
      <c r="J156" s="101"/>
      <c r="K156" s="101"/>
      <c r="L156" s="101"/>
      <c r="M156" s="101"/>
      <c r="N156" s="101"/>
      <c r="O156" s="101"/>
      <c r="P156" s="101"/>
      <c r="Q156" s="101"/>
      <c r="R156" s="101"/>
      <c r="S156" s="101"/>
      <c r="T156" s="101"/>
      <c r="U156" s="101"/>
      <c r="V156" s="101"/>
      <c r="W156" s="101"/>
      <c r="X156" s="101"/>
      <c r="Y156" s="101"/>
      <c r="Z156" s="101"/>
      <c r="AA156" s="101"/>
      <c r="AB156" s="101"/>
      <c r="AC156" s="101"/>
      <c r="AD156" s="101"/>
      <c r="AE156" s="101"/>
      <c r="AF156" s="101"/>
      <c r="AG156" s="101"/>
      <c r="AH156" s="101"/>
      <c r="AI156" s="101"/>
      <c r="AJ156" s="101"/>
      <c r="AK156" s="101"/>
      <c r="AL156" s="101"/>
      <c r="AM156" s="101"/>
      <c r="AN156" s="101"/>
      <c r="AO156" s="101"/>
      <c r="AP156" s="101"/>
      <c r="AQ156" s="101"/>
      <c r="AR156" s="101"/>
      <c r="AS156" s="101"/>
      <c r="AT156" s="101"/>
      <c r="AU156" s="102"/>
    </row>
    <row r="157" spans="3:47" x14ac:dyDescent="0.3">
      <c r="C157" s="100"/>
      <c r="D157" s="104"/>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04"/>
      <c r="AM157" s="104"/>
      <c r="AN157" s="104"/>
      <c r="AO157" s="104"/>
      <c r="AP157" s="104"/>
      <c r="AQ157" s="104"/>
      <c r="AR157" s="104"/>
      <c r="AS157" s="104"/>
      <c r="AT157" s="104"/>
      <c r="AU157" s="102"/>
    </row>
    <row r="158" spans="3:47" x14ac:dyDescent="0.3">
      <c r="C158" s="100"/>
      <c r="D158" s="104"/>
      <c r="E158" s="104"/>
      <c r="F158" s="104"/>
      <c r="G158" s="104"/>
      <c r="H158" s="101" t="s">
        <v>273</v>
      </c>
      <c r="I158" s="101"/>
      <c r="J158" s="101"/>
      <c r="K158" s="101"/>
      <c r="L158" s="101"/>
      <c r="M158" s="101"/>
      <c r="N158" s="101"/>
      <c r="O158" s="101"/>
      <c r="P158" s="101"/>
      <c r="Q158" s="101"/>
      <c r="R158" s="101"/>
      <c r="S158" s="101"/>
      <c r="T158" s="101"/>
      <c r="U158" s="101"/>
      <c r="V158" s="101"/>
      <c r="W158" s="101"/>
      <c r="X158" s="101"/>
      <c r="Y158" s="101"/>
      <c r="Z158" s="101"/>
      <c r="AA158" s="101"/>
      <c r="AB158" s="101"/>
      <c r="AC158" s="101"/>
      <c r="AD158" s="101"/>
      <c r="AE158" s="101"/>
      <c r="AF158" s="101"/>
      <c r="AG158" s="101"/>
      <c r="AH158" s="101"/>
      <c r="AI158" s="101"/>
      <c r="AJ158" s="101"/>
      <c r="AK158" s="101"/>
      <c r="AL158" s="101"/>
      <c r="AM158" s="101"/>
      <c r="AN158" s="101"/>
      <c r="AO158" s="101"/>
      <c r="AP158" s="101"/>
      <c r="AQ158" s="101"/>
      <c r="AR158" s="101"/>
      <c r="AS158" s="101"/>
      <c r="AT158" s="101"/>
      <c r="AU158" s="102"/>
    </row>
    <row r="159" spans="3:47" x14ac:dyDescent="0.3">
      <c r="C159" s="100"/>
      <c r="D159" s="104"/>
      <c r="E159" s="101" t="s">
        <v>316</v>
      </c>
      <c r="F159" s="101"/>
      <c r="G159" s="101"/>
      <c r="H159" s="101"/>
      <c r="I159" s="101"/>
      <c r="J159" s="101"/>
      <c r="K159" s="101"/>
      <c r="L159" s="101"/>
      <c r="M159" s="101"/>
      <c r="N159" s="101"/>
      <c r="O159" s="101"/>
      <c r="P159" s="101"/>
      <c r="Q159" s="101"/>
      <c r="R159" s="101"/>
      <c r="S159" s="101"/>
      <c r="T159" s="101"/>
      <c r="U159" s="101"/>
      <c r="V159" s="101"/>
      <c r="W159" s="101"/>
      <c r="X159" s="101"/>
      <c r="Y159" s="101"/>
      <c r="Z159" s="101"/>
      <c r="AA159" s="101"/>
      <c r="AB159" s="101"/>
      <c r="AC159" s="101"/>
      <c r="AD159" s="101"/>
      <c r="AE159" s="101"/>
      <c r="AF159" s="101"/>
      <c r="AG159" s="101"/>
      <c r="AH159" s="101"/>
      <c r="AI159" s="101"/>
      <c r="AJ159" s="101"/>
      <c r="AK159" s="101"/>
      <c r="AL159" s="101"/>
      <c r="AM159" s="101"/>
      <c r="AN159" s="101"/>
      <c r="AO159" s="101"/>
      <c r="AP159" s="101"/>
      <c r="AQ159" s="101"/>
      <c r="AR159" s="101"/>
      <c r="AS159" s="101"/>
      <c r="AT159" s="101"/>
      <c r="AU159" s="102"/>
    </row>
    <row r="160" spans="3:47" x14ac:dyDescent="0.3">
      <c r="C160" s="100"/>
      <c r="D160" s="104"/>
      <c r="E160" s="101" t="s">
        <v>309</v>
      </c>
      <c r="F160" s="101"/>
      <c r="G160" s="101"/>
      <c r="H160" s="101"/>
      <c r="I160" s="101"/>
      <c r="J160" s="101"/>
      <c r="K160" s="101"/>
      <c r="L160" s="101"/>
      <c r="M160" s="101"/>
      <c r="N160" s="101"/>
      <c r="O160" s="101"/>
      <c r="P160" s="101"/>
      <c r="Q160" s="101"/>
      <c r="R160" s="101"/>
      <c r="S160" s="101"/>
      <c r="T160" s="101"/>
      <c r="U160" s="101"/>
      <c r="V160" s="101"/>
      <c r="W160" s="101"/>
      <c r="X160" s="101"/>
      <c r="Y160" s="101"/>
      <c r="Z160" s="101"/>
      <c r="AA160" s="101"/>
      <c r="AB160" s="101"/>
      <c r="AC160" s="101"/>
      <c r="AD160" s="101"/>
      <c r="AE160" s="101"/>
      <c r="AF160" s="101"/>
      <c r="AG160" s="101"/>
      <c r="AH160" s="101"/>
      <c r="AI160" s="101"/>
      <c r="AJ160" s="101"/>
      <c r="AK160" s="101"/>
      <c r="AL160" s="101"/>
      <c r="AM160" s="101"/>
      <c r="AN160" s="101"/>
      <c r="AO160" s="101"/>
      <c r="AP160" s="101"/>
      <c r="AQ160" s="101"/>
      <c r="AR160" s="101"/>
      <c r="AS160" s="101"/>
      <c r="AT160" s="101"/>
      <c r="AU160" s="102"/>
    </row>
    <row r="161" spans="3:47" x14ac:dyDescent="0.3">
      <c r="C161" s="100"/>
      <c r="D161" s="104"/>
      <c r="E161" s="125" t="s">
        <v>274</v>
      </c>
      <c r="F161" s="125"/>
      <c r="G161" s="125"/>
      <c r="H161" s="125"/>
      <c r="I161" s="125"/>
      <c r="J161" s="125"/>
      <c r="K161" s="125"/>
      <c r="L161" s="125"/>
      <c r="M161" s="125"/>
      <c r="N161" s="125"/>
      <c r="O161" s="125"/>
      <c r="P161" s="125"/>
      <c r="Q161" s="125"/>
      <c r="R161" s="125"/>
      <c r="S161" s="125"/>
      <c r="T161" s="125"/>
      <c r="U161" s="125"/>
      <c r="V161" s="125"/>
      <c r="W161" s="125"/>
      <c r="X161" s="125"/>
      <c r="Y161" s="125"/>
      <c r="Z161" s="125"/>
      <c r="AA161" s="125"/>
      <c r="AB161" s="125"/>
      <c r="AC161" s="125"/>
      <c r="AD161" s="125"/>
      <c r="AE161" s="125"/>
      <c r="AF161" s="125"/>
      <c r="AG161" s="125"/>
      <c r="AH161" s="125"/>
      <c r="AI161" s="125"/>
      <c r="AJ161" s="125"/>
      <c r="AK161" s="125"/>
      <c r="AL161" s="125"/>
      <c r="AM161" s="125"/>
      <c r="AN161" s="125"/>
      <c r="AO161" s="125"/>
      <c r="AP161" s="125"/>
      <c r="AQ161" s="125"/>
      <c r="AR161" s="125"/>
      <c r="AS161" s="125"/>
      <c r="AT161" s="125"/>
      <c r="AU161" s="102"/>
    </row>
    <row r="162" spans="3:47" x14ac:dyDescent="0.3">
      <c r="C162" s="100"/>
      <c r="D162" s="104"/>
      <c r="E162" s="125"/>
      <c r="F162" s="125"/>
      <c r="G162" s="125"/>
      <c r="H162" s="125"/>
      <c r="I162" s="125"/>
      <c r="J162" s="125"/>
      <c r="K162" s="125"/>
      <c r="L162" s="125"/>
      <c r="M162" s="125"/>
      <c r="N162" s="125"/>
      <c r="O162" s="125"/>
      <c r="P162" s="125"/>
      <c r="Q162" s="125"/>
      <c r="R162" s="125"/>
      <c r="S162" s="125"/>
      <c r="T162" s="125"/>
      <c r="U162" s="125"/>
      <c r="V162" s="125"/>
      <c r="W162" s="125"/>
      <c r="X162" s="125"/>
      <c r="Y162" s="125"/>
      <c r="Z162" s="125"/>
      <c r="AA162" s="125"/>
      <c r="AB162" s="125"/>
      <c r="AC162" s="125"/>
      <c r="AD162" s="125"/>
      <c r="AE162" s="125"/>
      <c r="AF162" s="125"/>
      <c r="AG162" s="125"/>
      <c r="AH162" s="125"/>
      <c r="AI162" s="125"/>
      <c r="AJ162" s="125"/>
      <c r="AK162" s="125"/>
      <c r="AL162" s="125"/>
      <c r="AM162" s="125"/>
      <c r="AN162" s="125"/>
      <c r="AO162" s="125"/>
      <c r="AP162" s="125"/>
      <c r="AQ162" s="125"/>
      <c r="AR162" s="125"/>
      <c r="AS162" s="125"/>
      <c r="AT162" s="125"/>
      <c r="AU162" s="102"/>
    </row>
    <row r="163" spans="3:47" x14ac:dyDescent="0.3">
      <c r="C163" s="100"/>
      <c r="D163" s="104"/>
      <c r="E163" s="104"/>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c r="AM163" s="104"/>
      <c r="AN163" s="104"/>
      <c r="AO163" s="104"/>
      <c r="AP163" s="104"/>
      <c r="AQ163" s="104"/>
      <c r="AR163" s="104"/>
      <c r="AS163" s="104"/>
      <c r="AT163" s="104"/>
      <c r="AU163" s="102"/>
    </row>
    <row r="164" spans="3:47" x14ac:dyDescent="0.3">
      <c r="C164" s="100"/>
      <c r="D164" s="104"/>
      <c r="E164" s="101" t="s">
        <v>276</v>
      </c>
      <c r="F164" s="101"/>
      <c r="G164" s="101"/>
      <c r="H164" s="101"/>
      <c r="I164" s="101"/>
      <c r="J164" s="101"/>
      <c r="K164" s="101"/>
      <c r="L164" s="101"/>
      <c r="M164" s="101"/>
      <c r="N164" s="101"/>
      <c r="O164" s="101"/>
      <c r="P164" s="101"/>
      <c r="Q164" s="101"/>
      <c r="R164" s="101"/>
      <c r="S164" s="101"/>
      <c r="T164" s="101"/>
      <c r="U164" s="101"/>
      <c r="V164" s="101"/>
      <c r="W164" s="101"/>
      <c r="X164" s="101"/>
      <c r="Y164" s="101"/>
      <c r="Z164" s="101"/>
      <c r="AA164" s="101"/>
      <c r="AB164" s="101"/>
      <c r="AC164" s="101"/>
      <c r="AD164" s="101"/>
      <c r="AE164" s="101"/>
      <c r="AF164" s="101"/>
      <c r="AG164" s="101"/>
      <c r="AH164" s="101"/>
      <c r="AI164" s="101"/>
      <c r="AJ164" s="101"/>
      <c r="AK164" s="101"/>
      <c r="AL164" s="101"/>
      <c r="AM164" s="101"/>
      <c r="AN164" s="101"/>
      <c r="AO164" s="101"/>
      <c r="AP164" s="101"/>
      <c r="AQ164" s="101"/>
      <c r="AR164" s="101"/>
      <c r="AS164" s="101"/>
      <c r="AT164" s="101"/>
      <c r="AU164" s="126"/>
    </row>
    <row r="165" spans="3:47" x14ac:dyDescent="0.3">
      <c r="C165" s="100"/>
      <c r="D165" s="104"/>
      <c r="E165" s="37" t="s">
        <v>7</v>
      </c>
      <c r="F165" s="37"/>
      <c r="G165" s="38" t="s">
        <v>106</v>
      </c>
      <c r="H165" s="38"/>
      <c r="I165" s="38" t="s">
        <v>107</v>
      </c>
      <c r="J165" s="38"/>
      <c r="K165" s="38"/>
      <c r="L165" s="38" t="s">
        <v>108</v>
      </c>
      <c r="M165" s="38"/>
      <c r="N165" s="38"/>
      <c r="O165" s="38" t="s">
        <v>120</v>
      </c>
      <c r="P165" s="38"/>
      <c r="Q165" s="38"/>
      <c r="R165" s="38"/>
      <c r="S165" s="38"/>
      <c r="T165" s="38" t="s">
        <v>121</v>
      </c>
      <c r="U165" s="38"/>
      <c r="V165" s="38"/>
      <c r="W165" s="38"/>
      <c r="X165" s="38" t="s">
        <v>122</v>
      </c>
      <c r="Y165" s="38"/>
      <c r="Z165" s="38"/>
      <c r="AA165" s="38"/>
      <c r="AB165" s="38" t="s">
        <v>123</v>
      </c>
      <c r="AC165" s="38"/>
      <c r="AD165" s="38"/>
      <c r="AE165" s="38"/>
      <c r="AF165" s="104"/>
      <c r="AG165" s="104"/>
      <c r="AH165" s="104"/>
      <c r="AI165" s="104"/>
      <c r="AJ165" s="104"/>
      <c r="AK165" s="104"/>
      <c r="AL165" s="104"/>
      <c r="AM165" s="104"/>
      <c r="AN165" s="104"/>
      <c r="AO165" s="104"/>
      <c r="AP165" s="104"/>
      <c r="AQ165" s="104"/>
      <c r="AR165" s="104"/>
      <c r="AS165" s="104"/>
      <c r="AT165" s="104"/>
      <c r="AU165" s="102"/>
    </row>
    <row r="166" spans="3:47" x14ac:dyDescent="0.3">
      <c r="C166" s="100"/>
      <c r="D166" s="104"/>
      <c r="E166" s="39"/>
      <c r="F166" s="40"/>
      <c r="G166" s="41">
        <v>1</v>
      </c>
      <c r="H166" s="42"/>
      <c r="I166" s="42">
        <v>2</v>
      </c>
      <c r="J166" s="42"/>
      <c r="K166" s="42"/>
      <c r="L166" s="42">
        <v>6</v>
      </c>
      <c r="M166" s="42"/>
      <c r="N166" s="42"/>
      <c r="O166" s="42" t="s">
        <v>125</v>
      </c>
      <c r="P166" s="42"/>
      <c r="Q166" s="42"/>
      <c r="R166" s="42"/>
      <c r="S166" s="42"/>
      <c r="T166" s="42"/>
      <c r="U166" s="42"/>
      <c r="V166" s="42"/>
      <c r="W166" s="42"/>
      <c r="X166" s="43"/>
      <c r="Y166" s="43"/>
      <c r="Z166" s="43"/>
      <c r="AA166" s="43"/>
      <c r="AB166" s="43"/>
      <c r="AC166" s="43"/>
      <c r="AD166" s="43"/>
      <c r="AE166" s="44"/>
      <c r="AF166" s="104"/>
      <c r="AG166" s="104"/>
      <c r="AH166" s="104"/>
      <c r="AI166" s="104"/>
      <c r="AJ166" s="104"/>
      <c r="AK166" s="104"/>
      <c r="AL166" s="104"/>
      <c r="AM166" s="104"/>
      <c r="AN166" s="104"/>
      <c r="AO166" s="104"/>
      <c r="AP166" s="104"/>
      <c r="AQ166" s="104"/>
      <c r="AR166" s="104"/>
      <c r="AS166" s="104"/>
      <c r="AT166" s="104"/>
      <c r="AU166" s="102"/>
    </row>
    <row r="167" spans="3:47" x14ac:dyDescent="0.3">
      <c r="C167" s="100"/>
      <c r="D167" s="104"/>
      <c r="E167" s="45"/>
      <c r="F167" s="46"/>
      <c r="G167" s="47">
        <v>1</v>
      </c>
      <c r="H167" s="48"/>
      <c r="I167" s="48">
        <v>3</v>
      </c>
      <c r="J167" s="48"/>
      <c r="K167" s="48"/>
      <c r="L167" s="48">
        <v>10</v>
      </c>
      <c r="M167" s="48"/>
      <c r="N167" s="48"/>
      <c r="O167" s="48" t="s">
        <v>126</v>
      </c>
      <c r="P167" s="48"/>
      <c r="Q167" s="48"/>
      <c r="R167" s="48"/>
      <c r="S167" s="48"/>
      <c r="T167" s="48">
        <v>1</v>
      </c>
      <c r="U167" s="48"/>
      <c r="V167" s="48"/>
      <c r="W167" s="48"/>
      <c r="X167" s="48">
        <v>0.1</v>
      </c>
      <c r="Y167" s="48"/>
      <c r="Z167" s="48"/>
      <c r="AA167" s="48"/>
      <c r="AB167" s="49"/>
      <c r="AC167" s="49"/>
      <c r="AD167" s="49"/>
      <c r="AE167" s="50"/>
      <c r="AF167" s="104"/>
      <c r="AG167" s="104"/>
      <c r="AH167" s="104"/>
      <c r="AI167" s="104"/>
      <c r="AJ167" s="104"/>
      <c r="AK167" s="104"/>
      <c r="AL167" s="104"/>
      <c r="AM167" s="104"/>
      <c r="AN167" s="104"/>
      <c r="AO167" s="104"/>
      <c r="AP167" s="104"/>
      <c r="AQ167" s="104"/>
      <c r="AR167" s="104"/>
      <c r="AS167" s="104"/>
      <c r="AT167" s="104"/>
      <c r="AU167" s="102"/>
    </row>
    <row r="168" spans="3:47" x14ac:dyDescent="0.3">
      <c r="C168" s="100"/>
      <c r="D168" s="104"/>
      <c r="E168" s="45"/>
      <c r="F168" s="46"/>
      <c r="G168" s="47">
        <v>1</v>
      </c>
      <c r="H168" s="48"/>
      <c r="I168" s="48">
        <v>6</v>
      </c>
      <c r="J168" s="48"/>
      <c r="K168" s="48"/>
      <c r="L168" s="48">
        <v>9</v>
      </c>
      <c r="M168" s="48"/>
      <c r="N168" s="48"/>
      <c r="O168" s="48" t="s">
        <v>127</v>
      </c>
      <c r="P168" s="48"/>
      <c r="Q168" s="48"/>
      <c r="R168" s="48"/>
      <c r="S168" s="48"/>
      <c r="T168" s="48" t="s">
        <v>157</v>
      </c>
      <c r="U168" s="48"/>
      <c r="V168" s="48"/>
      <c r="W168" s="48"/>
      <c r="X168" s="48">
        <v>0</v>
      </c>
      <c r="Y168" s="48"/>
      <c r="Z168" s="48"/>
      <c r="AA168" s="48"/>
      <c r="AB168" s="48">
        <v>3.7</v>
      </c>
      <c r="AC168" s="48"/>
      <c r="AD168" s="48"/>
      <c r="AE168" s="51"/>
      <c r="AF168" s="104"/>
      <c r="AG168" s="104"/>
      <c r="AH168" s="104"/>
      <c r="AI168" s="104"/>
      <c r="AJ168" s="104"/>
      <c r="AK168" s="104"/>
      <c r="AL168" s="104"/>
      <c r="AM168" s="104"/>
      <c r="AN168" s="104"/>
      <c r="AO168" s="104"/>
      <c r="AP168" s="104"/>
      <c r="AQ168" s="104"/>
      <c r="AR168" s="104"/>
      <c r="AS168" s="104"/>
      <c r="AT168" s="104"/>
      <c r="AU168" s="102"/>
    </row>
    <row r="169" spans="3:47" x14ac:dyDescent="0.3">
      <c r="C169" s="100"/>
      <c r="D169" s="104"/>
      <c r="E169" s="52"/>
      <c r="F169" s="53"/>
      <c r="G169" s="54">
        <v>2</v>
      </c>
      <c r="H169" s="55"/>
      <c r="I169" s="55">
        <v>1</v>
      </c>
      <c r="J169" s="55"/>
      <c r="K169" s="55"/>
      <c r="L169" s="55">
        <v>15</v>
      </c>
      <c r="M169" s="55"/>
      <c r="N169" s="55"/>
      <c r="O169" s="55" t="s">
        <v>128</v>
      </c>
      <c r="P169" s="55"/>
      <c r="Q169" s="55"/>
      <c r="R169" s="55"/>
      <c r="S169" s="55"/>
      <c r="T169" s="55" t="s">
        <v>270</v>
      </c>
      <c r="U169" s="55"/>
      <c r="V169" s="55"/>
      <c r="W169" s="55"/>
      <c r="X169" s="55">
        <v>1E-4</v>
      </c>
      <c r="Y169" s="55"/>
      <c r="Z169" s="55"/>
      <c r="AA169" s="55"/>
      <c r="AB169" s="56"/>
      <c r="AC169" s="56"/>
      <c r="AD169" s="56"/>
      <c r="AE169" s="57"/>
      <c r="AF169" s="104"/>
      <c r="AG169" s="104"/>
      <c r="AH169" s="104"/>
      <c r="AI169" s="104"/>
      <c r="AJ169" s="104"/>
      <c r="AK169" s="104"/>
      <c r="AL169" s="104"/>
      <c r="AM169" s="104"/>
      <c r="AN169" s="104"/>
      <c r="AO169" s="104"/>
      <c r="AP169" s="104"/>
      <c r="AQ169" s="104"/>
      <c r="AR169" s="104"/>
      <c r="AS169" s="104"/>
      <c r="AT169" s="104"/>
      <c r="AU169" s="102"/>
    </row>
    <row r="170" spans="3:47" ht="25" thickBot="1" x14ac:dyDescent="0.35">
      <c r="C170" s="105"/>
      <c r="D170" s="106"/>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c r="AD170" s="106"/>
      <c r="AE170" s="106"/>
      <c r="AF170" s="106"/>
      <c r="AG170" s="106"/>
      <c r="AH170" s="106"/>
      <c r="AI170" s="106"/>
      <c r="AJ170" s="106"/>
      <c r="AK170" s="106"/>
      <c r="AL170" s="106"/>
      <c r="AM170" s="106"/>
      <c r="AN170" s="106"/>
      <c r="AO170" s="106"/>
      <c r="AP170" s="106"/>
      <c r="AQ170" s="106"/>
      <c r="AR170" s="106"/>
      <c r="AS170" s="106"/>
      <c r="AT170" s="106"/>
      <c r="AU170" s="107"/>
    </row>
    <row r="172" spans="3:47" x14ac:dyDescent="0.3">
      <c r="C172" s="96"/>
      <c r="D172" s="97"/>
      <c r="E172" s="97"/>
      <c r="F172" s="97"/>
      <c r="G172" s="97"/>
      <c r="H172" s="97"/>
      <c r="I172" s="97"/>
      <c r="J172" s="97"/>
      <c r="K172" s="97"/>
      <c r="L172" s="97"/>
      <c r="M172" s="97"/>
      <c r="N172" s="97"/>
      <c r="O172" s="97"/>
      <c r="P172" s="97"/>
      <c r="Q172" s="97"/>
      <c r="R172" s="97"/>
      <c r="S172" s="97"/>
      <c r="T172" s="97"/>
      <c r="U172" s="97"/>
      <c r="V172" s="97"/>
      <c r="W172" s="97"/>
      <c r="X172" s="97"/>
      <c r="Y172" s="97"/>
      <c r="Z172" s="97"/>
      <c r="AA172" s="97"/>
      <c r="AB172" s="97"/>
      <c r="AC172" s="97"/>
      <c r="AD172" s="97"/>
      <c r="AE172" s="97"/>
      <c r="AF172" s="97"/>
      <c r="AG172" s="97"/>
      <c r="AH172" s="97"/>
      <c r="AI172" s="97"/>
      <c r="AJ172" s="97"/>
      <c r="AK172" s="97"/>
      <c r="AL172" s="97"/>
      <c r="AM172" s="97"/>
      <c r="AN172" s="97"/>
      <c r="AO172" s="97"/>
      <c r="AP172" s="97"/>
      <c r="AQ172" s="97"/>
      <c r="AR172" s="97"/>
      <c r="AS172" s="97"/>
      <c r="AT172" s="97"/>
      <c r="AU172" s="98"/>
    </row>
    <row r="173" spans="3:47" x14ac:dyDescent="0.3">
      <c r="C173" s="100"/>
      <c r="D173" s="108" t="s">
        <v>275</v>
      </c>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c r="AA173" s="108"/>
      <c r="AB173" s="108"/>
      <c r="AC173" s="108"/>
      <c r="AD173" s="108"/>
      <c r="AE173" s="108"/>
      <c r="AF173" s="108"/>
      <c r="AG173" s="108"/>
      <c r="AH173" s="108"/>
      <c r="AI173" s="108"/>
      <c r="AJ173" s="108"/>
      <c r="AK173" s="108"/>
      <c r="AL173" s="108"/>
      <c r="AM173" s="108"/>
      <c r="AN173" s="108"/>
      <c r="AO173" s="108"/>
      <c r="AP173" s="108"/>
      <c r="AQ173" s="108"/>
      <c r="AR173" s="108"/>
      <c r="AS173" s="108"/>
      <c r="AT173" s="108"/>
      <c r="AU173" s="102"/>
    </row>
    <row r="174" spans="3:47" x14ac:dyDescent="0.3">
      <c r="C174" s="100"/>
      <c r="D174" s="101" t="s">
        <v>277</v>
      </c>
      <c r="E174" s="101"/>
      <c r="F174" s="101"/>
      <c r="G174" s="101"/>
      <c r="H174" s="101"/>
      <c r="I174" s="101"/>
      <c r="J174" s="101"/>
      <c r="K174" s="101"/>
      <c r="L174" s="101"/>
      <c r="M174" s="101"/>
      <c r="N174" s="101"/>
      <c r="O174" s="101"/>
      <c r="P174" s="101"/>
      <c r="Q174" s="101"/>
      <c r="R174" s="101"/>
      <c r="S174" s="101"/>
      <c r="T174" s="101"/>
      <c r="U174" s="101"/>
      <c r="V174" s="101"/>
      <c r="W174" s="101"/>
      <c r="X174" s="101"/>
      <c r="Y174" s="101"/>
      <c r="Z174" s="101"/>
      <c r="AA174" s="101"/>
      <c r="AB174" s="101"/>
      <c r="AC174" s="101"/>
      <c r="AD174" s="101"/>
      <c r="AE174" s="101"/>
      <c r="AF174" s="101"/>
      <c r="AG174" s="101"/>
      <c r="AH174" s="101"/>
      <c r="AI174" s="101"/>
      <c r="AJ174" s="101"/>
      <c r="AK174" s="101"/>
      <c r="AL174" s="101"/>
      <c r="AM174" s="101"/>
      <c r="AN174" s="101"/>
      <c r="AO174" s="101"/>
      <c r="AP174" s="101"/>
      <c r="AQ174" s="101"/>
      <c r="AR174" s="101"/>
      <c r="AS174" s="101"/>
      <c r="AT174" s="101"/>
      <c r="AU174" s="102"/>
    </row>
    <row r="175" spans="3:47" x14ac:dyDescent="0.3">
      <c r="C175" s="100"/>
      <c r="D175" s="101" t="s">
        <v>317</v>
      </c>
      <c r="E175" s="101"/>
      <c r="F175" s="101"/>
      <c r="G175" s="101"/>
      <c r="H175" s="101"/>
      <c r="I175" s="101"/>
      <c r="J175" s="101"/>
      <c r="K175" s="101"/>
      <c r="L175" s="101"/>
      <c r="M175" s="101"/>
      <c r="N175" s="101"/>
      <c r="O175" s="101"/>
      <c r="P175" s="101"/>
      <c r="Q175" s="101"/>
      <c r="R175" s="101"/>
      <c r="S175" s="101"/>
      <c r="T175" s="101"/>
      <c r="U175" s="101"/>
      <c r="V175" s="101"/>
      <c r="W175" s="101"/>
      <c r="X175" s="101"/>
      <c r="Y175" s="101"/>
      <c r="Z175" s="101"/>
      <c r="AA175" s="101"/>
      <c r="AB175" s="101"/>
      <c r="AC175" s="101"/>
      <c r="AD175" s="101"/>
      <c r="AE175" s="101"/>
      <c r="AF175" s="101"/>
      <c r="AG175" s="101"/>
      <c r="AH175" s="101"/>
      <c r="AI175" s="101"/>
      <c r="AJ175" s="101"/>
      <c r="AK175" s="101"/>
      <c r="AL175" s="101"/>
      <c r="AM175" s="101"/>
      <c r="AN175" s="101"/>
      <c r="AO175" s="101"/>
      <c r="AP175" s="101"/>
      <c r="AQ175" s="101"/>
      <c r="AR175" s="101"/>
      <c r="AS175" s="101"/>
      <c r="AT175" s="101"/>
      <c r="AU175" s="102"/>
    </row>
    <row r="176" spans="3:47" x14ac:dyDescent="0.3">
      <c r="C176" s="100"/>
      <c r="D176" s="101" t="s">
        <v>318</v>
      </c>
      <c r="E176" s="101"/>
      <c r="F176" s="101"/>
      <c r="G176" s="101"/>
      <c r="H176" s="101"/>
      <c r="I176" s="101"/>
      <c r="J176" s="101"/>
      <c r="K176" s="101"/>
      <c r="L176" s="101"/>
      <c r="M176" s="101"/>
      <c r="N176" s="101"/>
      <c r="O176" s="101"/>
      <c r="P176" s="101"/>
      <c r="Q176" s="101"/>
      <c r="R176" s="101"/>
      <c r="S176" s="101"/>
      <c r="T176" s="101"/>
      <c r="U176" s="101"/>
      <c r="V176" s="101"/>
      <c r="W176" s="101"/>
      <c r="X176" s="101"/>
      <c r="Y176" s="101"/>
      <c r="Z176" s="101"/>
      <c r="AA176" s="101"/>
      <c r="AB176" s="101"/>
      <c r="AC176" s="101"/>
      <c r="AD176" s="101"/>
      <c r="AE176" s="101"/>
      <c r="AF176" s="101"/>
      <c r="AG176" s="101"/>
      <c r="AH176" s="101"/>
      <c r="AI176" s="101"/>
      <c r="AJ176" s="101"/>
      <c r="AK176" s="101"/>
      <c r="AL176" s="101"/>
      <c r="AM176" s="101"/>
      <c r="AN176" s="101"/>
      <c r="AO176" s="101"/>
      <c r="AP176" s="101"/>
      <c r="AQ176" s="101"/>
      <c r="AR176" s="101"/>
      <c r="AS176" s="101"/>
      <c r="AT176" s="101"/>
      <c r="AU176" s="102"/>
    </row>
    <row r="177" spans="3:47" x14ac:dyDescent="0.3">
      <c r="C177" s="10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02"/>
    </row>
    <row r="178" spans="3:47" x14ac:dyDescent="0.3">
      <c r="C178" s="100"/>
      <c r="D178" s="101" t="s">
        <v>278</v>
      </c>
      <c r="E178" s="101"/>
      <c r="F178" s="101"/>
      <c r="G178" s="101"/>
      <c r="H178" s="101"/>
      <c r="I178" s="101"/>
      <c r="J178" s="101"/>
      <c r="K178" s="101"/>
      <c r="L178" s="101"/>
      <c r="M178" s="101"/>
      <c r="N178" s="101"/>
      <c r="O178" s="101"/>
      <c r="P178" s="101"/>
      <c r="Q178" s="101"/>
      <c r="R178" s="101"/>
      <c r="S178" s="101"/>
      <c r="T178" s="101"/>
      <c r="U178" s="101"/>
      <c r="V178" s="101"/>
      <c r="W178" s="101"/>
      <c r="X178" s="101"/>
      <c r="Y178" s="101"/>
      <c r="Z178" s="101"/>
      <c r="AA178" s="101"/>
      <c r="AB178" s="101"/>
      <c r="AC178" s="101"/>
      <c r="AD178" s="101"/>
      <c r="AE178" s="101"/>
      <c r="AF178" s="101"/>
      <c r="AG178" s="101"/>
      <c r="AH178" s="101"/>
      <c r="AI178" s="101"/>
      <c r="AJ178" s="101"/>
      <c r="AK178" s="101"/>
      <c r="AL178" s="101"/>
      <c r="AM178" s="101"/>
      <c r="AN178" s="101"/>
      <c r="AO178" s="101"/>
      <c r="AP178" s="101"/>
      <c r="AQ178" s="101"/>
      <c r="AR178" s="101"/>
      <c r="AS178" s="101"/>
      <c r="AT178" s="101"/>
      <c r="AU178" s="102"/>
    </row>
    <row r="179" spans="3:47" x14ac:dyDescent="0.3">
      <c r="C179" s="100"/>
      <c r="D179" s="104"/>
      <c r="E179" s="58" t="s">
        <v>7</v>
      </c>
      <c r="F179" s="59"/>
      <c r="G179" s="60" t="s">
        <v>111</v>
      </c>
      <c r="H179" s="61"/>
      <c r="I179" s="59"/>
      <c r="J179" s="60" t="s">
        <v>116</v>
      </c>
      <c r="K179" s="61"/>
      <c r="L179" s="59"/>
      <c r="M179" s="61" t="s">
        <v>157</v>
      </c>
      <c r="N179" s="59"/>
      <c r="O179" s="60" t="s">
        <v>88</v>
      </c>
      <c r="P179" s="61"/>
      <c r="Q179" s="62">
        <v>1</v>
      </c>
      <c r="R179" s="63"/>
      <c r="S179" s="62">
        <v>2</v>
      </c>
      <c r="T179" s="63"/>
      <c r="U179" s="62">
        <v>3</v>
      </c>
      <c r="V179" s="63"/>
      <c r="W179" s="62">
        <v>4</v>
      </c>
      <c r="X179" s="63"/>
      <c r="Y179" s="62">
        <v>5</v>
      </c>
      <c r="Z179" s="63"/>
      <c r="AA179" s="104"/>
      <c r="AB179" s="104"/>
      <c r="AC179" s="104"/>
      <c r="AD179" s="104"/>
      <c r="AE179" s="104"/>
      <c r="AF179" s="104"/>
      <c r="AG179" s="104"/>
      <c r="AH179" s="104"/>
      <c r="AI179" s="104"/>
      <c r="AJ179" s="104"/>
      <c r="AK179" s="104"/>
      <c r="AL179" s="104"/>
      <c r="AM179" s="104"/>
      <c r="AN179" s="104"/>
      <c r="AO179" s="104"/>
      <c r="AP179" s="104"/>
      <c r="AQ179" s="104"/>
      <c r="AR179" s="104"/>
      <c r="AS179" s="104"/>
      <c r="AT179" s="104"/>
      <c r="AU179" s="102"/>
    </row>
    <row r="180" spans="3:47" x14ac:dyDescent="0.3">
      <c r="C180" s="100"/>
      <c r="D180" s="104"/>
      <c r="E180" s="64"/>
      <c r="F180" s="65"/>
      <c r="G180" s="66"/>
      <c r="H180" s="67"/>
      <c r="I180" s="67"/>
      <c r="J180" s="67"/>
      <c r="K180" s="67"/>
      <c r="L180" s="67"/>
      <c r="M180" s="67"/>
      <c r="N180" s="67"/>
      <c r="O180" s="67"/>
      <c r="P180" s="67"/>
      <c r="Q180" s="68">
        <v>1</v>
      </c>
      <c r="R180" s="69"/>
      <c r="S180" s="68">
        <v>2</v>
      </c>
      <c r="T180" s="69"/>
      <c r="U180" s="68">
        <v>3</v>
      </c>
      <c r="V180" s="69"/>
      <c r="W180" s="68">
        <v>5</v>
      </c>
      <c r="X180" s="69"/>
      <c r="Y180" s="68"/>
      <c r="Z180" s="69"/>
      <c r="AA180" s="104"/>
      <c r="AB180" s="104"/>
      <c r="AC180" s="104"/>
      <c r="AD180" s="104"/>
      <c r="AE180" s="104"/>
      <c r="AF180" s="104"/>
      <c r="AG180" s="104"/>
      <c r="AH180" s="104"/>
      <c r="AI180" s="104"/>
      <c r="AJ180" s="104"/>
      <c r="AK180" s="104"/>
      <c r="AL180" s="104"/>
      <c r="AM180" s="104"/>
      <c r="AN180" s="104"/>
      <c r="AO180" s="104"/>
      <c r="AP180" s="104"/>
      <c r="AQ180" s="104"/>
      <c r="AR180" s="104"/>
      <c r="AS180" s="104"/>
      <c r="AT180" s="104"/>
      <c r="AU180" s="102"/>
    </row>
    <row r="181" spans="3:47" x14ac:dyDescent="0.3">
      <c r="C181" s="100"/>
      <c r="D181" s="104"/>
      <c r="E181" s="70"/>
      <c r="F181" s="71"/>
      <c r="G181" s="72"/>
      <c r="H181" s="73"/>
      <c r="I181" s="73"/>
      <c r="J181" s="73"/>
      <c r="K181" s="73"/>
      <c r="L181" s="73"/>
      <c r="M181" s="73"/>
      <c r="N181" s="73"/>
      <c r="O181" s="73"/>
      <c r="P181" s="73"/>
      <c r="Q181" s="74">
        <v>1</v>
      </c>
      <c r="R181" s="75"/>
      <c r="S181" s="74">
        <v>3</v>
      </c>
      <c r="T181" s="75"/>
      <c r="U181" s="74">
        <v>4</v>
      </c>
      <c r="V181" s="75"/>
      <c r="W181" s="74"/>
      <c r="X181" s="75"/>
      <c r="Y181" s="74"/>
      <c r="Z181" s="75"/>
      <c r="AA181" s="104"/>
      <c r="AB181" s="104"/>
      <c r="AC181" s="104"/>
      <c r="AD181" s="104"/>
      <c r="AE181" s="104"/>
      <c r="AF181" s="104"/>
      <c r="AG181" s="104"/>
      <c r="AH181" s="104"/>
      <c r="AI181" s="104"/>
      <c r="AJ181" s="104"/>
      <c r="AK181" s="104"/>
      <c r="AL181" s="104"/>
      <c r="AM181" s="104"/>
      <c r="AN181" s="104"/>
      <c r="AO181" s="104"/>
      <c r="AP181" s="104"/>
      <c r="AQ181" s="104"/>
      <c r="AR181" s="104"/>
      <c r="AS181" s="104"/>
      <c r="AT181" s="104"/>
      <c r="AU181" s="102"/>
    </row>
    <row r="182" spans="3:47" x14ac:dyDescent="0.3">
      <c r="C182" s="100"/>
      <c r="D182" s="104"/>
      <c r="E182" s="104"/>
      <c r="F182" s="104"/>
      <c r="G182" s="104"/>
      <c r="H182" s="104"/>
      <c r="I182" s="104"/>
      <c r="J182" s="104"/>
      <c r="K182" s="104"/>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c r="AM182" s="104"/>
      <c r="AN182" s="104"/>
      <c r="AO182" s="104"/>
      <c r="AP182" s="104"/>
      <c r="AQ182" s="104"/>
      <c r="AR182" s="104"/>
      <c r="AS182" s="104"/>
      <c r="AT182" s="104"/>
      <c r="AU182" s="102"/>
    </row>
    <row r="183" spans="3:47" x14ac:dyDescent="0.3">
      <c r="C183" s="100"/>
      <c r="D183" s="104"/>
      <c r="E183" s="104"/>
      <c r="F183" s="104"/>
      <c r="G183" s="112" t="s">
        <v>249</v>
      </c>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4"/>
      <c r="AS183" s="104"/>
      <c r="AT183" s="104"/>
      <c r="AU183" s="102"/>
    </row>
    <row r="184" spans="3:47" x14ac:dyDescent="0.3">
      <c r="C184" s="100"/>
      <c r="D184" s="104"/>
      <c r="E184" s="104"/>
      <c r="F184" s="104"/>
      <c r="G184" s="115" t="s">
        <v>250</v>
      </c>
      <c r="H184" s="101" t="s">
        <v>319</v>
      </c>
      <c r="I184" s="101"/>
      <c r="J184" s="101"/>
      <c r="K184" s="101"/>
      <c r="L184" s="101"/>
      <c r="M184" s="101"/>
      <c r="N184" s="101"/>
      <c r="O184" s="101"/>
      <c r="P184" s="101"/>
      <c r="Q184" s="101"/>
      <c r="R184" s="101"/>
      <c r="S184" s="101"/>
      <c r="T184" s="101"/>
      <c r="U184" s="101"/>
      <c r="V184" s="101"/>
      <c r="W184" s="101"/>
      <c r="X184" s="101"/>
      <c r="Y184" s="101"/>
      <c r="Z184" s="101"/>
      <c r="AA184" s="101"/>
      <c r="AB184" s="101"/>
      <c r="AC184" s="101"/>
      <c r="AD184" s="101"/>
      <c r="AE184" s="101"/>
      <c r="AF184" s="101"/>
      <c r="AG184" s="101"/>
      <c r="AH184" s="101"/>
      <c r="AI184" s="101"/>
      <c r="AJ184" s="101"/>
      <c r="AK184" s="101"/>
      <c r="AL184" s="101"/>
      <c r="AM184" s="101"/>
      <c r="AN184" s="101"/>
      <c r="AO184" s="101"/>
      <c r="AP184" s="101"/>
      <c r="AQ184" s="101"/>
      <c r="AR184" s="116"/>
      <c r="AS184" s="104"/>
      <c r="AT184" s="104"/>
      <c r="AU184" s="102"/>
    </row>
    <row r="185" spans="3:47" x14ac:dyDescent="0.3">
      <c r="C185" s="100"/>
      <c r="D185" s="104"/>
      <c r="E185" s="104"/>
      <c r="F185" s="104"/>
      <c r="G185" s="118"/>
      <c r="H185" s="101" t="s">
        <v>320</v>
      </c>
      <c r="I185" s="101"/>
      <c r="J185" s="101"/>
      <c r="K185" s="101"/>
      <c r="L185" s="101"/>
      <c r="M185" s="101"/>
      <c r="N185" s="101"/>
      <c r="O185" s="101"/>
      <c r="P185" s="101"/>
      <c r="Q185" s="101"/>
      <c r="R185" s="101"/>
      <c r="S185" s="101"/>
      <c r="T185" s="101"/>
      <c r="U185" s="101"/>
      <c r="V185" s="101"/>
      <c r="W185" s="101"/>
      <c r="X185" s="101"/>
      <c r="Y185" s="101"/>
      <c r="Z185" s="101"/>
      <c r="AA185" s="101"/>
      <c r="AB185" s="101"/>
      <c r="AC185" s="101"/>
      <c r="AD185" s="101"/>
      <c r="AE185" s="101"/>
      <c r="AF185" s="101"/>
      <c r="AG185" s="101"/>
      <c r="AH185" s="101"/>
      <c r="AI185" s="101"/>
      <c r="AJ185" s="101"/>
      <c r="AK185" s="101"/>
      <c r="AL185" s="101"/>
      <c r="AM185" s="101"/>
      <c r="AN185" s="101"/>
      <c r="AO185" s="101"/>
      <c r="AP185" s="101"/>
      <c r="AQ185" s="101"/>
      <c r="AR185" s="116"/>
      <c r="AS185" s="104"/>
      <c r="AT185" s="104"/>
      <c r="AU185" s="102"/>
    </row>
    <row r="186" spans="3:47" x14ac:dyDescent="0.3">
      <c r="C186" s="100"/>
      <c r="D186" s="104"/>
      <c r="E186" s="104"/>
      <c r="F186" s="104"/>
      <c r="G186" s="119"/>
      <c r="H186" s="120" t="s">
        <v>251</v>
      </c>
      <c r="I186" s="120"/>
      <c r="J186" s="120"/>
      <c r="K186" s="120"/>
      <c r="L186" s="120"/>
      <c r="M186" s="120"/>
      <c r="N186" s="120"/>
      <c r="O186" s="120"/>
      <c r="P186" s="120"/>
      <c r="Q186" s="120"/>
      <c r="R186" s="120"/>
      <c r="S186" s="120"/>
      <c r="T186" s="120"/>
      <c r="U186" s="120"/>
      <c r="V186" s="120"/>
      <c r="W186" s="120"/>
      <c r="X186" s="120"/>
      <c r="Y186" s="120"/>
      <c r="Z186" s="120"/>
      <c r="AA186" s="120"/>
      <c r="AB186" s="120"/>
      <c r="AC186" s="120"/>
      <c r="AD186" s="120"/>
      <c r="AE186" s="120"/>
      <c r="AF186" s="120"/>
      <c r="AG186" s="120"/>
      <c r="AH186" s="120"/>
      <c r="AI186" s="120"/>
      <c r="AJ186" s="120"/>
      <c r="AK186" s="120"/>
      <c r="AL186" s="120"/>
      <c r="AM186" s="120"/>
      <c r="AN186" s="120"/>
      <c r="AO186" s="120"/>
      <c r="AP186" s="120"/>
      <c r="AQ186" s="120"/>
      <c r="AR186" s="121"/>
      <c r="AS186" s="104"/>
      <c r="AT186" s="104"/>
      <c r="AU186" s="102"/>
    </row>
    <row r="187" spans="3:47" ht="25" thickBot="1" x14ac:dyDescent="0.35">
      <c r="C187" s="105"/>
      <c r="D187" s="106"/>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c r="AD187" s="106"/>
      <c r="AE187" s="106"/>
      <c r="AF187" s="106"/>
      <c r="AG187" s="106"/>
      <c r="AH187" s="106"/>
      <c r="AI187" s="106"/>
      <c r="AJ187" s="106"/>
      <c r="AK187" s="106"/>
      <c r="AL187" s="106"/>
      <c r="AM187" s="106"/>
      <c r="AN187" s="106"/>
      <c r="AO187" s="106"/>
      <c r="AP187" s="106"/>
      <c r="AQ187" s="106"/>
      <c r="AR187" s="106"/>
      <c r="AS187" s="106"/>
      <c r="AT187" s="106"/>
      <c r="AU187" s="107"/>
    </row>
    <row r="189" spans="3:47" x14ac:dyDescent="0.3">
      <c r="C189" s="96"/>
      <c r="D189" s="97"/>
      <c r="E189" s="97"/>
      <c r="F189" s="97"/>
      <c r="G189" s="97"/>
      <c r="H189" s="97"/>
      <c r="I189" s="97"/>
      <c r="J189" s="97"/>
      <c r="K189" s="97"/>
      <c r="L189" s="97"/>
      <c r="M189" s="97"/>
      <c r="N189" s="97"/>
      <c r="O189" s="97"/>
      <c r="P189" s="97"/>
      <c r="Q189" s="97"/>
      <c r="R189" s="97"/>
      <c r="S189" s="97"/>
      <c r="T189" s="97"/>
      <c r="U189" s="97"/>
      <c r="V189" s="97"/>
      <c r="W189" s="97"/>
      <c r="X189" s="97"/>
      <c r="Y189" s="97"/>
      <c r="Z189" s="97"/>
      <c r="AA189" s="97"/>
      <c r="AB189" s="97"/>
      <c r="AC189" s="97"/>
      <c r="AD189" s="97"/>
      <c r="AE189" s="97"/>
      <c r="AF189" s="97"/>
      <c r="AG189" s="97"/>
      <c r="AH189" s="97"/>
      <c r="AI189" s="97"/>
      <c r="AJ189" s="97"/>
      <c r="AK189" s="97"/>
      <c r="AL189" s="97"/>
      <c r="AM189" s="97"/>
      <c r="AN189" s="97"/>
      <c r="AO189" s="97"/>
      <c r="AP189" s="97"/>
      <c r="AQ189" s="97"/>
      <c r="AR189" s="97"/>
      <c r="AS189" s="97"/>
      <c r="AT189" s="97"/>
      <c r="AU189" s="98"/>
    </row>
    <row r="190" spans="3:47" x14ac:dyDescent="0.3">
      <c r="C190" s="100"/>
      <c r="D190" s="127" t="s">
        <v>321</v>
      </c>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c r="AA190" s="127"/>
      <c r="AB190" s="127"/>
      <c r="AC190" s="127"/>
      <c r="AD190" s="127"/>
      <c r="AE190" s="127"/>
      <c r="AF190" s="127"/>
      <c r="AG190" s="127"/>
      <c r="AH190" s="127"/>
      <c r="AI190" s="127"/>
      <c r="AJ190" s="127"/>
      <c r="AK190" s="127"/>
      <c r="AL190" s="127"/>
      <c r="AM190" s="127"/>
      <c r="AN190" s="127"/>
      <c r="AO190" s="127"/>
      <c r="AP190" s="127"/>
      <c r="AQ190" s="127"/>
      <c r="AR190" s="127"/>
      <c r="AS190" s="127"/>
      <c r="AT190" s="127"/>
      <c r="AU190" s="102"/>
    </row>
    <row r="191" spans="3:47" x14ac:dyDescent="0.3">
      <c r="C191" s="100"/>
      <c r="D191" s="101" t="s">
        <v>279</v>
      </c>
      <c r="E191" s="101"/>
      <c r="F191" s="101"/>
      <c r="G191" s="101"/>
      <c r="H191" s="101"/>
      <c r="I191" s="101"/>
      <c r="J191" s="101"/>
      <c r="K191" s="101"/>
      <c r="L191" s="101"/>
      <c r="M191" s="101"/>
      <c r="N191" s="101"/>
      <c r="O191" s="101"/>
      <c r="P191" s="101"/>
      <c r="Q191" s="101"/>
      <c r="R191" s="101"/>
      <c r="S191" s="101"/>
      <c r="T191" s="101"/>
      <c r="U191" s="101"/>
      <c r="V191" s="101"/>
      <c r="W191" s="101"/>
      <c r="X191" s="101"/>
      <c r="Y191" s="101"/>
      <c r="Z191" s="101"/>
      <c r="AA191" s="101"/>
      <c r="AB191" s="101"/>
      <c r="AC191" s="101"/>
      <c r="AD191" s="101"/>
      <c r="AE191" s="101"/>
      <c r="AF191" s="101"/>
      <c r="AG191" s="101"/>
      <c r="AH191" s="101"/>
      <c r="AI191" s="101"/>
      <c r="AJ191" s="101"/>
      <c r="AK191" s="101"/>
      <c r="AL191" s="101"/>
      <c r="AM191" s="101"/>
      <c r="AN191" s="101"/>
      <c r="AO191" s="101"/>
      <c r="AP191" s="101"/>
      <c r="AQ191" s="101"/>
      <c r="AR191" s="101"/>
      <c r="AS191" s="101"/>
      <c r="AT191" s="101"/>
      <c r="AU191" s="102"/>
    </row>
    <row r="192" spans="3:47" x14ac:dyDescent="0.3">
      <c r="C192" s="100"/>
      <c r="D192" s="104"/>
      <c r="E192" s="104"/>
      <c r="F192" s="104"/>
      <c r="G192" s="104"/>
      <c r="H192" s="104"/>
      <c r="I192" s="104"/>
      <c r="J192" s="104"/>
      <c r="K192" s="104"/>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c r="AM192" s="104"/>
      <c r="AN192" s="104"/>
      <c r="AO192" s="104"/>
      <c r="AP192" s="104"/>
      <c r="AQ192" s="104"/>
      <c r="AR192" s="104"/>
      <c r="AS192" s="104"/>
      <c r="AT192" s="104"/>
      <c r="AU192" s="102"/>
    </row>
    <row r="193" spans="3:47" x14ac:dyDescent="0.3">
      <c r="C193" s="100"/>
      <c r="D193" s="104"/>
      <c r="E193" s="104"/>
      <c r="F193" s="104"/>
      <c r="G193" s="104"/>
      <c r="H193" s="104"/>
      <c r="I193" s="104"/>
      <c r="J193" s="104"/>
      <c r="K193" s="104"/>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c r="AM193" s="104"/>
      <c r="AN193" s="104"/>
      <c r="AO193" s="104"/>
      <c r="AP193" s="104"/>
      <c r="AQ193" s="104"/>
      <c r="AR193" s="104"/>
      <c r="AS193" s="104"/>
      <c r="AT193" s="104"/>
      <c r="AU193" s="102"/>
    </row>
    <row r="194" spans="3:47" ht="25" thickBot="1" x14ac:dyDescent="0.35">
      <c r="C194" s="105"/>
      <c r="D194" s="106"/>
      <c r="E194" s="106"/>
      <c r="F194" s="106"/>
      <c r="G194" s="106"/>
      <c r="H194" s="106"/>
      <c r="I194" s="106"/>
      <c r="J194" s="106"/>
      <c r="K194" s="106"/>
      <c r="L194" s="106"/>
      <c r="M194" s="106"/>
      <c r="N194" s="106"/>
      <c r="O194" s="106"/>
      <c r="P194" s="106"/>
      <c r="Q194" s="106"/>
      <c r="R194" s="106"/>
      <c r="S194" s="106"/>
      <c r="T194" s="106"/>
      <c r="U194" s="106"/>
      <c r="V194" s="106"/>
      <c r="W194" s="106"/>
      <c r="X194" s="106"/>
      <c r="Y194" s="106"/>
      <c r="Z194" s="106"/>
      <c r="AA194" s="106"/>
      <c r="AB194" s="106"/>
      <c r="AC194" s="106"/>
      <c r="AD194" s="106"/>
      <c r="AE194" s="106"/>
      <c r="AF194" s="106"/>
      <c r="AG194" s="106"/>
      <c r="AH194" s="106"/>
      <c r="AI194" s="106"/>
      <c r="AJ194" s="106"/>
      <c r="AK194" s="106"/>
      <c r="AL194" s="106"/>
      <c r="AM194" s="106"/>
      <c r="AN194" s="106"/>
      <c r="AO194" s="106"/>
      <c r="AP194" s="106"/>
      <c r="AQ194" s="106"/>
      <c r="AR194" s="106"/>
      <c r="AS194" s="106"/>
      <c r="AT194" s="106"/>
      <c r="AU194" s="107"/>
    </row>
    <row r="196" spans="3:47" x14ac:dyDescent="0.3">
      <c r="C196" s="96"/>
      <c r="D196" s="97"/>
      <c r="E196" s="97"/>
      <c r="F196" s="97"/>
      <c r="G196" s="97"/>
      <c r="H196" s="97"/>
      <c r="I196" s="97"/>
      <c r="J196" s="97"/>
      <c r="K196" s="97"/>
      <c r="L196" s="97"/>
      <c r="M196" s="97"/>
      <c r="N196" s="97"/>
      <c r="O196" s="97"/>
      <c r="P196" s="97"/>
      <c r="Q196" s="97"/>
      <c r="R196" s="97"/>
      <c r="S196" s="97"/>
      <c r="T196" s="97"/>
      <c r="U196" s="97"/>
      <c r="V196" s="97"/>
      <c r="W196" s="97"/>
      <c r="X196" s="97"/>
      <c r="Y196" s="97"/>
      <c r="Z196" s="97"/>
      <c r="AA196" s="97"/>
      <c r="AB196" s="97"/>
      <c r="AC196" s="97"/>
      <c r="AD196" s="97"/>
      <c r="AE196" s="97"/>
      <c r="AF196" s="97"/>
      <c r="AG196" s="97"/>
      <c r="AH196" s="97"/>
      <c r="AI196" s="97"/>
      <c r="AJ196" s="97"/>
      <c r="AK196" s="97"/>
      <c r="AL196" s="97"/>
      <c r="AM196" s="97"/>
      <c r="AN196" s="97"/>
      <c r="AO196" s="97"/>
      <c r="AP196" s="97"/>
      <c r="AQ196" s="97"/>
      <c r="AR196" s="97"/>
      <c r="AS196" s="97"/>
      <c r="AT196" s="97"/>
      <c r="AU196" s="98"/>
    </row>
    <row r="197" spans="3:47" x14ac:dyDescent="0.3">
      <c r="C197" s="100"/>
      <c r="D197" s="108" t="s">
        <v>280</v>
      </c>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c r="AA197" s="108"/>
      <c r="AB197" s="108"/>
      <c r="AC197" s="108"/>
      <c r="AD197" s="108"/>
      <c r="AE197" s="108"/>
      <c r="AF197" s="108"/>
      <c r="AG197" s="108"/>
      <c r="AH197" s="108"/>
      <c r="AI197" s="108"/>
      <c r="AJ197" s="108"/>
      <c r="AK197" s="108"/>
      <c r="AL197" s="108"/>
      <c r="AM197" s="108"/>
      <c r="AN197" s="108"/>
      <c r="AO197" s="108"/>
      <c r="AP197" s="108"/>
      <c r="AQ197" s="108"/>
      <c r="AR197" s="108"/>
      <c r="AS197" s="108"/>
      <c r="AT197" s="108"/>
      <c r="AU197" s="102"/>
    </row>
    <row r="198" spans="3:47" x14ac:dyDescent="0.3">
      <c r="C198" s="100"/>
      <c r="D198" s="101" t="s">
        <v>281</v>
      </c>
      <c r="E198" s="101"/>
      <c r="F198" s="101"/>
      <c r="G198" s="101"/>
      <c r="H198" s="101"/>
      <c r="I198" s="101"/>
      <c r="J198" s="101"/>
      <c r="K198" s="101"/>
      <c r="L198" s="101"/>
      <c r="M198" s="101"/>
      <c r="N198" s="101"/>
      <c r="O198" s="101"/>
      <c r="P198" s="101"/>
      <c r="Q198" s="101"/>
      <c r="R198" s="101"/>
      <c r="S198" s="101"/>
      <c r="T198" s="101"/>
      <c r="U198" s="101"/>
      <c r="V198" s="101"/>
      <c r="W198" s="101"/>
      <c r="X198" s="101"/>
      <c r="Y198" s="101"/>
      <c r="Z198" s="101"/>
      <c r="AA198" s="101"/>
      <c r="AB198" s="101"/>
      <c r="AC198" s="101"/>
      <c r="AD198" s="101"/>
      <c r="AE198" s="101"/>
      <c r="AF198" s="101"/>
      <c r="AG198" s="101"/>
      <c r="AH198" s="101"/>
      <c r="AI198" s="101"/>
      <c r="AJ198" s="101"/>
      <c r="AK198" s="101"/>
      <c r="AL198" s="101"/>
      <c r="AM198" s="101"/>
      <c r="AN198" s="101"/>
      <c r="AO198" s="101"/>
      <c r="AP198" s="101"/>
      <c r="AQ198" s="101"/>
      <c r="AR198" s="101"/>
      <c r="AS198" s="101"/>
      <c r="AT198" s="101"/>
      <c r="AU198" s="102"/>
    </row>
    <row r="199" spans="3:47" x14ac:dyDescent="0.3">
      <c r="C199" s="100"/>
      <c r="D199" s="103" t="s">
        <v>194</v>
      </c>
      <c r="E199" s="101" t="s">
        <v>282</v>
      </c>
      <c r="F199" s="101"/>
      <c r="G199" s="101"/>
      <c r="H199" s="101"/>
      <c r="I199" s="101"/>
      <c r="J199" s="101"/>
      <c r="K199" s="101"/>
      <c r="L199" s="101"/>
      <c r="M199" s="101"/>
      <c r="N199" s="101"/>
      <c r="O199" s="101"/>
      <c r="P199" s="101"/>
      <c r="Q199" s="101"/>
      <c r="R199" s="101"/>
      <c r="S199" s="101"/>
      <c r="T199" s="101"/>
      <c r="U199" s="101"/>
      <c r="V199" s="101"/>
      <c r="W199" s="101"/>
      <c r="X199" s="101"/>
      <c r="Y199" s="101"/>
      <c r="Z199" s="101"/>
      <c r="AA199" s="101"/>
      <c r="AB199" s="101"/>
      <c r="AC199" s="101"/>
      <c r="AD199" s="101"/>
      <c r="AE199" s="101"/>
      <c r="AF199" s="101"/>
      <c r="AG199" s="101"/>
      <c r="AH199" s="101"/>
      <c r="AI199" s="101"/>
      <c r="AJ199" s="101"/>
      <c r="AK199" s="101"/>
      <c r="AL199" s="101"/>
      <c r="AM199" s="101"/>
      <c r="AN199" s="101"/>
      <c r="AO199" s="101"/>
      <c r="AP199" s="101"/>
      <c r="AQ199" s="101"/>
      <c r="AR199" s="101"/>
      <c r="AS199" s="101"/>
      <c r="AT199" s="101"/>
      <c r="AU199" s="102"/>
    </row>
    <row r="200" spans="3:47" x14ac:dyDescent="0.3">
      <c r="C200" s="100"/>
      <c r="D200" s="103" t="s">
        <v>194</v>
      </c>
      <c r="E200" s="101" t="s">
        <v>283</v>
      </c>
      <c r="F200" s="101"/>
      <c r="G200" s="101"/>
      <c r="H200" s="101"/>
      <c r="I200" s="101"/>
      <c r="J200" s="101"/>
      <c r="K200" s="101"/>
      <c r="L200" s="101"/>
      <c r="M200" s="101"/>
      <c r="N200" s="101"/>
      <c r="O200" s="101"/>
      <c r="P200" s="101"/>
      <c r="Q200" s="101"/>
      <c r="R200" s="101"/>
      <c r="S200" s="101"/>
      <c r="T200" s="101"/>
      <c r="U200" s="101"/>
      <c r="V200" s="101"/>
      <c r="W200" s="101"/>
      <c r="X200" s="101"/>
      <c r="Y200" s="101"/>
      <c r="Z200" s="101"/>
      <c r="AA200" s="101"/>
      <c r="AB200" s="101"/>
      <c r="AC200" s="101"/>
      <c r="AD200" s="101"/>
      <c r="AE200" s="101"/>
      <c r="AF200" s="101"/>
      <c r="AG200" s="101"/>
      <c r="AH200" s="101"/>
      <c r="AI200" s="101"/>
      <c r="AJ200" s="101"/>
      <c r="AK200" s="101"/>
      <c r="AL200" s="101"/>
      <c r="AM200" s="101"/>
      <c r="AN200" s="101"/>
      <c r="AO200" s="101"/>
      <c r="AP200" s="101"/>
      <c r="AQ200" s="101"/>
      <c r="AR200" s="101"/>
      <c r="AS200" s="101"/>
      <c r="AT200" s="101"/>
      <c r="AU200" s="102"/>
    </row>
    <row r="201" spans="3:47" x14ac:dyDescent="0.3">
      <c r="C201" s="100"/>
      <c r="D201" s="125" t="s">
        <v>322</v>
      </c>
      <c r="E201" s="125"/>
      <c r="F201" s="125"/>
      <c r="G201" s="125"/>
      <c r="H201" s="125"/>
      <c r="I201" s="125"/>
      <c r="J201" s="125"/>
      <c r="K201" s="125"/>
      <c r="L201" s="125"/>
      <c r="M201" s="125"/>
      <c r="N201" s="125"/>
      <c r="O201" s="125"/>
      <c r="P201" s="125"/>
      <c r="Q201" s="125"/>
      <c r="R201" s="125"/>
      <c r="S201" s="125"/>
      <c r="T201" s="125"/>
      <c r="U201" s="125"/>
      <c r="V201" s="125"/>
      <c r="W201" s="125"/>
      <c r="X201" s="125"/>
      <c r="Y201" s="125"/>
      <c r="Z201" s="125"/>
      <c r="AA201" s="125"/>
      <c r="AB201" s="125"/>
      <c r="AC201" s="125"/>
      <c r="AD201" s="125"/>
      <c r="AE201" s="125"/>
      <c r="AF201" s="125"/>
      <c r="AG201" s="125"/>
      <c r="AH201" s="125"/>
      <c r="AI201" s="125"/>
      <c r="AJ201" s="125"/>
      <c r="AK201" s="125"/>
      <c r="AL201" s="125"/>
      <c r="AM201" s="125"/>
      <c r="AN201" s="125"/>
      <c r="AO201" s="125"/>
      <c r="AP201" s="125"/>
      <c r="AQ201" s="125"/>
      <c r="AR201" s="125"/>
      <c r="AS201" s="125"/>
      <c r="AT201" s="125"/>
      <c r="AU201" s="102"/>
    </row>
    <row r="202" spans="3:47" x14ac:dyDescent="0.3">
      <c r="C202" s="100"/>
      <c r="D202" s="125"/>
      <c r="E202" s="125"/>
      <c r="F202" s="125"/>
      <c r="G202" s="125"/>
      <c r="H202" s="125"/>
      <c r="I202" s="125"/>
      <c r="J202" s="125"/>
      <c r="K202" s="125"/>
      <c r="L202" s="125"/>
      <c r="M202" s="125"/>
      <c r="N202" s="125"/>
      <c r="O202" s="125"/>
      <c r="P202" s="125"/>
      <c r="Q202" s="125"/>
      <c r="R202" s="125"/>
      <c r="S202" s="125"/>
      <c r="T202" s="125"/>
      <c r="U202" s="125"/>
      <c r="V202" s="125"/>
      <c r="W202" s="125"/>
      <c r="X202" s="125"/>
      <c r="Y202" s="125"/>
      <c r="Z202" s="125"/>
      <c r="AA202" s="125"/>
      <c r="AB202" s="125"/>
      <c r="AC202" s="125"/>
      <c r="AD202" s="125"/>
      <c r="AE202" s="125"/>
      <c r="AF202" s="125"/>
      <c r="AG202" s="125"/>
      <c r="AH202" s="125"/>
      <c r="AI202" s="125"/>
      <c r="AJ202" s="125"/>
      <c r="AK202" s="125"/>
      <c r="AL202" s="125"/>
      <c r="AM202" s="125"/>
      <c r="AN202" s="125"/>
      <c r="AO202" s="125"/>
      <c r="AP202" s="125"/>
      <c r="AQ202" s="125"/>
      <c r="AR202" s="125"/>
      <c r="AS202" s="125"/>
      <c r="AT202" s="125"/>
      <c r="AU202" s="102"/>
    </row>
    <row r="203" spans="3:47" x14ac:dyDescent="0.3">
      <c r="C203" s="100"/>
      <c r="D203" s="104"/>
      <c r="E203" s="104"/>
      <c r="F203" s="104"/>
      <c r="G203" s="104"/>
      <c r="H203" s="104"/>
      <c r="I203" s="104"/>
      <c r="J203" s="104"/>
      <c r="K203" s="104"/>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c r="AM203" s="104"/>
      <c r="AN203" s="104"/>
      <c r="AO203" s="104"/>
      <c r="AP203" s="104"/>
      <c r="AQ203" s="104"/>
      <c r="AR203" s="104"/>
      <c r="AS203" s="104"/>
      <c r="AT203" s="104"/>
      <c r="AU203" s="102"/>
    </row>
    <row r="204" spans="3:47" x14ac:dyDescent="0.3">
      <c r="C204" s="100"/>
      <c r="D204" s="104"/>
      <c r="E204" s="104"/>
      <c r="F204" s="104"/>
      <c r="G204" s="104"/>
      <c r="H204" s="104"/>
      <c r="I204" s="104"/>
      <c r="J204" s="104"/>
      <c r="K204" s="104"/>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c r="AM204" s="104"/>
      <c r="AN204" s="104"/>
      <c r="AO204" s="104"/>
      <c r="AP204" s="104"/>
      <c r="AQ204" s="104"/>
      <c r="AR204" s="104"/>
      <c r="AS204" s="104"/>
      <c r="AT204" s="104"/>
      <c r="AU204" s="102"/>
    </row>
    <row r="205" spans="3:47" x14ac:dyDescent="0.3">
      <c r="C205" s="100"/>
      <c r="D205" s="104"/>
      <c r="E205" s="10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c r="AM205" s="104"/>
      <c r="AN205" s="104"/>
      <c r="AO205" s="104"/>
      <c r="AP205" s="104"/>
      <c r="AQ205" s="104"/>
      <c r="AR205" s="104"/>
      <c r="AS205" s="104"/>
      <c r="AT205" s="104"/>
      <c r="AU205" s="102"/>
    </row>
    <row r="206" spans="3:47" x14ac:dyDescent="0.3">
      <c r="C206" s="100"/>
      <c r="D206" s="104"/>
      <c r="E206" s="104"/>
      <c r="F206" s="104"/>
      <c r="G206" s="104"/>
      <c r="H206" s="104"/>
      <c r="I206" s="104"/>
      <c r="J206" s="104"/>
      <c r="K206" s="104"/>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c r="AM206" s="104"/>
      <c r="AN206" s="104"/>
      <c r="AO206" s="104"/>
      <c r="AP206" s="104"/>
      <c r="AQ206" s="104"/>
      <c r="AR206" s="104"/>
      <c r="AS206" s="104"/>
      <c r="AT206" s="104"/>
      <c r="AU206" s="102"/>
    </row>
    <row r="207" spans="3:47" x14ac:dyDescent="0.3">
      <c r="C207" s="100"/>
      <c r="D207" s="104"/>
      <c r="E207" s="104"/>
      <c r="F207" s="104"/>
      <c r="G207" s="104"/>
      <c r="H207" s="104"/>
      <c r="I207" s="104"/>
      <c r="J207" s="104"/>
      <c r="K207" s="104"/>
      <c r="L207" s="104"/>
      <c r="M207" s="104"/>
      <c r="N207" s="104"/>
      <c r="O207" s="104"/>
      <c r="P207" s="104"/>
      <c r="Q207" s="104"/>
      <c r="R207" s="104"/>
      <c r="S207" s="104"/>
      <c r="T207" s="104"/>
      <c r="U207" s="104"/>
      <c r="V207" s="104"/>
      <c r="W207" s="104"/>
      <c r="X207" s="104"/>
      <c r="Y207" s="104"/>
      <c r="Z207" s="104"/>
      <c r="AA207" s="104"/>
      <c r="AB207" s="104"/>
      <c r="AC207" s="104"/>
      <c r="AD207" s="104"/>
      <c r="AE207" s="104"/>
      <c r="AF207" s="104"/>
      <c r="AG207" s="104"/>
      <c r="AH207" s="104"/>
      <c r="AI207" s="104"/>
      <c r="AJ207" s="104"/>
      <c r="AK207" s="104"/>
      <c r="AL207" s="104"/>
      <c r="AM207" s="104"/>
      <c r="AN207" s="104"/>
      <c r="AO207" s="104"/>
      <c r="AP207" s="104"/>
      <c r="AQ207" s="104"/>
      <c r="AR207" s="104"/>
      <c r="AS207" s="104"/>
      <c r="AT207" s="104"/>
      <c r="AU207" s="102"/>
    </row>
    <row r="208" spans="3:47" x14ac:dyDescent="0.3">
      <c r="C208" s="100"/>
      <c r="D208" s="104"/>
      <c r="E208" s="104"/>
      <c r="F208" s="104"/>
      <c r="G208" s="104"/>
      <c r="H208" s="104"/>
      <c r="I208" s="104"/>
      <c r="J208" s="104"/>
      <c r="K208" s="104"/>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c r="AM208" s="104"/>
      <c r="AN208" s="104"/>
      <c r="AO208" s="104"/>
      <c r="AP208" s="104"/>
      <c r="AQ208" s="104"/>
      <c r="AR208" s="104"/>
      <c r="AS208" s="104"/>
      <c r="AT208" s="104"/>
      <c r="AU208" s="102"/>
    </row>
    <row r="209" spans="3:47" x14ac:dyDescent="0.3">
      <c r="C209" s="100"/>
      <c r="D209" s="104"/>
      <c r="E209" s="104"/>
      <c r="F209" s="104"/>
      <c r="G209" s="104"/>
      <c r="H209" s="104"/>
      <c r="I209" s="104"/>
      <c r="J209" s="104"/>
      <c r="K209" s="104"/>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c r="AM209" s="104"/>
      <c r="AN209" s="104"/>
      <c r="AO209" s="104"/>
      <c r="AP209" s="104"/>
      <c r="AQ209" s="104"/>
      <c r="AR209" s="104"/>
      <c r="AS209" s="104"/>
      <c r="AT209" s="104"/>
      <c r="AU209" s="102"/>
    </row>
    <row r="210" spans="3:47" x14ac:dyDescent="0.3">
      <c r="C210" s="100"/>
      <c r="D210" s="104"/>
      <c r="E210" s="10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c r="AM210" s="104"/>
      <c r="AN210" s="104"/>
      <c r="AO210" s="104"/>
      <c r="AP210" s="104"/>
      <c r="AQ210" s="104"/>
      <c r="AR210" s="104"/>
      <c r="AS210" s="104"/>
      <c r="AT210" s="104"/>
      <c r="AU210" s="102"/>
    </row>
    <row r="211" spans="3:47" x14ac:dyDescent="0.3">
      <c r="C211" s="100"/>
      <c r="D211" s="104"/>
      <c r="E211" s="104"/>
      <c r="F211" s="104"/>
      <c r="G211" s="104"/>
      <c r="H211" s="104"/>
      <c r="I211" s="104"/>
      <c r="J211" s="104"/>
      <c r="K211" s="104"/>
      <c r="L211" s="104"/>
      <c r="M211" s="104"/>
      <c r="N211" s="104"/>
      <c r="O211" s="104"/>
      <c r="P211" s="104"/>
      <c r="Q211" s="104"/>
      <c r="R211" s="104"/>
      <c r="S211" s="104"/>
      <c r="T211" s="104"/>
      <c r="U211" s="104"/>
      <c r="V211" s="104"/>
      <c r="W211" s="104"/>
      <c r="X211" s="104"/>
      <c r="Y211" s="104"/>
      <c r="Z211" s="104"/>
      <c r="AA211" s="104"/>
      <c r="AB211" s="104"/>
      <c r="AC211" s="104"/>
      <c r="AD211" s="104"/>
      <c r="AE211" s="104"/>
      <c r="AF211" s="104"/>
      <c r="AG211" s="104"/>
      <c r="AH211" s="104"/>
      <c r="AI211" s="104"/>
      <c r="AJ211" s="104"/>
      <c r="AK211" s="104"/>
      <c r="AL211" s="104"/>
      <c r="AM211" s="104"/>
      <c r="AN211" s="104"/>
      <c r="AO211" s="104"/>
      <c r="AP211" s="104"/>
      <c r="AQ211" s="104"/>
      <c r="AR211" s="104"/>
      <c r="AS211" s="104"/>
      <c r="AT211" s="104"/>
      <c r="AU211" s="102"/>
    </row>
    <row r="212" spans="3:47" x14ac:dyDescent="0.3">
      <c r="C212" s="100"/>
      <c r="D212" s="104"/>
      <c r="E212" s="104"/>
      <c r="F212" s="104"/>
      <c r="G212" s="104"/>
      <c r="H212" s="104"/>
      <c r="I212" s="104"/>
      <c r="J212" s="104"/>
      <c r="K212" s="104"/>
      <c r="L212" s="104"/>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c r="AM212" s="104"/>
      <c r="AN212" s="104"/>
      <c r="AO212" s="104"/>
      <c r="AP212" s="104"/>
      <c r="AQ212" s="104"/>
      <c r="AR212" s="104"/>
      <c r="AS212" s="104"/>
      <c r="AT212" s="104"/>
      <c r="AU212" s="102"/>
    </row>
    <row r="213" spans="3:47" x14ac:dyDescent="0.3">
      <c r="C213" s="100"/>
      <c r="D213" s="104"/>
      <c r="E213" s="104"/>
      <c r="F213" s="104"/>
      <c r="G213" s="104"/>
      <c r="H213" s="104"/>
      <c r="I213" s="104"/>
      <c r="J213" s="104"/>
      <c r="K213" s="104"/>
      <c r="L213" s="104"/>
      <c r="M213" s="104"/>
      <c r="N213" s="104"/>
      <c r="O213" s="104"/>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104"/>
      <c r="AK213" s="104"/>
      <c r="AL213" s="104"/>
      <c r="AM213" s="104"/>
      <c r="AN213" s="104"/>
      <c r="AO213" s="104"/>
      <c r="AP213" s="104"/>
      <c r="AQ213" s="104"/>
      <c r="AR213" s="104"/>
      <c r="AS213" s="104"/>
      <c r="AT213" s="104"/>
      <c r="AU213" s="102"/>
    </row>
    <row r="214" spans="3:47" x14ac:dyDescent="0.3">
      <c r="C214" s="100"/>
      <c r="D214" s="104"/>
      <c r="E214" s="104"/>
      <c r="F214" s="104"/>
      <c r="G214" s="104"/>
      <c r="H214" s="104"/>
      <c r="I214" s="104"/>
      <c r="J214" s="104"/>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c r="AM214" s="104"/>
      <c r="AN214" s="104"/>
      <c r="AO214" s="104"/>
      <c r="AP214" s="104"/>
      <c r="AQ214" s="104"/>
      <c r="AR214" s="104"/>
      <c r="AS214" s="104"/>
      <c r="AT214" s="104"/>
      <c r="AU214" s="102"/>
    </row>
    <row r="215" spans="3:47" x14ac:dyDescent="0.3">
      <c r="C215" s="100"/>
      <c r="D215" s="104"/>
      <c r="E215" s="10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c r="AM215" s="104"/>
      <c r="AN215" s="104"/>
      <c r="AO215" s="104"/>
      <c r="AP215" s="104"/>
      <c r="AQ215" s="104"/>
      <c r="AR215" s="104"/>
      <c r="AS215" s="104"/>
      <c r="AT215" s="104"/>
      <c r="AU215" s="102"/>
    </row>
    <row r="216" spans="3:47" x14ac:dyDescent="0.3">
      <c r="C216" s="100"/>
      <c r="D216" s="104"/>
      <c r="E216" s="104"/>
      <c r="F216" s="104"/>
      <c r="G216" s="104"/>
      <c r="H216" s="104"/>
      <c r="I216" s="104"/>
      <c r="J216" s="104"/>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c r="AM216" s="104"/>
      <c r="AN216" s="104"/>
      <c r="AO216" s="104"/>
      <c r="AP216" s="104"/>
      <c r="AQ216" s="104"/>
      <c r="AR216" s="104"/>
      <c r="AS216" s="104"/>
      <c r="AT216" s="104"/>
      <c r="AU216" s="102"/>
    </row>
    <row r="217" spans="3:47" x14ac:dyDescent="0.3">
      <c r="C217" s="100"/>
      <c r="D217" s="104"/>
      <c r="E217" s="104"/>
      <c r="F217" s="104"/>
      <c r="G217" s="104"/>
      <c r="H217" s="104"/>
      <c r="I217" s="104"/>
      <c r="J217" s="104"/>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c r="AM217" s="104"/>
      <c r="AN217" s="104"/>
      <c r="AO217" s="104"/>
      <c r="AP217" s="104"/>
      <c r="AQ217" s="104"/>
      <c r="AR217" s="104"/>
      <c r="AS217" s="104"/>
      <c r="AT217" s="104"/>
      <c r="AU217" s="102"/>
    </row>
    <row r="218" spans="3:47" x14ac:dyDescent="0.3">
      <c r="C218" s="100"/>
      <c r="D218" s="104"/>
      <c r="E218" s="104"/>
      <c r="F218" s="104"/>
      <c r="G218" s="104"/>
      <c r="H218" s="104"/>
      <c r="I218" s="104"/>
      <c r="J218" s="104"/>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c r="AM218" s="104"/>
      <c r="AN218" s="104"/>
      <c r="AO218" s="104"/>
      <c r="AP218" s="104"/>
      <c r="AQ218" s="104"/>
      <c r="AR218" s="104"/>
      <c r="AS218" s="104"/>
      <c r="AT218" s="104"/>
      <c r="AU218" s="102"/>
    </row>
    <row r="219" spans="3:47" x14ac:dyDescent="0.3">
      <c r="C219" s="100"/>
      <c r="D219" s="104"/>
      <c r="E219" s="104"/>
      <c r="F219" s="104"/>
      <c r="G219" s="104"/>
      <c r="H219" s="104"/>
      <c r="I219" s="104"/>
      <c r="J219" s="104"/>
      <c r="K219" s="104"/>
      <c r="L219" s="104"/>
      <c r="M219" s="104"/>
      <c r="N219" s="104"/>
      <c r="O219" s="104"/>
      <c r="P219" s="104"/>
      <c r="Q219" s="104"/>
      <c r="R219" s="104"/>
      <c r="S219" s="104"/>
      <c r="T219" s="104"/>
      <c r="U219" s="104"/>
      <c r="V219" s="104"/>
      <c r="W219" s="104"/>
      <c r="X219" s="104"/>
      <c r="Y219" s="104"/>
      <c r="Z219" s="104"/>
      <c r="AA219" s="104"/>
      <c r="AB219" s="104"/>
      <c r="AC219" s="104"/>
      <c r="AD219" s="104"/>
      <c r="AE219" s="104"/>
      <c r="AF219" s="104"/>
      <c r="AG219" s="104"/>
      <c r="AH219" s="104"/>
      <c r="AI219" s="104"/>
      <c r="AJ219" s="104"/>
      <c r="AK219" s="104"/>
      <c r="AL219" s="104"/>
      <c r="AM219" s="104"/>
      <c r="AN219" s="104"/>
      <c r="AO219" s="104"/>
      <c r="AP219" s="104"/>
      <c r="AQ219" s="104"/>
      <c r="AR219" s="104"/>
      <c r="AS219" s="104"/>
      <c r="AT219" s="104"/>
      <c r="AU219" s="102"/>
    </row>
    <row r="220" spans="3:47" x14ac:dyDescent="0.3">
      <c r="C220" s="100"/>
      <c r="D220" s="104"/>
      <c r="E220" s="10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c r="AM220" s="104"/>
      <c r="AN220" s="104"/>
      <c r="AO220" s="104"/>
      <c r="AP220" s="104"/>
      <c r="AQ220" s="104"/>
      <c r="AR220" s="104"/>
      <c r="AS220" s="104"/>
      <c r="AT220" s="104"/>
      <c r="AU220" s="102"/>
    </row>
    <row r="221" spans="3:47" x14ac:dyDescent="0.3">
      <c r="C221" s="100"/>
      <c r="D221" s="104"/>
      <c r="E221" s="104"/>
      <c r="F221" s="104"/>
      <c r="G221" s="104"/>
      <c r="H221" s="104"/>
      <c r="I221" s="104"/>
      <c r="J221" s="104"/>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c r="AM221" s="104"/>
      <c r="AN221" s="104"/>
      <c r="AO221" s="104"/>
      <c r="AP221" s="104"/>
      <c r="AQ221" s="104"/>
      <c r="AR221" s="104"/>
      <c r="AS221" s="104"/>
      <c r="AT221" s="104"/>
      <c r="AU221" s="102"/>
    </row>
    <row r="222" spans="3:47" x14ac:dyDescent="0.3">
      <c r="C222" s="100"/>
      <c r="D222" s="104"/>
      <c r="E222" s="104"/>
      <c r="F222" s="104"/>
      <c r="G222" s="104"/>
      <c r="H222" s="104"/>
      <c r="I222" s="104"/>
      <c r="J222" s="104"/>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c r="AM222" s="104"/>
      <c r="AN222" s="104"/>
      <c r="AO222" s="104"/>
      <c r="AP222" s="104"/>
      <c r="AQ222" s="104"/>
      <c r="AR222" s="104"/>
      <c r="AS222" s="104"/>
      <c r="AT222" s="104"/>
      <c r="AU222" s="102"/>
    </row>
    <row r="223" spans="3:47" x14ac:dyDescent="0.3">
      <c r="C223" s="100"/>
      <c r="D223" s="104"/>
      <c r="E223" s="104"/>
      <c r="F223" s="104"/>
      <c r="G223" s="104"/>
      <c r="H223" s="104"/>
      <c r="I223" s="104"/>
      <c r="J223" s="104"/>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c r="AM223" s="104"/>
      <c r="AN223" s="104"/>
      <c r="AO223" s="104"/>
      <c r="AP223" s="104"/>
      <c r="AQ223" s="104"/>
      <c r="AR223" s="104"/>
      <c r="AS223" s="104"/>
      <c r="AT223" s="104"/>
      <c r="AU223" s="102"/>
    </row>
    <row r="224" spans="3:47" x14ac:dyDescent="0.3">
      <c r="C224" s="100"/>
      <c r="D224" s="104"/>
      <c r="E224" s="104"/>
      <c r="F224" s="104"/>
      <c r="G224" s="104"/>
      <c r="H224" s="104"/>
      <c r="I224" s="104"/>
      <c r="J224" s="104"/>
      <c r="K224" s="104"/>
      <c r="L224" s="104"/>
      <c r="M224" s="104"/>
      <c r="N224" s="104"/>
      <c r="O224" s="104"/>
      <c r="P224" s="104"/>
      <c r="Q224" s="104"/>
      <c r="R224" s="104"/>
      <c r="S224" s="104"/>
      <c r="T224" s="104"/>
      <c r="U224" s="104"/>
      <c r="V224" s="104"/>
      <c r="W224" s="104"/>
      <c r="X224" s="104"/>
      <c r="Y224" s="104"/>
      <c r="Z224" s="104"/>
      <c r="AA224" s="104"/>
      <c r="AB224" s="104"/>
      <c r="AC224" s="104"/>
      <c r="AD224" s="104"/>
      <c r="AE224" s="104"/>
      <c r="AF224" s="104"/>
      <c r="AG224" s="104"/>
      <c r="AH224" s="104"/>
      <c r="AI224" s="104"/>
      <c r="AJ224" s="104"/>
      <c r="AK224" s="104"/>
      <c r="AL224" s="104"/>
      <c r="AM224" s="104"/>
      <c r="AN224" s="104"/>
      <c r="AO224" s="104"/>
      <c r="AP224" s="104"/>
      <c r="AQ224" s="104"/>
      <c r="AR224" s="104"/>
      <c r="AS224" s="104"/>
      <c r="AT224" s="104"/>
      <c r="AU224" s="102"/>
    </row>
    <row r="225" spans="3:47" x14ac:dyDescent="0.3">
      <c r="C225" s="100"/>
      <c r="D225" s="104"/>
      <c r="E225" s="10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c r="AM225" s="104"/>
      <c r="AN225" s="104"/>
      <c r="AO225" s="104"/>
      <c r="AP225" s="104"/>
      <c r="AQ225" s="104"/>
      <c r="AR225" s="104"/>
      <c r="AS225" s="104"/>
      <c r="AT225" s="104"/>
      <c r="AU225" s="102"/>
    </row>
    <row r="226" spans="3:47" x14ac:dyDescent="0.3">
      <c r="C226" s="100"/>
      <c r="D226" s="101" t="s">
        <v>284</v>
      </c>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101"/>
      <c r="AA226" s="101"/>
      <c r="AB226" s="101"/>
      <c r="AC226" s="101"/>
      <c r="AD226" s="101"/>
      <c r="AE226" s="101"/>
      <c r="AF226" s="101"/>
      <c r="AG226" s="101"/>
      <c r="AH226" s="101"/>
      <c r="AI226" s="101"/>
      <c r="AJ226" s="101"/>
      <c r="AK226" s="101"/>
      <c r="AL226" s="101"/>
      <c r="AM226" s="101"/>
      <c r="AN226" s="101"/>
      <c r="AO226" s="101"/>
      <c r="AP226" s="101"/>
      <c r="AQ226" s="101"/>
      <c r="AR226" s="101"/>
      <c r="AS226" s="101"/>
      <c r="AT226" s="101"/>
      <c r="AU226" s="102"/>
    </row>
    <row r="227" spans="3:47" x14ac:dyDescent="0.3">
      <c r="C227" s="100"/>
      <c r="D227" s="103" t="s">
        <v>194</v>
      </c>
      <c r="E227" s="101" t="s">
        <v>285</v>
      </c>
      <c r="F227" s="101"/>
      <c r="G227" s="101"/>
      <c r="H227" s="101"/>
      <c r="I227" s="101"/>
      <c r="J227" s="101"/>
      <c r="K227" s="101"/>
      <c r="L227" s="101"/>
      <c r="M227" s="101"/>
      <c r="N227" s="101"/>
      <c r="O227" s="101"/>
      <c r="P227" s="101"/>
      <c r="Q227" s="101"/>
      <c r="R227" s="101"/>
      <c r="S227" s="101"/>
      <c r="T227" s="101"/>
      <c r="U227" s="101"/>
      <c r="V227" s="101"/>
      <c r="W227" s="101"/>
      <c r="X227" s="101"/>
      <c r="Y227" s="101"/>
      <c r="Z227" s="101"/>
      <c r="AA227" s="101"/>
      <c r="AB227" s="101"/>
      <c r="AC227" s="101"/>
      <c r="AD227" s="101"/>
      <c r="AE227" s="101"/>
      <c r="AF227" s="101"/>
      <c r="AG227" s="101"/>
      <c r="AH227" s="101"/>
      <c r="AI227" s="101"/>
      <c r="AJ227" s="101"/>
      <c r="AK227" s="101"/>
      <c r="AL227" s="101"/>
      <c r="AM227" s="101"/>
      <c r="AN227" s="101"/>
      <c r="AO227" s="101"/>
      <c r="AP227" s="101"/>
      <c r="AQ227" s="101"/>
      <c r="AR227" s="101"/>
      <c r="AS227" s="101"/>
      <c r="AT227" s="101"/>
      <c r="AU227" s="102"/>
    </row>
    <row r="228" spans="3:47" x14ac:dyDescent="0.3">
      <c r="C228" s="100"/>
      <c r="D228" s="103" t="s">
        <v>194</v>
      </c>
      <c r="E228" s="101" t="s">
        <v>286</v>
      </c>
      <c r="F228" s="101"/>
      <c r="G228" s="101"/>
      <c r="H228" s="101"/>
      <c r="I228" s="101"/>
      <c r="J228" s="101"/>
      <c r="K228" s="101"/>
      <c r="L228" s="101"/>
      <c r="M228" s="101"/>
      <c r="N228" s="101"/>
      <c r="O228" s="101"/>
      <c r="P228" s="101"/>
      <c r="Q228" s="101"/>
      <c r="R228" s="101"/>
      <c r="S228" s="101"/>
      <c r="T228" s="101"/>
      <c r="U228" s="101"/>
      <c r="V228" s="101"/>
      <c r="W228" s="101"/>
      <c r="X228" s="101"/>
      <c r="Y228" s="101"/>
      <c r="Z228" s="101"/>
      <c r="AA228" s="101"/>
      <c r="AB228" s="101"/>
      <c r="AC228" s="101"/>
      <c r="AD228" s="101"/>
      <c r="AE228" s="101"/>
      <c r="AF228" s="101"/>
      <c r="AG228" s="101"/>
      <c r="AH228" s="101"/>
      <c r="AI228" s="101"/>
      <c r="AJ228" s="101"/>
      <c r="AK228" s="101"/>
      <c r="AL228" s="101"/>
      <c r="AM228" s="101"/>
      <c r="AN228" s="101"/>
      <c r="AO228" s="101"/>
      <c r="AP228" s="101"/>
      <c r="AQ228" s="101"/>
      <c r="AR228" s="101"/>
      <c r="AS228" s="101"/>
      <c r="AT228" s="101"/>
      <c r="AU228" s="102"/>
    </row>
    <row r="229" spans="3:47" x14ac:dyDescent="0.3">
      <c r="C229" s="100"/>
      <c r="D229" s="103" t="s">
        <v>194</v>
      </c>
      <c r="E229" s="101" t="s">
        <v>287</v>
      </c>
      <c r="F229" s="101"/>
      <c r="G229" s="101"/>
      <c r="H229" s="101"/>
      <c r="I229" s="101"/>
      <c r="J229" s="101"/>
      <c r="K229" s="101"/>
      <c r="L229" s="101"/>
      <c r="M229" s="101"/>
      <c r="N229" s="101"/>
      <c r="O229" s="101"/>
      <c r="P229" s="101"/>
      <c r="Q229" s="101"/>
      <c r="R229" s="101"/>
      <c r="S229" s="101"/>
      <c r="T229" s="101"/>
      <c r="U229" s="101"/>
      <c r="V229" s="101"/>
      <c r="W229" s="101"/>
      <c r="X229" s="101"/>
      <c r="Y229" s="101"/>
      <c r="Z229" s="101"/>
      <c r="AA229" s="101"/>
      <c r="AB229" s="101"/>
      <c r="AC229" s="101"/>
      <c r="AD229" s="101"/>
      <c r="AE229" s="101"/>
      <c r="AF229" s="101"/>
      <c r="AG229" s="101"/>
      <c r="AH229" s="101"/>
      <c r="AI229" s="101"/>
      <c r="AJ229" s="101"/>
      <c r="AK229" s="101"/>
      <c r="AL229" s="101"/>
      <c r="AM229" s="101"/>
      <c r="AN229" s="101"/>
      <c r="AO229" s="101"/>
      <c r="AP229" s="101"/>
      <c r="AQ229" s="101"/>
      <c r="AR229" s="101"/>
      <c r="AS229" s="101"/>
      <c r="AT229" s="101"/>
      <c r="AU229" s="102"/>
    </row>
    <row r="230" spans="3:47" x14ac:dyDescent="0.3">
      <c r="C230" s="100"/>
      <c r="D230" s="101" t="s">
        <v>323</v>
      </c>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101"/>
      <c r="AA230" s="101"/>
      <c r="AB230" s="101"/>
      <c r="AC230" s="101"/>
      <c r="AD230" s="101"/>
      <c r="AE230" s="101"/>
      <c r="AF230" s="101"/>
      <c r="AG230" s="101"/>
      <c r="AH230" s="101"/>
      <c r="AI230" s="101"/>
      <c r="AJ230" s="101"/>
      <c r="AK230" s="101"/>
      <c r="AL230" s="101"/>
      <c r="AM230" s="101"/>
      <c r="AN230" s="101"/>
      <c r="AO230" s="101"/>
      <c r="AP230" s="101"/>
      <c r="AQ230" s="101"/>
      <c r="AR230" s="101"/>
      <c r="AS230" s="101"/>
      <c r="AT230" s="101"/>
      <c r="AU230" s="102"/>
    </row>
    <row r="231" spans="3:47" x14ac:dyDescent="0.3">
      <c r="C231" s="100"/>
      <c r="D231" s="109" t="s">
        <v>288</v>
      </c>
      <c r="E231" s="109"/>
      <c r="F231" s="109"/>
      <c r="G231" s="109"/>
      <c r="H231" s="109"/>
      <c r="I231" s="101" t="s">
        <v>324</v>
      </c>
      <c r="J231" s="101"/>
      <c r="K231" s="101"/>
      <c r="L231" s="101"/>
      <c r="M231" s="101"/>
      <c r="N231" s="101"/>
      <c r="O231" s="101"/>
      <c r="P231" s="101"/>
      <c r="Q231" s="101"/>
      <c r="R231" s="101"/>
      <c r="S231" s="101"/>
      <c r="T231" s="101"/>
      <c r="U231" s="101"/>
      <c r="V231" s="101"/>
      <c r="W231" s="101"/>
      <c r="X231" s="101"/>
      <c r="Y231" s="101"/>
      <c r="Z231" s="101"/>
      <c r="AA231" s="101"/>
      <c r="AB231" s="101"/>
      <c r="AC231" s="101"/>
      <c r="AD231" s="101"/>
      <c r="AE231" s="101"/>
      <c r="AF231" s="101"/>
      <c r="AG231" s="101"/>
      <c r="AH231" s="101"/>
      <c r="AI231" s="101"/>
      <c r="AJ231" s="101"/>
      <c r="AK231" s="101"/>
      <c r="AL231" s="101"/>
      <c r="AM231" s="101"/>
      <c r="AN231" s="101"/>
      <c r="AO231" s="101"/>
      <c r="AP231" s="101"/>
      <c r="AQ231" s="101"/>
      <c r="AR231" s="101"/>
      <c r="AS231" s="101"/>
      <c r="AT231" s="101"/>
      <c r="AU231" s="102"/>
    </row>
    <row r="232" spans="3:47" x14ac:dyDescent="0.3">
      <c r="C232" s="100"/>
      <c r="D232" s="104"/>
      <c r="E232" s="104"/>
      <c r="F232" s="104"/>
      <c r="G232" s="104"/>
      <c r="H232" s="104"/>
      <c r="I232" s="122" t="s">
        <v>325</v>
      </c>
      <c r="J232" s="122"/>
      <c r="K232" s="122"/>
      <c r="L232" s="122"/>
      <c r="M232" s="122"/>
      <c r="N232" s="122"/>
      <c r="O232" s="122"/>
      <c r="P232" s="122"/>
      <c r="Q232" s="122"/>
      <c r="R232" s="122"/>
      <c r="S232" s="122"/>
      <c r="T232" s="122"/>
      <c r="U232" s="122"/>
      <c r="V232" s="122"/>
      <c r="W232" s="122"/>
      <c r="X232" s="122"/>
      <c r="Y232" s="122"/>
      <c r="Z232" s="122"/>
      <c r="AA232" s="122"/>
      <c r="AB232" s="122"/>
      <c r="AC232" s="122"/>
      <c r="AD232" s="122"/>
      <c r="AE232" s="122"/>
      <c r="AF232" s="122"/>
      <c r="AG232" s="122"/>
      <c r="AH232" s="122"/>
      <c r="AI232" s="122"/>
      <c r="AJ232" s="122"/>
      <c r="AK232" s="122"/>
      <c r="AL232" s="122"/>
      <c r="AM232" s="122"/>
      <c r="AN232" s="122"/>
      <c r="AO232" s="122"/>
      <c r="AP232" s="122"/>
      <c r="AQ232" s="122"/>
      <c r="AR232" s="122"/>
      <c r="AS232" s="122"/>
      <c r="AT232" s="122"/>
      <c r="AU232" s="102"/>
    </row>
    <row r="233" spans="3:47" x14ac:dyDescent="0.3">
      <c r="C233" s="100"/>
      <c r="D233" s="104"/>
      <c r="E233" s="104"/>
      <c r="F233" s="104"/>
      <c r="G233" s="104"/>
      <c r="H233" s="104"/>
      <c r="I233" s="122" t="s">
        <v>326</v>
      </c>
      <c r="J233" s="122"/>
      <c r="K233" s="122"/>
      <c r="L233" s="122"/>
      <c r="M233" s="122"/>
      <c r="N233" s="122"/>
      <c r="O233" s="122"/>
      <c r="P233" s="122"/>
      <c r="Q233" s="122"/>
      <c r="R233" s="122"/>
      <c r="S233" s="122"/>
      <c r="T233" s="122"/>
      <c r="U233" s="122"/>
      <c r="V233" s="122"/>
      <c r="W233" s="122"/>
      <c r="X233" s="122"/>
      <c r="Y233" s="122"/>
      <c r="Z233" s="122"/>
      <c r="AA233" s="122"/>
      <c r="AB233" s="122"/>
      <c r="AC233" s="122"/>
      <c r="AD233" s="122"/>
      <c r="AE233" s="122"/>
      <c r="AF233" s="122"/>
      <c r="AG233" s="122"/>
      <c r="AH233" s="122"/>
      <c r="AI233" s="122"/>
      <c r="AJ233" s="122"/>
      <c r="AK233" s="122"/>
      <c r="AL233" s="122"/>
      <c r="AM233" s="122"/>
      <c r="AN233" s="122"/>
      <c r="AO233" s="122"/>
      <c r="AP233" s="122"/>
      <c r="AQ233" s="122"/>
      <c r="AR233" s="122"/>
      <c r="AS233" s="122"/>
      <c r="AT233" s="122"/>
      <c r="AU233" s="102"/>
    </row>
    <row r="234" spans="3:47" x14ac:dyDescent="0.3">
      <c r="C234" s="100"/>
      <c r="D234" s="104"/>
      <c r="E234" s="104"/>
      <c r="F234" s="104"/>
      <c r="G234" s="104"/>
      <c r="H234" s="104"/>
      <c r="I234" s="122" t="s">
        <v>327</v>
      </c>
      <c r="J234" s="122"/>
      <c r="K234" s="122"/>
      <c r="L234" s="122"/>
      <c r="M234" s="122"/>
      <c r="N234" s="122"/>
      <c r="O234" s="122"/>
      <c r="P234" s="122"/>
      <c r="Q234" s="122"/>
      <c r="R234" s="122"/>
      <c r="S234" s="122"/>
      <c r="T234" s="122"/>
      <c r="U234" s="122"/>
      <c r="V234" s="122"/>
      <c r="W234" s="122"/>
      <c r="X234" s="122"/>
      <c r="Y234" s="122"/>
      <c r="Z234" s="122"/>
      <c r="AA234" s="122"/>
      <c r="AB234" s="122"/>
      <c r="AC234" s="122"/>
      <c r="AD234" s="122"/>
      <c r="AE234" s="122"/>
      <c r="AF234" s="122"/>
      <c r="AG234" s="122"/>
      <c r="AH234" s="122"/>
      <c r="AI234" s="122"/>
      <c r="AJ234" s="122"/>
      <c r="AK234" s="122"/>
      <c r="AL234" s="122"/>
      <c r="AM234" s="122"/>
      <c r="AN234" s="122"/>
      <c r="AO234" s="122"/>
      <c r="AP234" s="122"/>
      <c r="AQ234" s="122"/>
      <c r="AR234" s="122"/>
      <c r="AS234" s="122"/>
      <c r="AT234" s="122"/>
      <c r="AU234" s="102"/>
    </row>
    <row r="235" spans="3:47" x14ac:dyDescent="0.3">
      <c r="C235" s="100"/>
      <c r="D235" s="104"/>
      <c r="E235" s="10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c r="AM235" s="104"/>
      <c r="AN235" s="104"/>
      <c r="AO235" s="104"/>
      <c r="AP235" s="104"/>
      <c r="AQ235" s="104"/>
      <c r="AR235" s="104"/>
      <c r="AS235" s="104"/>
      <c r="AT235" s="104"/>
      <c r="AU235" s="102"/>
    </row>
    <row r="236" spans="3:47" x14ac:dyDescent="0.3">
      <c r="C236" s="100"/>
      <c r="D236" s="104"/>
      <c r="E236" s="104"/>
      <c r="F236" s="104"/>
      <c r="G236" s="104"/>
      <c r="H236" s="104"/>
      <c r="I236" s="104"/>
      <c r="J236" s="104"/>
      <c r="K236" s="104"/>
      <c r="L236" s="104"/>
      <c r="M236" s="104"/>
      <c r="N236" s="104"/>
      <c r="O236" s="104"/>
      <c r="P236" s="104"/>
      <c r="Q236" s="104"/>
      <c r="R236" s="104"/>
      <c r="S236" s="104"/>
      <c r="T236" s="104"/>
      <c r="U236" s="104"/>
      <c r="V236" s="104"/>
      <c r="W236" s="104"/>
      <c r="X236" s="104"/>
      <c r="Y236" s="104"/>
      <c r="Z236" s="104"/>
      <c r="AA236" s="104"/>
      <c r="AB236" s="104"/>
      <c r="AC236" s="104"/>
      <c r="AD236" s="104"/>
      <c r="AE236" s="104"/>
      <c r="AF236" s="104"/>
      <c r="AG236" s="104"/>
      <c r="AH236" s="104"/>
      <c r="AI236" s="104"/>
      <c r="AJ236" s="104"/>
      <c r="AK236" s="104"/>
      <c r="AL236" s="104"/>
      <c r="AM236" s="104"/>
      <c r="AN236" s="104"/>
      <c r="AO236" s="104"/>
      <c r="AP236" s="104"/>
      <c r="AQ236" s="104"/>
      <c r="AR236" s="104"/>
      <c r="AS236" s="104"/>
      <c r="AT236" s="104"/>
      <c r="AU236" s="102"/>
    </row>
    <row r="237" spans="3:47" x14ac:dyDescent="0.3">
      <c r="C237" s="100"/>
      <c r="D237" s="109" t="s">
        <v>289</v>
      </c>
      <c r="E237" s="109"/>
      <c r="F237" s="109"/>
      <c r="G237" s="109"/>
      <c r="H237" s="109"/>
      <c r="I237" s="101" t="s">
        <v>328</v>
      </c>
      <c r="J237" s="101"/>
      <c r="K237" s="101"/>
      <c r="L237" s="101"/>
      <c r="M237" s="101"/>
      <c r="N237" s="101"/>
      <c r="O237" s="101"/>
      <c r="P237" s="101"/>
      <c r="Q237" s="101"/>
      <c r="R237" s="101"/>
      <c r="S237" s="101"/>
      <c r="T237" s="101"/>
      <c r="U237" s="101"/>
      <c r="V237" s="101"/>
      <c r="W237" s="101"/>
      <c r="X237" s="101"/>
      <c r="Y237" s="101"/>
      <c r="Z237" s="101"/>
      <c r="AA237" s="101"/>
      <c r="AB237" s="101"/>
      <c r="AC237" s="101"/>
      <c r="AD237" s="101"/>
      <c r="AE237" s="101"/>
      <c r="AF237" s="101"/>
      <c r="AG237" s="101"/>
      <c r="AH237" s="101"/>
      <c r="AI237" s="101"/>
      <c r="AJ237" s="101"/>
      <c r="AK237" s="101"/>
      <c r="AL237" s="101"/>
      <c r="AM237" s="101"/>
      <c r="AN237" s="101"/>
      <c r="AO237" s="101"/>
      <c r="AP237" s="101"/>
      <c r="AQ237" s="101"/>
      <c r="AR237" s="101"/>
      <c r="AS237" s="101"/>
      <c r="AT237" s="101"/>
      <c r="AU237" s="102"/>
    </row>
    <row r="238" spans="3:47" x14ac:dyDescent="0.3">
      <c r="C238" s="100"/>
      <c r="D238" s="104"/>
      <c r="E238" s="104"/>
      <c r="F238" s="104"/>
      <c r="G238" s="104"/>
      <c r="H238" s="104"/>
      <c r="I238" s="122" t="s">
        <v>329</v>
      </c>
      <c r="J238" s="122"/>
      <c r="K238" s="122"/>
      <c r="L238" s="122"/>
      <c r="M238" s="122"/>
      <c r="N238" s="122"/>
      <c r="O238" s="122"/>
      <c r="P238" s="122"/>
      <c r="Q238" s="122"/>
      <c r="R238" s="122"/>
      <c r="S238" s="122"/>
      <c r="T238" s="122"/>
      <c r="U238" s="122"/>
      <c r="V238" s="122"/>
      <c r="W238" s="122"/>
      <c r="X238" s="122"/>
      <c r="Y238" s="122"/>
      <c r="Z238" s="122"/>
      <c r="AA238" s="122"/>
      <c r="AB238" s="122"/>
      <c r="AC238" s="122"/>
      <c r="AD238" s="122"/>
      <c r="AE238" s="122"/>
      <c r="AF238" s="122"/>
      <c r="AG238" s="122"/>
      <c r="AH238" s="122"/>
      <c r="AI238" s="122"/>
      <c r="AJ238" s="122"/>
      <c r="AK238" s="122"/>
      <c r="AL238" s="122"/>
      <c r="AM238" s="122"/>
      <c r="AN238" s="122"/>
      <c r="AO238" s="122"/>
      <c r="AP238" s="122"/>
      <c r="AQ238" s="122"/>
      <c r="AR238" s="122"/>
      <c r="AS238" s="122"/>
      <c r="AT238" s="122"/>
      <c r="AU238" s="102"/>
    </row>
    <row r="239" spans="3:47" x14ac:dyDescent="0.3">
      <c r="C239" s="100"/>
      <c r="D239" s="104"/>
      <c r="E239" s="104"/>
      <c r="F239" s="104"/>
      <c r="G239" s="104"/>
      <c r="H239" s="104"/>
      <c r="I239" s="122" t="s">
        <v>330</v>
      </c>
      <c r="J239" s="122"/>
      <c r="K239" s="122"/>
      <c r="L239" s="122"/>
      <c r="M239" s="122"/>
      <c r="N239" s="122"/>
      <c r="O239" s="122"/>
      <c r="P239" s="122"/>
      <c r="Q239" s="122"/>
      <c r="R239" s="122"/>
      <c r="S239" s="122"/>
      <c r="T239" s="122"/>
      <c r="U239" s="122"/>
      <c r="V239" s="122"/>
      <c r="W239" s="122"/>
      <c r="X239" s="122"/>
      <c r="Y239" s="122"/>
      <c r="Z239" s="122"/>
      <c r="AA239" s="122"/>
      <c r="AB239" s="122"/>
      <c r="AC239" s="122"/>
      <c r="AD239" s="122"/>
      <c r="AE239" s="122"/>
      <c r="AF239" s="122"/>
      <c r="AG239" s="122"/>
      <c r="AH239" s="122"/>
      <c r="AI239" s="122"/>
      <c r="AJ239" s="122"/>
      <c r="AK239" s="122"/>
      <c r="AL239" s="122"/>
      <c r="AM239" s="122"/>
      <c r="AN239" s="122"/>
      <c r="AO239" s="122"/>
      <c r="AP239" s="122"/>
      <c r="AQ239" s="122"/>
      <c r="AR239" s="122"/>
      <c r="AS239" s="122"/>
      <c r="AT239" s="122"/>
      <c r="AU239" s="102"/>
    </row>
    <row r="240" spans="3:47" x14ac:dyDescent="0.3">
      <c r="C240" s="100"/>
      <c r="D240" s="104"/>
      <c r="E240" s="104"/>
      <c r="F240" s="104"/>
      <c r="G240" s="104"/>
      <c r="H240" s="104"/>
      <c r="I240" s="122" t="s">
        <v>327</v>
      </c>
      <c r="J240" s="122"/>
      <c r="K240" s="122"/>
      <c r="L240" s="122"/>
      <c r="M240" s="122"/>
      <c r="N240" s="122"/>
      <c r="O240" s="122"/>
      <c r="P240" s="122"/>
      <c r="Q240" s="122"/>
      <c r="R240" s="122"/>
      <c r="S240" s="122"/>
      <c r="T240" s="122"/>
      <c r="U240" s="122"/>
      <c r="V240" s="122"/>
      <c r="W240" s="122"/>
      <c r="X240" s="122"/>
      <c r="Y240" s="122"/>
      <c r="Z240" s="122"/>
      <c r="AA240" s="122"/>
      <c r="AB240" s="122"/>
      <c r="AC240" s="122"/>
      <c r="AD240" s="122"/>
      <c r="AE240" s="122"/>
      <c r="AF240" s="122"/>
      <c r="AG240" s="122"/>
      <c r="AH240" s="122"/>
      <c r="AI240" s="122"/>
      <c r="AJ240" s="122"/>
      <c r="AK240" s="122"/>
      <c r="AL240" s="122"/>
      <c r="AM240" s="122"/>
      <c r="AN240" s="122"/>
      <c r="AO240" s="122"/>
      <c r="AP240" s="122"/>
      <c r="AQ240" s="122"/>
      <c r="AR240" s="122"/>
      <c r="AS240" s="122"/>
      <c r="AT240" s="122"/>
      <c r="AU240" s="102"/>
    </row>
    <row r="241" spans="3:47" x14ac:dyDescent="0.3">
      <c r="C241" s="100"/>
      <c r="D241" s="104"/>
      <c r="E241" s="104"/>
      <c r="F241" s="104"/>
      <c r="G241" s="104"/>
      <c r="H241" s="104"/>
      <c r="I241" s="104"/>
      <c r="J241" s="104"/>
      <c r="K241" s="104"/>
      <c r="L241" s="104"/>
      <c r="M241" s="104"/>
      <c r="N241" s="104"/>
      <c r="O241" s="104"/>
      <c r="P241" s="104"/>
      <c r="Q241" s="104"/>
      <c r="R241" s="104"/>
      <c r="S241" s="104"/>
      <c r="T241" s="104"/>
      <c r="U241" s="104"/>
      <c r="V241" s="104"/>
      <c r="W241" s="104"/>
      <c r="X241" s="104"/>
      <c r="Y241" s="104"/>
      <c r="Z241" s="104"/>
      <c r="AA241" s="104"/>
      <c r="AB241" s="104"/>
      <c r="AC241" s="104"/>
      <c r="AD241" s="104"/>
      <c r="AE241" s="104"/>
      <c r="AF241" s="104"/>
      <c r="AG241" s="104"/>
      <c r="AH241" s="104"/>
      <c r="AI241" s="104"/>
      <c r="AJ241" s="104"/>
      <c r="AK241" s="104"/>
      <c r="AL241" s="104"/>
      <c r="AM241" s="104"/>
      <c r="AN241" s="104"/>
      <c r="AO241" s="104"/>
      <c r="AP241" s="104"/>
      <c r="AQ241" s="104"/>
      <c r="AR241" s="104"/>
      <c r="AS241" s="104"/>
      <c r="AT241" s="104"/>
      <c r="AU241" s="102"/>
    </row>
    <row r="242" spans="3:47" x14ac:dyDescent="0.3">
      <c r="C242" s="100"/>
      <c r="D242" s="104"/>
      <c r="E242" s="10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c r="AM242" s="104"/>
      <c r="AN242" s="104"/>
      <c r="AO242" s="104"/>
      <c r="AP242" s="104"/>
      <c r="AQ242" s="104"/>
      <c r="AR242" s="104"/>
      <c r="AS242" s="104"/>
      <c r="AT242" s="104"/>
      <c r="AU242" s="102"/>
    </row>
    <row r="243" spans="3:47" x14ac:dyDescent="0.3">
      <c r="C243" s="100"/>
      <c r="D243" s="109" t="s">
        <v>290</v>
      </c>
      <c r="E243" s="109"/>
      <c r="F243" s="109"/>
      <c r="G243" s="109"/>
      <c r="H243" s="109"/>
      <c r="I243" s="101" t="s">
        <v>331</v>
      </c>
      <c r="J243" s="101"/>
      <c r="K243" s="101"/>
      <c r="L243" s="101"/>
      <c r="M243" s="101"/>
      <c r="N243" s="101"/>
      <c r="O243" s="101"/>
      <c r="P243" s="101"/>
      <c r="Q243" s="101"/>
      <c r="R243" s="101"/>
      <c r="S243" s="101"/>
      <c r="T243" s="101"/>
      <c r="U243" s="101"/>
      <c r="V243" s="101"/>
      <c r="W243" s="101"/>
      <c r="X243" s="101"/>
      <c r="Y243" s="101"/>
      <c r="Z243" s="101"/>
      <c r="AA243" s="101"/>
      <c r="AB243" s="101"/>
      <c r="AC243" s="101"/>
      <c r="AD243" s="101"/>
      <c r="AE243" s="101"/>
      <c r="AF243" s="101"/>
      <c r="AG243" s="101"/>
      <c r="AH243" s="101"/>
      <c r="AI243" s="101"/>
      <c r="AJ243" s="101"/>
      <c r="AK243" s="101"/>
      <c r="AL243" s="101"/>
      <c r="AM243" s="101"/>
      <c r="AN243" s="101"/>
      <c r="AO243" s="101"/>
      <c r="AP243" s="101"/>
      <c r="AQ243" s="101"/>
      <c r="AR243" s="101"/>
      <c r="AS243" s="101"/>
      <c r="AT243" s="101"/>
      <c r="AU243" s="102"/>
    </row>
    <row r="244" spans="3:47" x14ac:dyDescent="0.3">
      <c r="C244" s="100"/>
      <c r="D244" s="104"/>
      <c r="E244" s="104"/>
      <c r="F244" s="104"/>
      <c r="G244" s="104"/>
      <c r="H244" s="104"/>
      <c r="I244" s="122" t="s">
        <v>332</v>
      </c>
      <c r="J244" s="122"/>
      <c r="K244" s="122"/>
      <c r="L244" s="122"/>
      <c r="M244" s="122"/>
      <c r="N244" s="122"/>
      <c r="O244" s="122"/>
      <c r="P244" s="122"/>
      <c r="Q244" s="122"/>
      <c r="R244" s="122"/>
      <c r="S244" s="122"/>
      <c r="T244" s="122"/>
      <c r="U244" s="122"/>
      <c r="V244" s="122"/>
      <c r="W244" s="122"/>
      <c r="X244" s="122"/>
      <c r="Y244" s="122"/>
      <c r="Z244" s="122"/>
      <c r="AA244" s="122"/>
      <c r="AB244" s="122"/>
      <c r="AC244" s="122"/>
      <c r="AD244" s="122"/>
      <c r="AE244" s="122"/>
      <c r="AF244" s="122"/>
      <c r="AG244" s="122"/>
      <c r="AH244" s="122"/>
      <c r="AI244" s="122"/>
      <c r="AJ244" s="122"/>
      <c r="AK244" s="122"/>
      <c r="AL244" s="122"/>
      <c r="AM244" s="122"/>
      <c r="AN244" s="122"/>
      <c r="AO244" s="122"/>
      <c r="AP244" s="122"/>
      <c r="AQ244" s="122"/>
      <c r="AR244" s="122"/>
      <c r="AS244" s="122"/>
      <c r="AT244" s="122"/>
      <c r="AU244" s="102"/>
    </row>
    <row r="245" spans="3:47" x14ac:dyDescent="0.3">
      <c r="C245" s="100"/>
      <c r="D245" s="104"/>
      <c r="E245" s="10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c r="AM245" s="104"/>
      <c r="AN245" s="104"/>
      <c r="AO245" s="104"/>
      <c r="AP245" s="104"/>
      <c r="AQ245" s="104"/>
      <c r="AR245" s="104"/>
      <c r="AS245" s="104"/>
      <c r="AT245" s="104"/>
      <c r="AU245" s="102"/>
    </row>
    <row r="246" spans="3:47" x14ac:dyDescent="0.3">
      <c r="C246" s="100"/>
      <c r="D246" s="104"/>
      <c r="E246" s="10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c r="AM246" s="104"/>
      <c r="AN246" s="104"/>
      <c r="AO246" s="104"/>
      <c r="AP246" s="104"/>
      <c r="AQ246" s="104"/>
      <c r="AR246" s="104"/>
      <c r="AS246" s="104"/>
      <c r="AT246" s="104"/>
      <c r="AU246" s="102"/>
    </row>
    <row r="247" spans="3:47" x14ac:dyDescent="0.3">
      <c r="C247" s="100"/>
      <c r="D247" s="104"/>
      <c r="E247" s="104"/>
      <c r="F247" s="104"/>
      <c r="G247" s="104"/>
      <c r="H247" s="104"/>
      <c r="I247" s="104"/>
      <c r="J247" s="104"/>
      <c r="K247" s="104"/>
      <c r="L247" s="104"/>
      <c r="M247" s="104"/>
      <c r="N247" s="104"/>
      <c r="O247" s="104"/>
      <c r="P247" s="104"/>
      <c r="Q247" s="104"/>
      <c r="R247" s="104"/>
      <c r="S247" s="104"/>
      <c r="T247" s="104"/>
      <c r="U247" s="104"/>
      <c r="V247" s="104"/>
      <c r="W247" s="104"/>
      <c r="X247" s="104"/>
      <c r="Y247" s="104"/>
      <c r="Z247" s="104"/>
      <c r="AA247" s="104"/>
      <c r="AB247" s="104"/>
      <c r="AC247" s="104"/>
      <c r="AD247" s="104"/>
      <c r="AE247" s="104"/>
      <c r="AF247" s="104"/>
      <c r="AG247" s="104"/>
      <c r="AH247" s="104"/>
      <c r="AI247" s="104"/>
      <c r="AJ247" s="104"/>
      <c r="AK247" s="104"/>
      <c r="AL247" s="104"/>
      <c r="AM247" s="104"/>
      <c r="AN247" s="104"/>
      <c r="AO247" s="104"/>
      <c r="AP247" s="104"/>
      <c r="AQ247" s="104"/>
      <c r="AR247" s="104"/>
      <c r="AS247" s="104"/>
      <c r="AT247" s="104"/>
      <c r="AU247" s="102"/>
    </row>
    <row r="248" spans="3:47" x14ac:dyDescent="0.3">
      <c r="C248" s="100"/>
      <c r="D248" s="101" t="s">
        <v>291</v>
      </c>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101"/>
      <c r="AA248" s="101"/>
      <c r="AB248" s="101"/>
      <c r="AC248" s="101"/>
      <c r="AD248" s="101"/>
      <c r="AE248" s="101"/>
      <c r="AF248" s="101"/>
      <c r="AG248" s="101"/>
      <c r="AH248" s="101"/>
      <c r="AI248" s="101"/>
      <c r="AJ248" s="101"/>
      <c r="AK248" s="101"/>
      <c r="AL248" s="101"/>
      <c r="AM248" s="101"/>
      <c r="AN248" s="101"/>
      <c r="AO248" s="101"/>
      <c r="AP248" s="101"/>
      <c r="AQ248" s="101"/>
      <c r="AR248" s="101"/>
      <c r="AS248" s="101"/>
      <c r="AT248" s="101"/>
      <c r="AU248" s="102"/>
    </row>
    <row r="249" spans="3:47" x14ac:dyDescent="0.3">
      <c r="C249" s="100"/>
      <c r="D249" s="104"/>
      <c r="E249" s="76" t="s">
        <v>7</v>
      </c>
      <c r="F249" s="76"/>
      <c r="G249" s="76"/>
      <c r="H249" s="76"/>
      <c r="I249" s="76" t="s">
        <v>164</v>
      </c>
      <c r="J249" s="76"/>
      <c r="K249" s="76"/>
      <c r="L249" s="76"/>
      <c r="M249" s="77" t="s">
        <v>160</v>
      </c>
      <c r="N249" s="77"/>
      <c r="O249" s="77"/>
      <c r="P249" s="77"/>
      <c r="Q249" s="77" t="s">
        <v>173</v>
      </c>
      <c r="R249" s="77"/>
      <c r="S249" s="77"/>
      <c r="T249" s="77"/>
      <c r="U249" s="77" t="s">
        <v>174</v>
      </c>
      <c r="V249" s="77"/>
      <c r="W249" s="77"/>
      <c r="X249" s="77"/>
      <c r="Y249" s="77" t="s">
        <v>175</v>
      </c>
      <c r="Z249" s="77"/>
      <c r="AA249" s="77"/>
      <c r="AB249" s="77"/>
      <c r="AC249" s="104"/>
      <c r="AD249" s="104"/>
      <c r="AE249" s="104"/>
      <c r="AF249" s="104"/>
      <c r="AG249" s="104"/>
      <c r="AH249" s="104"/>
      <c r="AI249" s="104"/>
      <c r="AJ249" s="104"/>
      <c r="AK249" s="104"/>
      <c r="AL249" s="104"/>
      <c r="AM249" s="104"/>
      <c r="AN249" s="104"/>
      <c r="AO249" s="104"/>
      <c r="AP249" s="104"/>
      <c r="AQ249" s="104"/>
      <c r="AR249" s="104"/>
      <c r="AS249" s="104"/>
      <c r="AT249" s="104"/>
      <c r="AU249" s="102"/>
    </row>
    <row r="250" spans="3:47" x14ac:dyDescent="0.3">
      <c r="C250" s="100"/>
      <c r="D250" s="104"/>
      <c r="E250" s="78" t="s">
        <v>190</v>
      </c>
      <c r="F250" s="79"/>
      <c r="G250" s="79"/>
      <c r="H250" s="79"/>
      <c r="I250" s="79" t="s">
        <v>189</v>
      </c>
      <c r="J250" s="79"/>
      <c r="K250" s="79"/>
      <c r="L250" s="79"/>
      <c r="M250" s="80" t="s">
        <v>168</v>
      </c>
      <c r="N250" s="80"/>
      <c r="O250" s="80"/>
      <c r="P250" s="81"/>
      <c r="Q250" s="82">
        <v>10.5</v>
      </c>
      <c r="R250" s="80"/>
      <c r="S250" s="80"/>
      <c r="T250" s="81"/>
      <c r="U250" s="82">
        <v>1</v>
      </c>
      <c r="V250" s="80"/>
      <c r="W250" s="80"/>
      <c r="X250" s="81"/>
      <c r="Y250" s="82"/>
      <c r="Z250" s="80"/>
      <c r="AA250" s="80"/>
      <c r="AB250" s="83"/>
      <c r="AC250" s="104"/>
      <c r="AD250" s="104"/>
      <c r="AE250" s="104"/>
      <c r="AF250" s="104"/>
      <c r="AG250" s="104"/>
      <c r="AH250" s="104"/>
      <c r="AI250" s="104"/>
      <c r="AJ250" s="104"/>
      <c r="AK250" s="104"/>
      <c r="AL250" s="104"/>
      <c r="AM250" s="104"/>
      <c r="AN250" s="104"/>
      <c r="AO250" s="104"/>
      <c r="AP250" s="104"/>
      <c r="AQ250" s="104"/>
      <c r="AR250" s="104"/>
      <c r="AS250" s="104"/>
      <c r="AT250" s="104"/>
      <c r="AU250" s="102"/>
    </row>
    <row r="251" spans="3:47" x14ac:dyDescent="0.3">
      <c r="C251" s="100"/>
      <c r="D251" s="104"/>
      <c r="E251" s="84" t="s">
        <v>191</v>
      </c>
      <c r="F251" s="85"/>
      <c r="G251" s="85"/>
      <c r="H251" s="85"/>
      <c r="I251" s="85" t="s">
        <v>189</v>
      </c>
      <c r="J251" s="85"/>
      <c r="K251" s="85"/>
      <c r="L251" s="85"/>
      <c r="M251" s="86" t="s">
        <v>21</v>
      </c>
      <c r="N251" s="86"/>
      <c r="O251" s="86"/>
      <c r="P251" s="87"/>
      <c r="Q251" s="88">
        <v>5</v>
      </c>
      <c r="R251" s="86"/>
      <c r="S251" s="86"/>
      <c r="T251" s="87"/>
      <c r="U251" s="88">
        <v>1.5</v>
      </c>
      <c r="V251" s="86"/>
      <c r="W251" s="86"/>
      <c r="X251" s="87"/>
      <c r="Y251" s="88"/>
      <c r="Z251" s="86"/>
      <c r="AA251" s="86"/>
      <c r="AB251" s="89"/>
      <c r="AC251" s="104"/>
      <c r="AD251" s="104"/>
      <c r="AE251" s="104"/>
      <c r="AF251" s="104"/>
      <c r="AG251" s="104"/>
      <c r="AH251" s="104"/>
      <c r="AI251" s="104"/>
      <c r="AJ251" s="104"/>
      <c r="AK251" s="104"/>
      <c r="AL251" s="104"/>
      <c r="AM251" s="104"/>
      <c r="AN251" s="104"/>
      <c r="AO251" s="104"/>
      <c r="AP251" s="104"/>
      <c r="AQ251" s="104"/>
      <c r="AR251" s="104"/>
      <c r="AS251" s="104"/>
      <c r="AT251" s="104"/>
      <c r="AU251" s="102"/>
    </row>
    <row r="252" spans="3:47" x14ac:dyDescent="0.3">
      <c r="C252" s="100"/>
      <c r="D252" s="104"/>
      <c r="E252" s="90" t="s">
        <v>192</v>
      </c>
      <c r="F252" s="91"/>
      <c r="G252" s="91"/>
      <c r="H252" s="91"/>
      <c r="I252" s="91" t="s">
        <v>189</v>
      </c>
      <c r="J252" s="91"/>
      <c r="K252" s="91"/>
      <c r="L252" s="91"/>
      <c r="M252" s="92" t="s">
        <v>169</v>
      </c>
      <c r="N252" s="92"/>
      <c r="O252" s="92"/>
      <c r="P252" s="93"/>
      <c r="Q252" s="94"/>
      <c r="R252" s="92"/>
      <c r="S252" s="92"/>
      <c r="T252" s="93"/>
      <c r="U252" s="94"/>
      <c r="V252" s="92"/>
      <c r="W252" s="92"/>
      <c r="X252" s="93"/>
      <c r="Y252" s="94"/>
      <c r="Z252" s="92"/>
      <c r="AA252" s="92"/>
      <c r="AB252" s="95"/>
      <c r="AC252" s="104"/>
      <c r="AD252" s="104"/>
      <c r="AE252" s="104"/>
      <c r="AF252" s="104"/>
      <c r="AG252" s="104"/>
      <c r="AH252" s="104"/>
      <c r="AI252" s="104"/>
      <c r="AJ252" s="104"/>
      <c r="AK252" s="104"/>
      <c r="AL252" s="104"/>
      <c r="AM252" s="104"/>
      <c r="AN252" s="104"/>
      <c r="AO252" s="104"/>
      <c r="AP252" s="104"/>
      <c r="AQ252" s="104"/>
      <c r="AR252" s="104"/>
      <c r="AS252" s="104"/>
      <c r="AT252" s="104"/>
      <c r="AU252" s="102"/>
    </row>
    <row r="253" spans="3:47" x14ac:dyDescent="0.3">
      <c r="C253" s="100"/>
      <c r="D253" s="104"/>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c r="AM253" s="104"/>
      <c r="AN253" s="104"/>
      <c r="AO253" s="104"/>
      <c r="AP253" s="104"/>
      <c r="AQ253" s="104"/>
      <c r="AR253" s="104"/>
      <c r="AS253" s="104"/>
      <c r="AT253" s="104"/>
      <c r="AU253" s="102"/>
    </row>
    <row r="254" spans="3:47" ht="25" thickBot="1" x14ac:dyDescent="0.35">
      <c r="C254" s="105"/>
      <c r="D254" s="106"/>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c r="AD254" s="106"/>
      <c r="AE254" s="106"/>
      <c r="AF254" s="106"/>
      <c r="AG254" s="106"/>
      <c r="AH254" s="106"/>
      <c r="AI254" s="106"/>
      <c r="AJ254" s="106"/>
      <c r="AK254" s="106"/>
      <c r="AL254" s="106"/>
      <c r="AM254" s="106"/>
      <c r="AN254" s="106"/>
      <c r="AO254" s="106"/>
      <c r="AP254" s="106"/>
      <c r="AQ254" s="106"/>
      <c r="AR254" s="106"/>
      <c r="AS254" s="106"/>
      <c r="AT254" s="106"/>
      <c r="AU254" s="107"/>
    </row>
    <row r="256" spans="3:47" x14ac:dyDescent="0.3">
      <c r="C256" s="96"/>
      <c r="D256" s="97"/>
      <c r="E256" s="97"/>
      <c r="F256" s="97"/>
      <c r="G256" s="97"/>
      <c r="H256" s="97"/>
      <c r="I256" s="97"/>
      <c r="J256" s="97"/>
      <c r="K256" s="97"/>
      <c r="L256" s="97"/>
      <c r="M256" s="97"/>
      <c r="N256" s="97"/>
      <c r="O256" s="97"/>
      <c r="P256" s="97"/>
      <c r="Q256" s="97"/>
      <c r="R256" s="97"/>
      <c r="S256" s="97"/>
      <c r="T256" s="97"/>
      <c r="U256" s="97"/>
      <c r="V256" s="97"/>
      <c r="W256" s="97"/>
      <c r="X256" s="97"/>
      <c r="Y256" s="97"/>
      <c r="Z256" s="97"/>
      <c r="AA256" s="97"/>
      <c r="AB256" s="97"/>
      <c r="AC256" s="97"/>
      <c r="AD256" s="97"/>
      <c r="AE256" s="97"/>
      <c r="AF256" s="97"/>
      <c r="AG256" s="97"/>
      <c r="AH256" s="97"/>
      <c r="AI256" s="97"/>
      <c r="AJ256" s="97"/>
      <c r="AK256" s="97"/>
      <c r="AL256" s="97"/>
      <c r="AM256" s="97"/>
      <c r="AN256" s="97"/>
      <c r="AO256" s="97"/>
      <c r="AP256" s="97"/>
      <c r="AQ256" s="97"/>
      <c r="AR256" s="97"/>
      <c r="AS256" s="97"/>
      <c r="AT256" s="97"/>
      <c r="AU256" s="98"/>
    </row>
    <row r="257" spans="3:47" x14ac:dyDescent="0.3">
      <c r="C257" s="100"/>
      <c r="D257" s="127" t="s">
        <v>333</v>
      </c>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c r="AA257" s="127"/>
      <c r="AB257" s="127"/>
      <c r="AC257" s="127"/>
      <c r="AD257" s="127"/>
      <c r="AE257" s="127"/>
      <c r="AF257" s="127"/>
      <c r="AG257" s="127"/>
      <c r="AH257" s="127"/>
      <c r="AI257" s="127"/>
      <c r="AJ257" s="127"/>
      <c r="AK257" s="127"/>
      <c r="AL257" s="127"/>
      <c r="AM257" s="127"/>
      <c r="AN257" s="127"/>
      <c r="AO257" s="127"/>
      <c r="AP257" s="127"/>
      <c r="AQ257" s="127"/>
      <c r="AR257" s="127"/>
      <c r="AS257" s="127"/>
      <c r="AT257" s="127"/>
      <c r="AU257" s="102"/>
    </row>
    <row r="258" spans="3:47" x14ac:dyDescent="0.3">
      <c r="C258" s="100"/>
      <c r="D258" s="101" t="s">
        <v>292</v>
      </c>
      <c r="E258" s="101"/>
      <c r="F258" s="101"/>
      <c r="G258" s="101"/>
      <c r="H258" s="101"/>
      <c r="I258" s="101"/>
      <c r="J258" s="101"/>
      <c r="K258" s="101"/>
      <c r="L258" s="101"/>
      <c r="M258" s="101"/>
      <c r="N258" s="101"/>
      <c r="O258" s="101"/>
      <c r="P258" s="101"/>
      <c r="Q258" s="101"/>
      <c r="R258" s="101"/>
      <c r="S258" s="101"/>
      <c r="T258" s="101"/>
      <c r="U258" s="101"/>
      <c r="V258" s="101"/>
      <c r="W258" s="101"/>
      <c r="X258" s="101"/>
      <c r="Y258" s="101"/>
      <c r="Z258" s="101"/>
      <c r="AA258" s="101"/>
      <c r="AB258" s="101"/>
      <c r="AC258" s="101"/>
      <c r="AD258" s="101"/>
      <c r="AE258" s="101"/>
      <c r="AF258" s="101"/>
      <c r="AG258" s="101"/>
      <c r="AH258" s="101"/>
      <c r="AI258" s="101"/>
      <c r="AJ258" s="101"/>
      <c r="AK258" s="101"/>
      <c r="AL258" s="101"/>
      <c r="AM258" s="101"/>
      <c r="AN258" s="101"/>
      <c r="AO258" s="101"/>
      <c r="AP258" s="101"/>
      <c r="AQ258" s="101"/>
      <c r="AR258" s="101"/>
      <c r="AS258" s="101"/>
      <c r="AT258" s="101"/>
      <c r="AU258" s="102"/>
    </row>
    <row r="259" spans="3:47" x14ac:dyDescent="0.3">
      <c r="C259" s="100"/>
      <c r="D259" s="104"/>
      <c r="E259" s="10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c r="AM259" s="104"/>
      <c r="AN259" s="104"/>
      <c r="AO259" s="104"/>
      <c r="AP259" s="104"/>
      <c r="AQ259" s="104"/>
      <c r="AR259" s="104"/>
      <c r="AS259" s="104"/>
      <c r="AT259" s="104"/>
      <c r="AU259" s="102"/>
    </row>
    <row r="260" spans="3:47" x14ac:dyDescent="0.3">
      <c r="C260" s="100"/>
      <c r="D260" s="104"/>
      <c r="E260" s="10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c r="AM260" s="104"/>
      <c r="AN260" s="104"/>
      <c r="AO260" s="104"/>
      <c r="AP260" s="104"/>
      <c r="AQ260" s="104"/>
      <c r="AR260" s="104"/>
      <c r="AS260" s="104"/>
      <c r="AT260" s="104"/>
      <c r="AU260" s="102"/>
    </row>
    <row r="261" spans="3:47" ht="25" thickBot="1" x14ac:dyDescent="0.35">
      <c r="C261" s="105"/>
      <c r="D261" s="106"/>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c r="AD261" s="106"/>
      <c r="AE261" s="106"/>
      <c r="AF261" s="106"/>
      <c r="AG261" s="106"/>
      <c r="AH261" s="106"/>
      <c r="AI261" s="106"/>
      <c r="AJ261" s="106"/>
      <c r="AK261" s="106"/>
      <c r="AL261" s="106"/>
      <c r="AM261" s="106"/>
      <c r="AN261" s="106"/>
      <c r="AO261" s="106"/>
      <c r="AP261" s="106"/>
      <c r="AQ261" s="106"/>
      <c r="AR261" s="106"/>
      <c r="AS261" s="106"/>
      <c r="AT261" s="106"/>
      <c r="AU261" s="107"/>
    </row>
    <row r="263" spans="3:47" x14ac:dyDescent="0.3">
      <c r="C263" s="96"/>
      <c r="D263" s="97"/>
      <c r="E263" s="97"/>
      <c r="F263" s="97"/>
      <c r="G263" s="97"/>
      <c r="H263" s="97"/>
      <c r="I263" s="97"/>
      <c r="J263" s="97"/>
      <c r="K263" s="97"/>
      <c r="L263" s="97"/>
      <c r="M263" s="97"/>
      <c r="N263" s="97"/>
      <c r="O263" s="97"/>
      <c r="P263" s="97"/>
      <c r="Q263" s="97"/>
      <c r="R263" s="97"/>
      <c r="S263" s="97"/>
      <c r="T263" s="97"/>
      <c r="U263" s="97"/>
      <c r="V263" s="97"/>
      <c r="W263" s="97"/>
      <c r="X263" s="97"/>
      <c r="Y263" s="97"/>
      <c r="Z263" s="97"/>
      <c r="AA263" s="97"/>
      <c r="AB263" s="97"/>
      <c r="AC263" s="97"/>
      <c r="AD263" s="97"/>
      <c r="AE263" s="97"/>
      <c r="AF263" s="97"/>
      <c r="AG263" s="97"/>
      <c r="AH263" s="97"/>
      <c r="AI263" s="97"/>
      <c r="AJ263" s="97"/>
      <c r="AK263" s="97"/>
      <c r="AL263" s="97"/>
      <c r="AM263" s="97"/>
      <c r="AN263" s="97"/>
      <c r="AO263" s="97"/>
      <c r="AP263" s="97"/>
      <c r="AQ263" s="97"/>
      <c r="AR263" s="97"/>
      <c r="AS263" s="97"/>
      <c r="AT263" s="97"/>
      <c r="AU263" s="98"/>
    </row>
    <row r="264" spans="3:47" x14ac:dyDescent="0.3">
      <c r="C264" s="100"/>
      <c r="D264" s="127" t="s">
        <v>334</v>
      </c>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c r="AA264" s="127"/>
      <c r="AB264" s="127"/>
      <c r="AC264" s="127"/>
      <c r="AD264" s="127"/>
      <c r="AE264" s="127"/>
      <c r="AF264" s="127"/>
      <c r="AG264" s="127"/>
      <c r="AH264" s="127"/>
      <c r="AI264" s="127"/>
      <c r="AJ264" s="127"/>
      <c r="AK264" s="127"/>
      <c r="AL264" s="127"/>
      <c r="AM264" s="127"/>
      <c r="AN264" s="127"/>
      <c r="AO264" s="127"/>
      <c r="AP264" s="127"/>
      <c r="AQ264" s="127"/>
      <c r="AR264" s="127"/>
      <c r="AS264" s="127"/>
      <c r="AT264" s="127"/>
      <c r="AU264" s="102"/>
    </row>
    <row r="265" spans="3:47" x14ac:dyDescent="0.3">
      <c r="C265" s="100"/>
      <c r="D265" s="101" t="s">
        <v>293</v>
      </c>
      <c r="E265" s="101"/>
      <c r="F265" s="101"/>
      <c r="G265" s="101"/>
      <c r="H265" s="101"/>
      <c r="I265" s="101"/>
      <c r="J265" s="101"/>
      <c r="K265" s="101"/>
      <c r="L265" s="101"/>
      <c r="M265" s="101"/>
      <c r="N265" s="101"/>
      <c r="O265" s="101"/>
      <c r="P265" s="101"/>
      <c r="Q265" s="101"/>
      <c r="R265" s="101"/>
      <c r="S265" s="101"/>
      <c r="T265" s="101"/>
      <c r="U265" s="101"/>
      <c r="V265" s="101"/>
      <c r="W265" s="101"/>
      <c r="X265" s="101"/>
      <c r="Y265" s="101"/>
      <c r="Z265" s="101"/>
      <c r="AA265" s="101"/>
      <c r="AB265" s="101"/>
      <c r="AC265" s="101"/>
      <c r="AD265" s="101"/>
      <c r="AE265" s="101"/>
      <c r="AF265" s="101"/>
      <c r="AG265" s="101"/>
      <c r="AH265" s="101"/>
      <c r="AI265" s="101"/>
      <c r="AJ265" s="101"/>
      <c r="AK265" s="101"/>
      <c r="AL265" s="101"/>
      <c r="AM265" s="101"/>
      <c r="AN265" s="101"/>
      <c r="AO265" s="101"/>
      <c r="AP265" s="101"/>
      <c r="AQ265" s="101"/>
      <c r="AR265" s="101"/>
      <c r="AS265" s="101"/>
      <c r="AT265" s="101"/>
      <c r="AU265" s="102"/>
    </row>
    <row r="266" spans="3:47" x14ac:dyDescent="0.3">
      <c r="C266" s="100"/>
      <c r="D266" s="104"/>
      <c r="E266" s="10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c r="AM266" s="104"/>
      <c r="AN266" s="104"/>
      <c r="AO266" s="104"/>
      <c r="AP266" s="104"/>
      <c r="AQ266" s="104"/>
      <c r="AR266" s="104"/>
      <c r="AS266" s="104"/>
      <c r="AT266" s="104"/>
      <c r="AU266" s="102"/>
    </row>
    <row r="267" spans="3:47" x14ac:dyDescent="0.3">
      <c r="C267" s="100"/>
      <c r="D267" s="104"/>
      <c r="E267" s="10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c r="AM267" s="104"/>
      <c r="AN267" s="104"/>
      <c r="AO267" s="104"/>
      <c r="AP267" s="104"/>
      <c r="AQ267" s="104"/>
      <c r="AR267" s="104"/>
      <c r="AS267" s="104"/>
      <c r="AT267" s="104"/>
      <c r="AU267" s="102"/>
    </row>
    <row r="268" spans="3:47" ht="25" thickBot="1" x14ac:dyDescent="0.35">
      <c r="C268" s="105"/>
      <c r="D268" s="106"/>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c r="AD268" s="106"/>
      <c r="AE268" s="106"/>
      <c r="AF268" s="106"/>
      <c r="AG268" s="106"/>
      <c r="AH268" s="106"/>
      <c r="AI268" s="106"/>
      <c r="AJ268" s="106"/>
      <c r="AK268" s="106"/>
      <c r="AL268" s="106"/>
      <c r="AM268" s="106"/>
      <c r="AN268" s="106"/>
      <c r="AO268" s="106"/>
      <c r="AP268" s="106"/>
      <c r="AQ268" s="106"/>
      <c r="AR268" s="106"/>
      <c r="AS268" s="106"/>
      <c r="AT268" s="106"/>
      <c r="AU268" s="107"/>
    </row>
  </sheetData>
  <sheetProtection sheet="1" objects="1" scenarios="1" selectLockedCells="1" selectUnlockedCells="1"/>
  <mergeCells count="281">
    <mergeCell ref="D3:AT3"/>
    <mergeCell ref="E4:AT4"/>
    <mergeCell ref="E5:AT5"/>
    <mergeCell ref="E6:AT6"/>
    <mergeCell ref="D7:AT7"/>
    <mergeCell ref="E8:AT8"/>
    <mergeCell ref="E17:AT17"/>
    <mergeCell ref="E18:AT18"/>
    <mergeCell ref="E19:AT19"/>
    <mergeCell ref="D20:AT20"/>
    <mergeCell ref="D22:AT22"/>
    <mergeCell ref="D23:AT23"/>
    <mergeCell ref="E9:AT9"/>
    <mergeCell ref="D10:AT10"/>
    <mergeCell ref="D11:AT11"/>
    <mergeCell ref="D13:AT13"/>
    <mergeCell ref="D15:AT15"/>
    <mergeCell ref="E16:AT16"/>
    <mergeCell ref="D34:H34"/>
    <mergeCell ref="I34:AT34"/>
    <mergeCell ref="D35:H35"/>
    <mergeCell ref="D36:H36"/>
    <mergeCell ref="D29:AT29"/>
    <mergeCell ref="D30:AT30"/>
    <mergeCell ref="D31:AT31"/>
    <mergeCell ref="D32:H32"/>
    <mergeCell ref="I32:AT32"/>
    <mergeCell ref="D33:H33"/>
    <mergeCell ref="I33:AT33"/>
    <mergeCell ref="I81:J81"/>
    <mergeCell ref="D45:AT45"/>
    <mergeCell ref="D46:AT46"/>
    <mergeCell ref="D56:AT56"/>
    <mergeCell ref="E57:AT57"/>
    <mergeCell ref="D40:H40"/>
    <mergeCell ref="D41:H41"/>
    <mergeCell ref="D42:H42"/>
    <mergeCell ref="D37:H37"/>
    <mergeCell ref="D38:H38"/>
    <mergeCell ref="D39:H39"/>
    <mergeCell ref="V81:X81"/>
    <mergeCell ref="T82:U82"/>
    <mergeCell ref="T81:U81"/>
    <mergeCell ref="R82:S82"/>
    <mergeCell ref="R81:S81"/>
    <mergeCell ref="D94:AT94"/>
    <mergeCell ref="D43:AT43"/>
    <mergeCell ref="D71:AT71"/>
    <mergeCell ref="AD81:AF81"/>
    <mergeCell ref="AD82:AF82"/>
    <mergeCell ref="AA81:AC81"/>
    <mergeCell ref="AA82:AC82"/>
    <mergeCell ref="Y82:Z82"/>
    <mergeCell ref="Y81:Z81"/>
    <mergeCell ref="E58:AT58"/>
    <mergeCell ref="E59:AT59"/>
    <mergeCell ref="D68:AT68"/>
    <mergeCell ref="E69:AT69"/>
    <mergeCell ref="E70:AT70"/>
    <mergeCell ref="D60:AT60"/>
    <mergeCell ref="O81:Q81"/>
    <mergeCell ref="M82:N82"/>
    <mergeCell ref="M81:N81"/>
    <mergeCell ref="I82:J82"/>
    <mergeCell ref="D95:AT95"/>
    <mergeCell ref="D89:H89"/>
    <mergeCell ref="I89:AT89"/>
    <mergeCell ref="D90:H90"/>
    <mergeCell ref="I90:AT90"/>
    <mergeCell ref="D44:AT44"/>
    <mergeCell ref="D88:AT88"/>
    <mergeCell ref="D91:H91"/>
    <mergeCell ref="I91:AT91"/>
    <mergeCell ref="D92:H92"/>
    <mergeCell ref="I92:AT92"/>
    <mergeCell ref="D93:H93"/>
    <mergeCell ref="I93:AT93"/>
    <mergeCell ref="G82:H82"/>
    <mergeCell ref="G81:H81"/>
    <mergeCell ref="E82:F82"/>
    <mergeCell ref="E81:F81"/>
    <mergeCell ref="D79:AT79"/>
    <mergeCell ref="D86:AT86"/>
    <mergeCell ref="K82:L82"/>
    <mergeCell ref="K81:L81"/>
    <mergeCell ref="O82:Q82"/>
    <mergeCell ref="D87:AT87"/>
    <mergeCell ref="V82:X82"/>
    <mergeCell ref="D102:AT102"/>
    <mergeCell ref="D103:AT103"/>
    <mergeCell ref="D104:AT104"/>
    <mergeCell ref="E105:AT105"/>
    <mergeCell ref="E106:AT106"/>
    <mergeCell ref="H98:AR98"/>
    <mergeCell ref="H99:AR99"/>
    <mergeCell ref="H100:AR100"/>
    <mergeCell ref="G97:AR97"/>
    <mergeCell ref="E113:AT113"/>
    <mergeCell ref="F114:G114"/>
    <mergeCell ref="H114:AT114"/>
    <mergeCell ref="E107:AT107"/>
    <mergeCell ref="E108:AT108"/>
    <mergeCell ref="D109:AT109"/>
    <mergeCell ref="E110:AT110"/>
    <mergeCell ref="D111:AT111"/>
    <mergeCell ref="E112:AT112"/>
    <mergeCell ref="E120:AT120"/>
    <mergeCell ref="E119:AT119"/>
    <mergeCell ref="D132:AT132"/>
    <mergeCell ref="E133:AT133"/>
    <mergeCell ref="E134:AT134"/>
    <mergeCell ref="F135:G135"/>
    <mergeCell ref="H135:AT135"/>
    <mergeCell ref="F115:G115"/>
    <mergeCell ref="H115:AT115"/>
    <mergeCell ref="F116:G116"/>
    <mergeCell ref="H116:AT116"/>
    <mergeCell ref="E117:AT117"/>
    <mergeCell ref="E118:AT118"/>
    <mergeCell ref="E140:AT140"/>
    <mergeCell ref="D151:AT151"/>
    <mergeCell ref="E152:AT152"/>
    <mergeCell ref="E153:AT153"/>
    <mergeCell ref="F154:G154"/>
    <mergeCell ref="H154:AT154"/>
    <mergeCell ref="F136:G136"/>
    <mergeCell ref="H136:AT136"/>
    <mergeCell ref="F137:G137"/>
    <mergeCell ref="H137:AT137"/>
    <mergeCell ref="E138:AT138"/>
    <mergeCell ref="E139:AT139"/>
    <mergeCell ref="E161:AT162"/>
    <mergeCell ref="D173:AT173"/>
    <mergeCell ref="T165:W165"/>
    <mergeCell ref="X165:AA165"/>
    <mergeCell ref="AB165:AE165"/>
    <mergeCell ref="AB166:AE166"/>
    <mergeCell ref="X166:AA166"/>
    <mergeCell ref="F156:G156"/>
    <mergeCell ref="H156:AT156"/>
    <mergeCell ref="H158:AT158"/>
    <mergeCell ref="E159:AT159"/>
    <mergeCell ref="E160:AT160"/>
    <mergeCell ref="L166:N166"/>
    <mergeCell ref="O165:S165"/>
    <mergeCell ref="O166:S166"/>
    <mergeCell ref="O167:S167"/>
    <mergeCell ref="O168:S168"/>
    <mergeCell ref="X168:AA168"/>
    <mergeCell ref="X169:AA169"/>
    <mergeCell ref="AB169:AE169"/>
    <mergeCell ref="AB168:AE168"/>
    <mergeCell ref="AB167:AE167"/>
    <mergeCell ref="X167:AA167"/>
    <mergeCell ref="T166:W166"/>
    <mergeCell ref="T169:W169"/>
    <mergeCell ref="T168:W168"/>
    <mergeCell ref="T167:W167"/>
    <mergeCell ref="E164:AU164"/>
    <mergeCell ref="D174:AT174"/>
    <mergeCell ref="D175:AT175"/>
    <mergeCell ref="D176:AT176"/>
    <mergeCell ref="G169:H169"/>
    <mergeCell ref="G168:H168"/>
    <mergeCell ref="G167:H167"/>
    <mergeCell ref="G166:H166"/>
    <mergeCell ref="G165:H165"/>
    <mergeCell ref="E169:F169"/>
    <mergeCell ref="E168:F168"/>
    <mergeCell ref="E167:F167"/>
    <mergeCell ref="E166:F166"/>
    <mergeCell ref="E165:F165"/>
    <mergeCell ref="L165:N165"/>
    <mergeCell ref="I169:K169"/>
    <mergeCell ref="I168:K168"/>
    <mergeCell ref="I167:K167"/>
    <mergeCell ref="I166:K166"/>
    <mergeCell ref="I165:K165"/>
    <mergeCell ref="O169:S169"/>
    <mergeCell ref="L169:N169"/>
    <mergeCell ref="L168:N168"/>
    <mergeCell ref="L167:N167"/>
    <mergeCell ref="E180:F180"/>
    <mergeCell ref="E179:F179"/>
    <mergeCell ref="G179:I179"/>
    <mergeCell ref="G180:I180"/>
    <mergeCell ref="G181:I181"/>
    <mergeCell ref="D178:AT178"/>
    <mergeCell ref="M179:N179"/>
    <mergeCell ref="M180:N180"/>
    <mergeCell ref="M181:N181"/>
    <mergeCell ref="O181:P181"/>
    <mergeCell ref="O180:P180"/>
    <mergeCell ref="O179:P179"/>
    <mergeCell ref="S179:T179"/>
    <mergeCell ref="U179:V179"/>
    <mergeCell ref="W179:X179"/>
    <mergeCell ref="Y179:Z179"/>
    <mergeCell ref="S180:T180"/>
    <mergeCell ref="U180:V180"/>
    <mergeCell ref="W180:X180"/>
    <mergeCell ref="Y180:Z180"/>
    <mergeCell ref="J181:L181"/>
    <mergeCell ref="J180:L180"/>
    <mergeCell ref="J179:L179"/>
    <mergeCell ref="Q179:R179"/>
    <mergeCell ref="Q180:R180"/>
    <mergeCell ref="Q181:R181"/>
    <mergeCell ref="H185:AR185"/>
    <mergeCell ref="H186:AR186"/>
    <mergeCell ref="D190:AT190"/>
    <mergeCell ref="D191:AT191"/>
    <mergeCell ref="D197:AT197"/>
    <mergeCell ref="D198:AT198"/>
    <mergeCell ref="S181:T181"/>
    <mergeCell ref="U181:V181"/>
    <mergeCell ref="W181:X181"/>
    <mergeCell ref="Y181:Z181"/>
    <mergeCell ref="G183:AR183"/>
    <mergeCell ref="H184:AR184"/>
    <mergeCell ref="E181:F181"/>
    <mergeCell ref="D226:AT226"/>
    <mergeCell ref="E227:AT227"/>
    <mergeCell ref="E228:AT228"/>
    <mergeCell ref="E229:AT229"/>
    <mergeCell ref="D230:AT230"/>
    <mergeCell ref="D231:H231"/>
    <mergeCell ref="I232:AT232"/>
    <mergeCell ref="E199:AT199"/>
    <mergeCell ref="E200:AT200"/>
    <mergeCell ref="D201:AS202"/>
    <mergeCell ref="AT201:AT202"/>
    <mergeCell ref="D243:H243"/>
    <mergeCell ref="I243:AT243"/>
    <mergeCell ref="I231:AT231"/>
    <mergeCell ref="I237:AT237"/>
    <mergeCell ref="I233:AT233"/>
    <mergeCell ref="I234:AT234"/>
    <mergeCell ref="D237:H237"/>
    <mergeCell ref="I238:AT238"/>
    <mergeCell ref="I239:AT239"/>
    <mergeCell ref="I240:AT240"/>
    <mergeCell ref="U252:X252"/>
    <mergeCell ref="M249:P249"/>
    <mergeCell ref="M250:P250"/>
    <mergeCell ref="M251:P251"/>
    <mergeCell ref="M252:P252"/>
    <mergeCell ref="I244:AT244"/>
    <mergeCell ref="Y249:AB249"/>
    <mergeCell ref="Y252:AB252"/>
    <mergeCell ref="Y251:AB251"/>
    <mergeCell ref="Y250:AB250"/>
    <mergeCell ref="Q249:T249"/>
    <mergeCell ref="U249:X249"/>
    <mergeCell ref="Q250:T250"/>
    <mergeCell ref="U250:X250"/>
    <mergeCell ref="Q251:T251"/>
    <mergeCell ref="C28:C83"/>
    <mergeCell ref="C85:C170"/>
    <mergeCell ref="C256:C261"/>
    <mergeCell ref="C263:C268"/>
    <mergeCell ref="C196:C254"/>
    <mergeCell ref="C189:C194"/>
    <mergeCell ref="C172:C187"/>
    <mergeCell ref="C2:C26"/>
    <mergeCell ref="D248:AT248"/>
    <mergeCell ref="D257:AT257"/>
    <mergeCell ref="D258:AT258"/>
    <mergeCell ref="D264:AT264"/>
    <mergeCell ref="D265:AT265"/>
    <mergeCell ref="D14:AT14"/>
    <mergeCell ref="E249:H249"/>
    <mergeCell ref="I249:L249"/>
    <mergeCell ref="I252:L252"/>
    <mergeCell ref="I251:L251"/>
    <mergeCell ref="I250:L250"/>
    <mergeCell ref="E252:H252"/>
    <mergeCell ref="E251:H251"/>
    <mergeCell ref="E250:H250"/>
    <mergeCell ref="U251:X251"/>
    <mergeCell ref="Q252:T252"/>
  </mergeCells>
  <phoneticPr fontId="6" type="noConversion"/>
  <dataValidations disablePrompts="1" count="2">
    <dataValidation type="list" allowBlank="1" showInputMessage="1" showErrorMessage="1" sqref="O166:O169">
      <formula1>lstCM</formula1>
    </dataValidation>
    <dataValidation type="list" allowBlank="1" showInputMessage="1" showErrorMessage="1" sqref="M250:M252">
      <formula1>lstDist</formula1>
    </dataValidation>
  </dataValidations>
  <pageMargins left="0.70866141732283472" right="0.70866141732283472" top="0.74803149606299213" bottom="0.74803149606299213" header="0.31496062992125984" footer="0.31496062992125984"/>
  <pageSetup paperSize="9" scale="44" fitToHeight="4" orientation="portrait" horizontalDpi="0" verticalDpi="0" r:id="rId1"/>
  <headerFooter>
    <oddFooter>Page &amp;P of &amp;N</oddFooter>
  </headerFooter>
  <rowBreaks count="3" manualBreakCount="3">
    <brk id="84" min="1" max="47" man="1"/>
    <brk id="171" min="1" max="47" man="1"/>
    <brk id="255" min="1" max="47" man="1"/>
  </rowBreaks>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locked="0" defaultSize="0" autoFill="0" autoPict="0" macro="[0]!ClearAllInputs">
                <anchor moveWithCells="1" sizeWithCells="1">
                  <from>
                    <xdr:col>3</xdr:col>
                    <xdr:colOff>25400</xdr:colOff>
                    <xdr:row>23</xdr:row>
                    <xdr:rowOff>50800</xdr:rowOff>
                  </from>
                  <to>
                    <xdr:col>9</xdr:col>
                    <xdr:colOff>63500</xdr:colOff>
                    <xdr:row>24</xdr:row>
                    <xdr:rowOff>177800</xdr:rowOff>
                  </to>
                </anchor>
              </controlPr>
            </control>
          </mc:Choice>
          <mc:Fallback/>
        </mc:AlternateContent>
        <mc:AlternateContent xmlns:mc="http://schemas.openxmlformats.org/markup-compatibility/2006">
          <mc:Choice Requires="x14">
            <control shapeId="35843" r:id="rId5" name="Button 3">
              <controlPr locked="0" defaultSize="0" autoFill="0" autoPict="0" macro="[0]!CheckArcPathOd">
                <anchor moveWithCells="1" sizeWithCells="1">
                  <from>
                    <xdr:col>3</xdr:col>
                    <xdr:colOff>25400</xdr:colOff>
                    <xdr:row>191</xdr:row>
                    <xdr:rowOff>38100</xdr:rowOff>
                  </from>
                  <to>
                    <xdr:col>9</xdr:col>
                    <xdr:colOff>63500</xdr:colOff>
                    <xdr:row>192</xdr:row>
                    <xdr:rowOff>177800</xdr:rowOff>
                  </to>
                </anchor>
              </controlPr>
            </control>
          </mc:Choice>
          <mc:Fallback/>
        </mc:AlternateContent>
        <mc:AlternateContent xmlns:mc="http://schemas.openxmlformats.org/markup-compatibility/2006">
          <mc:Choice Requires="x14">
            <control shapeId="35844" r:id="rId6" name="Button 4">
              <controlPr locked="0" defaultSize="0" autoFill="0" autoPict="0" macro="[0]!checkDistributions">
                <anchor moveWithCells="1" sizeWithCells="1">
                  <from>
                    <xdr:col>3</xdr:col>
                    <xdr:colOff>25400</xdr:colOff>
                    <xdr:row>258</xdr:row>
                    <xdr:rowOff>50800</xdr:rowOff>
                  </from>
                  <to>
                    <xdr:col>9</xdr:col>
                    <xdr:colOff>63500</xdr:colOff>
                    <xdr:row>259</xdr:row>
                    <xdr:rowOff>177800</xdr:rowOff>
                  </to>
                </anchor>
              </controlPr>
            </control>
          </mc:Choice>
          <mc:Fallback/>
        </mc:AlternateContent>
        <mc:AlternateContent xmlns:mc="http://schemas.openxmlformats.org/markup-compatibility/2006">
          <mc:Choice Requires="x14">
            <control shapeId="35846" r:id="rId7" name="Button 6">
              <controlPr locked="0" defaultSize="0" autoFill="0" autoPict="0" macro="[0]!CreateTextFile">
                <anchor moveWithCells="1" sizeWithCells="1">
                  <from>
                    <xdr:col>3</xdr:col>
                    <xdr:colOff>25400</xdr:colOff>
                    <xdr:row>265</xdr:row>
                    <xdr:rowOff>50800</xdr:rowOff>
                  </from>
                  <to>
                    <xdr:col>9</xdr:col>
                    <xdr:colOff>63500</xdr:colOff>
                    <xdr:row>266</xdr:row>
                    <xdr:rowOff>177800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Nodes" enableFormatConditionsCalculation="0"/>
  <dimension ref="A1:A5673"/>
  <sheetViews>
    <sheetView showGridLines="0" workbookViewId="0">
      <pane ySplit="1" topLeftCell="A2" activePane="bottomLeft" state="frozen"/>
      <selection activeCell="R10" sqref="R10"/>
      <selection pane="bottomLeft" activeCell="A2" sqref="A2"/>
    </sheetView>
  </sheetViews>
  <sheetFormatPr baseColWidth="10" defaultColWidth="8.83203125" defaultRowHeight="14" x14ac:dyDescent="0.2"/>
  <cols>
    <col min="1" max="1" width="39.1640625" style="14" customWidth="1"/>
    <col min="2" max="16384" width="8.83203125" style="14"/>
  </cols>
  <sheetData>
    <row r="1" spans="1:1" ht="60" customHeight="1" x14ac:dyDescent="0.2">
      <c r="A1" s="9" t="s">
        <v>7</v>
      </c>
    </row>
    <row r="2" spans="1:1" x14ac:dyDescent="0.2">
      <c r="A2" s="25"/>
    </row>
    <row r="3" spans="1:1" x14ac:dyDescent="0.2">
      <c r="A3" s="25"/>
    </row>
    <row r="4" spans="1:1" x14ac:dyDescent="0.2">
      <c r="A4" s="25"/>
    </row>
    <row r="5" spans="1:1" x14ac:dyDescent="0.2">
      <c r="A5" s="25"/>
    </row>
    <row r="6" spans="1:1" x14ac:dyDescent="0.2">
      <c r="A6" s="25"/>
    </row>
    <row r="7" spans="1:1" x14ac:dyDescent="0.2">
      <c r="A7" s="25"/>
    </row>
    <row r="8" spans="1:1" x14ac:dyDescent="0.2">
      <c r="A8" s="25"/>
    </row>
    <row r="9" spans="1:1" x14ac:dyDescent="0.2">
      <c r="A9" s="25"/>
    </row>
    <row r="10" spans="1:1" x14ac:dyDescent="0.2">
      <c r="A10" s="25"/>
    </row>
    <row r="11" spans="1:1" x14ac:dyDescent="0.2">
      <c r="A11" s="25"/>
    </row>
    <row r="12" spans="1:1" x14ac:dyDescent="0.2">
      <c r="A12" s="25"/>
    </row>
    <row r="13" spans="1:1" x14ac:dyDescent="0.2">
      <c r="A13" s="25"/>
    </row>
    <row r="14" spans="1:1" x14ac:dyDescent="0.2">
      <c r="A14" s="25"/>
    </row>
    <row r="15" spans="1:1" x14ac:dyDescent="0.2">
      <c r="A15" s="25"/>
    </row>
    <row r="16" spans="1:1" x14ac:dyDescent="0.2">
      <c r="A16" s="25"/>
    </row>
    <row r="17" spans="1:1" x14ac:dyDescent="0.2">
      <c r="A17" s="25"/>
    </row>
    <row r="18" spans="1:1" x14ac:dyDescent="0.2">
      <c r="A18" s="25"/>
    </row>
    <row r="19" spans="1:1" x14ac:dyDescent="0.2">
      <c r="A19" s="25"/>
    </row>
    <row r="20" spans="1:1" x14ac:dyDescent="0.2">
      <c r="A20" s="25"/>
    </row>
    <row r="21" spans="1:1" x14ac:dyDescent="0.2">
      <c r="A21" s="25"/>
    </row>
    <row r="22" spans="1:1" x14ac:dyDescent="0.2">
      <c r="A22" s="25"/>
    </row>
    <row r="23" spans="1:1" x14ac:dyDescent="0.2">
      <c r="A23" s="25"/>
    </row>
    <row r="24" spans="1:1" x14ac:dyDescent="0.2">
      <c r="A24" s="25"/>
    </row>
    <row r="25" spans="1:1" x14ac:dyDescent="0.2">
      <c r="A25" s="25"/>
    </row>
    <row r="26" spans="1:1" x14ac:dyDescent="0.2">
      <c r="A26" s="25"/>
    </row>
    <row r="27" spans="1:1" x14ac:dyDescent="0.2">
      <c r="A27" s="25"/>
    </row>
    <row r="28" spans="1:1" x14ac:dyDescent="0.2">
      <c r="A28" s="25"/>
    </row>
    <row r="29" spans="1:1" x14ac:dyDescent="0.2">
      <c r="A29" s="25"/>
    </row>
    <row r="30" spans="1:1" x14ac:dyDescent="0.2">
      <c r="A30" s="25"/>
    </row>
    <row r="31" spans="1:1" x14ac:dyDescent="0.2">
      <c r="A31" s="25"/>
    </row>
    <row r="32" spans="1:1" x14ac:dyDescent="0.2">
      <c r="A32" s="25"/>
    </row>
    <row r="33" spans="1:1" x14ac:dyDescent="0.2">
      <c r="A33" s="25"/>
    </row>
    <row r="34" spans="1:1" x14ac:dyDescent="0.2">
      <c r="A34" s="25"/>
    </row>
    <row r="35" spans="1:1" x14ac:dyDescent="0.2">
      <c r="A35" s="25"/>
    </row>
    <row r="36" spans="1:1" x14ac:dyDescent="0.2">
      <c r="A36" s="25"/>
    </row>
    <row r="37" spans="1:1" x14ac:dyDescent="0.2">
      <c r="A37" s="25"/>
    </row>
    <row r="38" spans="1:1" x14ac:dyDescent="0.2">
      <c r="A38" s="25"/>
    </row>
    <row r="39" spans="1:1" x14ac:dyDescent="0.2">
      <c r="A39" s="25"/>
    </row>
    <row r="40" spans="1:1" x14ac:dyDescent="0.2">
      <c r="A40" s="25"/>
    </row>
    <row r="41" spans="1:1" x14ac:dyDescent="0.2">
      <c r="A41" s="25"/>
    </row>
    <row r="42" spans="1:1" x14ac:dyDescent="0.2">
      <c r="A42" s="25"/>
    </row>
    <row r="43" spans="1:1" x14ac:dyDescent="0.2">
      <c r="A43" s="25"/>
    </row>
    <row r="44" spans="1:1" x14ac:dyDescent="0.2">
      <c r="A44" s="25"/>
    </row>
    <row r="45" spans="1:1" x14ac:dyDescent="0.2">
      <c r="A45" s="25"/>
    </row>
    <row r="46" spans="1:1" x14ac:dyDescent="0.2">
      <c r="A46" s="25"/>
    </row>
    <row r="47" spans="1:1" x14ac:dyDescent="0.2">
      <c r="A47" s="25"/>
    </row>
    <row r="48" spans="1:1" x14ac:dyDescent="0.2">
      <c r="A48" s="25"/>
    </row>
    <row r="49" spans="1:1" x14ac:dyDescent="0.2">
      <c r="A49" s="25"/>
    </row>
    <row r="50" spans="1:1" x14ac:dyDescent="0.2">
      <c r="A50" s="25"/>
    </row>
    <row r="51" spans="1:1" x14ac:dyDescent="0.2">
      <c r="A51" s="25"/>
    </row>
    <row r="52" spans="1:1" x14ac:dyDescent="0.2">
      <c r="A52" s="25"/>
    </row>
    <row r="53" spans="1:1" x14ac:dyDescent="0.2">
      <c r="A53" s="25"/>
    </row>
    <row r="54" spans="1:1" x14ac:dyDescent="0.2">
      <c r="A54" s="25"/>
    </row>
    <row r="55" spans="1:1" x14ac:dyDescent="0.2">
      <c r="A55" s="25"/>
    </row>
    <row r="56" spans="1:1" x14ac:dyDescent="0.2">
      <c r="A56" s="25"/>
    </row>
    <row r="57" spans="1:1" x14ac:dyDescent="0.2">
      <c r="A57" s="25"/>
    </row>
    <row r="58" spans="1:1" x14ac:dyDescent="0.2">
      <c r="A58" s="25"/>
    </row>
    <row r="59" spans="1:1" x14ac:dyDescent="0.2">
      <c r="A59" s="25"/>
    </row>
    <row r="60" spans="1:1" x14ac:dyDescent="0.2">
      <c r="A60" s="25"/>
    </row>
    <row r="61" spans="1:1" x14ac:dyDescent="0.2">
      <c r="A61" s="25"/>
    </row>
    <row r="62" spans="1:1" x14ac:dyDescent="0.2">
      <c r="A62" s="25"/>
    </row>
    <row r="63" spans="1:1" x14ac:dyDescent="0.2">
      <c r="A63" s="25"/>
    </row>
    <row r="64" spans="1:1" x14ac:dyDescent="0.2">
      <c r="A64" s="25"/>
    </row>
    <row r="65" spans="1:1" x14ac:dyDescent="0.2">
      <c r="A65" s="25"/>
    </row>
    <row r="66" spans="1:1" x14ac:dyDescent="0.2">
      <c r="A66" s="25"/>
    </row>
    <row r="67" spans="1:1" x14ac:dyDescent="0.2">
      <c r="A67" s="25"/>
    </row>
    <row r="68" spans="1:1" x14ac:dyDescent="0.2">
      <c r="A68" s="25"/>
    </row>
    <row r="69" spans="1:1" x14ac:dyDescent="0.2">
      <c r="A69" s="25"/>
    </row>
    <row r="70" spans="1:1" x14ac:dyDescent="0.2">
      <c r="A70" s="25"/>
    </row>
    <row r="71" spans="1:1" x14ac:dyDescent="0.2">
      <c r="A71" s="25"/>
    </row>
    <row r="72" spans="1:1" x14ac:dyDescent="0.2">
      <c r="A72" s="25"/>
    </row>
    <row r="73" spans="1:1" x14ac:dyDescent="0.2">
      <c r="A73" s="25"/>
    </row>
    <row r="74" spans="1:1" x14ac:dyDescent="0.2">
      <c r="A74" s="25"/>
    </row>
    <row r="75" spans="1:1" x14ac:dyDescent="0.2">
      <c r="A75" s="25"/>
    </row>
    <row r="76" spans="1:1" x14ac:dyDescent="0.2">
      <c r="A76" s="25"/>
    </row>
    <row r="77" spans="1:1" x14ac:dyDescent="0.2">
      <c r="A77" s="25"/>
    </row>
    <row r="78" spans="1:1" x14ac:dyDescent="0.2">
      <c r="A78" s="25"/>
    </row>
    <row r="79" spans="1:1" x14ac:dyDescent="0.2">
      <c r="A79" s="25"/>
    </row>
    <row r="80" spans="1:1" x14ac:dyDescent="0.2">
      <c r="A80" s="25"/>
    </row>
    <row r="81" spans="1:1" x14ac:dyDescent="0.2">
      <c r="A81" s="25"/>
    </row>
    <row r="82" spans="1:1" x14ac:dyDescent="0.2">
      <c r="A82" s="25"/>
    </row>
    <row r="83" spans="1:1" x14ac:dyDescent="0.2">
      <c r="A83" s="25"/>
    </row>
    <row r="84" spans="1:1" x14ac:dyDescent="0.2">
      <c r="A84" s="25"/>
    </row>
    <row r="85" spans="1:1" x14ac:dyDescent="0.2">
      <c r="A85" s="25"/>
    </row>
    <row r="86" spans="1:1" x14ac:dyDescent="0.2">
      <c r="A86" s="25"/>
    </row>
    <row r="87" spans="1:1" x14ac:dyDescent="0.2">
      <c r="A87" s="25"/>
    </row>
    <row r="88" spans="1:1" x14ac:dyDescent="0.2">
      <c r="A88" s="25"/>
    </row>
    <row r="89" spans="1:1" x14ac:dyDescent="0.2">
      <c r="A89" s="25"/>
    </row>
    <row r="90" spans="1:1" x14ac:dyDescent="0.2">
      <c r="A90" s="25"/>
    </row>
    <row r="91" spans="1:1" x14ac:dyDescent="0.2">
      <c r="A91" s="25"/>
    </row>
    <row r="92" spans="1:1" x14ac:dyDescent="0.2">
      <c r="A92" s="25"/>
    </row>
    <row r="93" spans="1:1" x14ac:dyDescent="0.2">
      <c r="A93" s="25"/>
    </row>
    <row r="94" spans="1:1" x14ac:dyDescent="0.2">
      <c r="A94" s="25"/>
    </row>
    <row r="95" spans="1:1" x14ac:dyDescent="0.2">
      <c r="A95" s="25"/>
    </row>
    <row r="96" spans="1:1" x14ac:dyDescent="0.2">
      <c r="A96" s="25"/>
    </row>
    <row r="97" spans="1:1" x14ac:dyDescent="0.2">
      <c r="A97" s="25"/>
    </row>
    <row r="98" spans="1:1" x14ac:dyDescent="0.2">
      <c r="A98" s="25"/>
    </row>
    <row r="99" spans="1:1" x14ac:dyDescent="0.2">
      <c r="A99" s="25"/>
    </row>
    <row r="100" spans="1:1" x14ac:dyDescent="0.2">
      <c r="A100" s="25"/>
    </row>
    <row r="101" spans="1:1" ht="15" x14ac:dyDescent="0.2">
      <c r="A101"/>
    </row>
    <row r="102" spans="1:1" ht="15" x14ac:dyDescent="0.2">
      <c r="A102"/>
    </row>
    <row r="103" spans="1:1" ht="15" x14ac:dyDescent="0.2">
      <c r="A103"/>
    </row>
    <row r="104" spans="1:1" ht="15" x14ac:dyDescent="0.2">
      <c r="A104"/>
    </row>
    <row r="105" spans="1:1" ht="15" x14ac:dyDescent="0.2">
      <c r="A105"/>
    </row>
    <row r="106" spans="1:1" ht="15" x14ac:dyDescent="0.2">
      <c r="A106"/>
    </row>
    <row r="107" spans="1:1" ht="15" x14ac:dyDescent="0.2">
      <c r="A107"/>
    </row>
    <row r="108" spans="1:1" ht="15" x14ac:dyDescent="0.2">
      <c r="A108"/>
    </row>
    <row r="109" spans="1:1" ht="15" x14ac:dyDescent="0.2">
      <c r="A109"/>
    </row>
    <row r="110" spans="1:1" ht="15" x14ac:dyDescent="0.2">
      <c r="A110"/>
    </row>
    <row r="111" spans="1:1" ht="15" x14ac:dyDescent="0.2">
      <c r="A111"/>
    </row>
    <row r="112" spans="1:1" ht="15" x14ac:dyDescent="0.2">
      <c r="A112"/>
    </row>
    <row r="113" spans="1:1" ht="15" x14ac:dyDescent="0.2">
      <c r="A113"/>
    </row>
    <row r="114" spans="1:1" ht="15" x14ac:dyDescent="0.2">
      <c r="A114"/>
    </row>
    <row r="115" spans="1:1" ht="15" x14ac:dyDescent="0.2">
      <c r="A115"/>
    </row>
    <row r="116" spans="1:1" ht="15" x14ac:dyDescent="0.2">
      <c r="A116"/>
    </row>
    <row r="117" spans="1:1" ht="15" x14ac:dyDescent="0.2">
      <c r="A117"/>
    </row>
    <row r="118" spans="1:1" ht="15" x14ac:dyDescent="0.2">
      <c r="A118"/>
    </row>
    <row r="119" spans="1:1" ht="15" x14ac:dyDescent="0.2">
      <c r="A119"/>
    </row>
    <row r="120" spans="1:1" ht="15" x14ac:dyDescent="0.2">
      <c r="A120"/>
    </row>
    <row r="121" spans="1:1" ht="15" x14ac:dyDescent="0.2">
      <c r="A121"/>
    </row>
    <row r="122" spans="1:1" ht="15" x14ac:dyDescent="0.2">
      <c r="A122"/>
    </row>
    <row r="123" spans="1:1" ht="15" x14ac:dyDescent="0.2">
      <c r="A123"/>
    </row>
    <row r="124" spans="1:1" ht="15" x14ac:dyDescent="0.2">
      <c r="A124"/>
    </row>
    <row r="125" spans="1:1" ht="15" x14ac:dyDescent="0.2">
      <c r="A125"/>
    </row>
    <row r="126" spans="1:1" ht="15" x14ac:dyDescent="0.2">
      <c r="A126"/>
    </row>
    <row r="127" spans="1:1" ht="15" x14ac:dyDescent="0.2">
      <c r="A127"/>
    </row>
    <row r="128" spans="1:1" ht="15" x14ac:dyDescent="0.2">
      <c r="A128"/>
    </row>
    <row r="129" spans="1:1" ht="15" x14ac:dyDescent="0.2">
      <c r="A129"/>
    </row>
    <row r="130" spans="1:1" ht="15" x14ac:dyDescent="0.2">
      <c r="A130"/>
    </row>
    <row r="131" spans="1:1" ht="15" x14ac:dyDescent="0.2">
      <c r="A131"/>
    </row>
    <row r="132" spans="1:1" ht="15" x14ac:dyDescent="0.2">
      <c r="A132"/>
    </row>
    <row r="133" spans="1:1" ht="15" x14ac:dyDescent="0.2">
      <c r="A133"/>
    </row>
    <row r="134" spans="1:1" ht="15" x14ac:dyDescent="0.2">
      <c r="A134"/>
    </row>
    <row r="135" spans="1:1" ht="15" x14ac:dyDescent="0.2">
      <c r="A135"/>
    </row>
    <row r="136" spans="1:1" ht="15" x14ac:dyDescent="0.2">
      <c r="A136"/>
    </row>
    <row r="137" spans="1:1" ht="15" x14ac:dyDescent="0.2">
      <c r="A137"/>
    </row>
    <row r="138" spans="1:1" ht="15" x14ac:dyDescent="0.2">
      <c r="A138"/>
    </row>
    <row r="139" spans="1:1" ht="15" x14ac:dyDescent="0.2">
      <c r="A139"/>
    </row>
    <row r="140" spans="1:1" ht="15" x14ac:dyDescent="0.2">
      <c r="A140"/>
    </row>
    <row r="141" spans="1:1" ht="15" x14ac:dyDescent="0.2">
      <c r="A141"/>
    </row>
    <row r="142" spans="1:1" ht="15" x14ac:dyDescent="0.2">
      <c r="A142"/>
    </row>
    <row r="143" spans="1:1" ht="15" x14ac:dyDescent="0.2">
      <c r="A143"/>
    </row>
    <row r="144" spans="1:1" ht="15" x14ac:dyDescent="0.2">
      <c r="A144"/>
    </row>
    <row r="145" spans="1:1" ht="15" x14ac:dyDescent="0.2">
      <c r="A145"/>
    </row>
    <row r="146" spans="1:1" ht="15" x14ac:dyDescent="0.2">
      <c r="A146"/>
    </row>
    <row r="147" spans="1:1" ht="15" x14ac:dyDescent="0.2">
      <c r="A147"/>
    </row>
    <row r="148" spans="1:1" ht="15" x14ac:dyDescent="0.2">
      <c r="A148"/>
    </row>
    <row r="149" spans="1:1" ht="15" x14ac:dyDescent="0.2">
      <c r="A149"/>
    </row>
    <row r="150" spans="1:1" ht="15" x14ac:dyDescent="0.2">
      <c r="A150"/>
    </row>
    <row r="151" spans="1:1" ht="15" x14ac:dyDescent="0.2">
      <c r="A151"/>
    </row>
    <row r="152" spans="1:1" ht="15" x14ac:dyDescent="0.2">
      <c r="A152"/>
    </row>
    <row r="153" spans="1:1" ht="15" x14ac:dyDescent="0.2">
      <c r="A153"/>
    </row>
    <row r="154" spans="1:1" ht="15" x14ac:dyDescent="0.2">
      <c r="A154"/>
    </row>
    <row r="155" spans="1:1" ht="15" x14ac:dyDescent="0.2">
      <c r="A155"/>
    </row>
    <row r="156" spans="1:1" ht="15" x14ac:dyDescent="0.2">
      <c r="A156"/>
    </row>
    <row r="157" spans="1:1" ht="15" x14ac:dyDescent="0.2">
      <c r="A157"/>
    </row>
    <row r="158" spans="1:1" ht="15" x14ac:dyDescent="0.2">
      <c r="A158"/>
    </row>
    <row r="159" spans="1:1" ht="15" x14ac:dyDescent="0.2">
      <c r="A159"/>
    </row>
    <row r="160" spans="1:1" ht="15" x14ac:dyDescent="0.2">
      <c r="A160"/>
    </row>
    <row r="161" spans="1:1" ht="15" x14ac:dyDescent="0.2">
      <c r="A161"/>
    </row>
    <row r="162" spans="1:1" ht="15" x14ac:dyDescent="0.2">
      <c r="A162"/>
    </row>
    <row r="163" spans="1:1" ht="15" x14ac:dyDescent="0.2">
      <c r="A163"/>
    </row>
    <row r="164" spans="1:1" ht="15" x14ac:dyDescent="0.2">
      <c r="A164"/>
    </row>
    <row r="165" spans="1:1" ht="15" x14ac:dyDescent="0.2">
      <c r="A165"/>
    </row>
    <row r="166" spans="1:1" ht="15" x14ac:dyDescent="0.2">
      <c r="A166"/>
    </row>
    <row r="167" spans="1:1" ht="15" x14ac:dyDescent="0.2">
      <c r="A167"/>
    </row>
    <row r="168" spans="1:1" ht="15" x14ac:dyDescent="0.2">
      <c r="A168"/>
    </row>
    <row r="169" spans="1:1" ht="15" x14ac:dyDescent="0.2">
      <c r="A169"/>
    </row>
    <row r="170" spans="1:1" ht="15" x14ac:dyDescent="0.2">
      <c r="A170"/>
    </row>
    <row r="171" spans="1:1" ht="15" x14ac:dyDescent="0.2">
      <c r="A171"/>
    </row>
    <row r="172" spans="1:1" ht="15" x14ac:dyDescent="0.2">
      <c r="A172"/>
    </row>
    <row r="173" spans="1:1" ht="15" x14ac:dyDescent="0.2">
      <c r="A173"/>
    </row>
    <row r="174" spans="1:1" ht="15" x14ac:dyDescent="0.2">
      <c r="A174"/>
    </row>
    <row r="175" spans="1:1" ht="15" x14ac:dyDescent="0.2">
      <c r="A175"/>
    </row>
    <row r="176" spans="1:1" ht="15" x14ac:dyDescent="0.2">
      <c r="A176"/>
    </row>
    <row r="177" spans="1:1" ht="15" x14ac:dyDescent="0.2">
      <c r="A177"/>
    </row>
    <row r="178" spans="1:1" ht="15" x14ac:dyDescent="0.2">
      <c r="A178"/>
    </row>
    <row r="179" spans="1:1" ht="15" x14ac:dyDescent="0.2">
      <c r="A179"/>
    </row>
    <row r="180" spans="1:1" ht="15" x14ac:dyDescent="0.2">
      <c r="A180"/>
    </row>
    <row r="181" spans="1:1" ht="15" x14ac:dyDescent="0.2">
      <c r="A181"/>
    </row>
    <row r="182" spans="1:1" ht="15" x14ac:dyDescent="0.2">
      <c r="A182"/>
    </row>
    <row r="183" spans="1:1" ht="15" x14ac:dyDescent="0.2">
      <c r="A183"/>
    </row>
    <row r="184" spans="1:1" ht="15" x14ac:dyDescent="0.2">
      <c r="A184"/>
    </row>
    <row r="185" spans="1:1" ht="15" x14ac:dyDescent="0.2">
      <c r="A185"/>
    </row>
    <row r="186" spans="1:1" ht="15" x14ac:dyDescent="0.2">
      <c r="A186"/>
    </row>
    <row r="187" spans="1:1" ht="15" x14ac:dyDescent="0.2">
      <c r="A187"/>
    </row>
    <row r="188" spans="1:1" ht="15" x14ac:dyDescent="0.2">
      <c r="A188"/>
    </row>
    <row r="189" spans="1:1" ht="15" x14ac:dyDescent="0.2">
      <c r="A189"/>
    </row>
    <row r="190" spans="1:1" ht="15" x14ac:dyDescent="0.2">
      <c r="A190"/>
    </row>
    <row r="191" spans="1:1" ht="15" x14ac:dyDescent="0.2">
      <c r="A191"/>
    </row>
    <row r="192" spans="1:1" ht="15" x14ac:dyDescent="0.2">
      <c r="A192"/>
    </row>
    <row r="193" spans="1:1" ht="15" x14ac:dyDescent="0.2">
      <c r="A193"/>
    </row>
    <row r="194" spans="1:1" ht="15" x14ac:dyDescent="0.2">
      <c r="A194"/>
    </row>
    <row r="195" spans="1:1" ht="15" x14ac:dyDescent="0.2">
      <c r="A195"/>
    </row>
    <row r="196" spans="1:1" ht="15" x14ac:dyDescent="0.2">
      <c r="A196"/>
    </row>
    <row r="197" spans="1:1" ht="15" x14ac:dyDescent="0.2">
      <c r="A197"/>
    </row>
    <row r="198" spans="1:1" ht="15" x14ac:dyDescent="0.2">
      <c r="A198"/>
    </row>
    <row r="199" spans="1:1" ht="15" x14ac:dyDescent="0.2">
      <c r="A199"/>
    </row>
    <row r="200" spans="1:1" ht="15" x14ac:dyDescent="0.2">
      <c r="A200"/>
    </row>
    <row r="201" spans="1:1" ht="15" x14ac:dyDescent="0.2">
      <c r="A201"/>
    </row>
    <row r="202" spans="1:1" ht="15" x14ac:dyDescent="0.2">
      <c r="A202"/>
    </row>
    <row r="203" spans="1:1" ht="15" x14ac:dyDescent="0.2">
      <c r="A203"/>
    </row>
    <row r="204" spans="1:1" ht="15" x14ac:dyDescent="0.2">
      <c r="A204"/>
    </row>
    <row r="205" spans="1:1" ht="15" x14ac:dyDescent="0.2">
      <c r="A205"/>
    </row>
    <row r="206" spans="1:1" ht="15" x14ac:dyDescent="0.2">
      <c r="A206"/>
    </row>
    <row r="207" spans="1:1" ht="15" x14ac:dyDescent="0.2">
      <c r="A207"/>
    </row>
    <row r="208" spans="1:1" ht="15" x14ac:dyDescent="0.2">
      <c r="A208"/>
    </row>
    <row r="209" spans="1:1" ht="15" x14ac:dyDescent="0.2">
      <c r="A209"/>
    </row>
    <row r="210" spans="1:1" ht="15" x14ac:dyDescent="0.2">
      <c r="A210"/>
    </row>
    <row r="211" spans="1:1" ht="15" x14ac:dyDescent="0.2">
      <c r="A211"/>
    </row>
    <row r="212" spans="1:1" ht="15" x14ac:dyDescent="0.2">
      <c r="A212"/>
    </row>
    <row r="213" spans="1:1" ht="15" x14ac:dyDescent="0.2">
      <c r="A213"/>
    </row>
    <row r="214" spans="1:1" ht="15" x14ac:dyDescent="0.2">
      <c r="A214"/>
    </row>
    <row r="215" spans="1:1" ht="15" x14ac:dyDescent="0.2">
      <c r="A215"/>
    </row>
    <row r="216" spans="1:1" ht="15" x14ac:dyDescent="0.2">
      <c r="A216"/>
    </row>
    <row r="217" spans="1:1" ht="15" x14ac:dyDescent="0.2">
      <c r="A217"/>
    </row>
    <row r="218" spans="1:1" ht="15" x14ac:dyDescent="0.2">
      <c r="A218"/>
    </row>
    <row r="219" spans="1:1" ht="15" x14ac:dyDescent="0.2">
      <c r="A219"/>
    </row>
    <row r="220" spans="1:1" ht="15" x14ac:dyDescent="0.2">
      <c r="A220"/>
    </row>
    <row r="221" spans="1:1" ht="15" x14ac:dyDescent="0.2">
      <c r="A221"/>
    </row>
    <row r="222" spans="1:1" ht="15" x14ac:dyDescent="0.2">
      <c r="A222"/>
    </row>
    <row r="223" spans="1:1" ht="15" x14ac:dyDescent="0.2">
      <c r="A223"/>
    </row>
    <row r="224" spans="1:1" ht="15" x14ac:dyDescent="0.2">
      <c r="A224"/>
    </row>
    <row r="225" spans="1:1" ht="15" x14ac:dyDescent="0.2">
      <c r="A225"/>
    </row>
    <row r="226" spans="1:1" ht="15" x14ac:dyDescent="0.2">
      <c r="A226"/>
    </row>
    <row r="227" spans="1:1" ht="15" x14ac:dyDescent="0.2">
      <c r="A227"/>
    </row>
    <row r="228" spans="1:1" ht="15" x14ac:dyDescent="0.2">
      <c r="A228"/>
    </row>
    <row r="229" spans="1:1" ht="15" x14ac:dyDescent="0.2">
      <c r="A229"/>
    </row>
    <row r="230" spans="1:1" ht="15" x14ac:dyDescent="0.2">
      <c r="A230"/>
    </row>
    <row r="231" spans="1:1" ht="15" x14ac:dyDescent="0.2">
      <c r="A231"/>
    </row>
    <row r="232" spans="1:1" ht="15" x14ac:dyDescent="0.2">
      <c r="A232"/>
    </row>
    <row r="233" spans="1:1" ht="15" x14ac:dyDescent="0.2">
      <c r="A233"/>
    </row>
    <row r="234" spans="1:1" ht="15" x14ac:dyDescent="0.2">
      <c r="A234"/>
    </row>
    <row r="235" spans="1:1" ht="15" x14ac:dyDescent="0.2">
      <c r="A235"/>
    </row>
    <row r="236" spans="1:1" ht="15" x14ac:dyDescent="0.2">
      <c r="A236"/>
    </row>
    <row r="237" spans="1:1" ht="15" x14ac:dyDescent="0.2">
      <c r="A237"/>
    </row>
    <row r="238" spans="1:1" ht="15" x14ac:dyDescent="0.2">
      <c r="A238"/>
    </row>
    <row r="239" spans="1:1" ht="15" x14ac:dyDescent="0.2">
      <c r="A239"/>
    </row>
    <row r="240" spans="1:1" ht="15" x14ac:dyDescent="0.2">
      <c r="A240"/>
    </row>
    <row r="241" spans="1:1" ht="15" x14ac:dyDescent="0.2">
      <c r="A241"/>
    </row>
    <row r="242" spans="1:1" ht="15" x14ac:dyDescent="0.2">
      <c r="A242"/>
    </row>
    <row r="243" spans="1:1" ht="15" x14ac:dyDescent="0.2">
      <c r="A243"/>
    </row>
    <row r="244" spans="1:1" ht="15" x14ac:dyDescent="0.2">
      <c r="A244"/>
    </row>
    <row r="245" spans="1:1" ht="15" x14ac:dyDescent="0.2">
      <c r="A245"/>
    </row>
    <row r="246" spans="1:1" ht="15" x14ac:dyDescent="0.2">
      <c r="A246"/>
    </row>
    <row r="247" spans="1:1" ht="15" x14ac:dyDescent="0.2">
      <c r="A247"/>
    </row>
    <row r="248" spans="1:1" ht="15" x14ac:dyDescent="0.2">
      <c r="A248"/>
    </row>
    <row r="249" spans="1:1" ht="15" x14ac:dyDescent="0.2">
      <c r="A249"/>
    </row>
    <row r="250" spans="1:1" ht="15" x14ac:dyDescent="0.2">
      <c r="A250"/>
    </row>
    <row r="251" spans="1:1" ht="15" x14ac:dyDescent="0.2">
      <c r="A251"/>
    </row>
    <row r="252" spans="1:1" ht="15" x14ac:dyDescent="0.2">
      <c r="A252"/>
    </row>
    <row r="253" spans="1:1" ht="15" x14ac:dyDescent="0.2">
      <c r="A253"/>
    </row>
    <row r="254" spans="1:1" ht="15" x14ac:dyDescent="0.2">
      <c r="A254"/>
    </row>
    <row r="255" spans="1:1" ht="15" x14ac:dyDescent="0.2">
      <c r="A255"/>
    </row>
    <row r="256" spans="1:1" ht="15" x14ac:dyDescent="0.2">
      <c r="A256"/>
    </row>
    <row r="257" spans="1:1" ht="15" x14ac:dyDescent="0.2">
      <c r="A257"/>
    </row>
    <row r="258" spans="1:1" ht="15" x14ac:dyDescent="0.2">
      <c r="A258"/>
    </row>
    <row r="259" spans="1:1" ht="15" x14ac:dyDescent="0.2">
      <c r="A259"/>
    </row>
    <row r="260" spans="1:1" ht="15" x14ac:dyDescent="0.2">
      <c r="A260"/>
    </row>
    <row r="261" spans="1:1" ht="15" x14ac:dyDescent="0.2">
      <c r="A261"/>
    </row>
    <row r="262" spans="1:1" ht="15" x14ac:dyDescent="0.2">
      <c r="A262"/>
    </row>
    <row r="263" spans="1:1" ht="15" x14ac:dyDescent="0.2">
      <c r="A263"/>
    </row>
    <row r="264" spans="1:1" ht="15" x14ac:dyDescent="0.2">
      <c r="A264"/>
    </row>
    <row r="265" spans="1:1" ht="15" x14ac:dyDescent="0.2">
      <c r="A265"/>
    </row>
    <row r="266" spans="1:1" ht="15" x14ac:dyDescent="0.2">
      <c r="A266"/>
    </row>
    <row r="267" spans="1:1" ht="15" x14ac:dyDescent="0.2">
      <c r="A267"/>
    </row>
    <row r="268" spans="1:1" ht="15" x14ac:dyDescent="0.2">
      <c r="A268"/>
    </row>
    <row r="269" spans="1:1" ht="15" x14ac:dyDescent="0.2">
      <c r="A269"/>
    </row>
    <row r="270" spans="1:1" ht="15" x14ac:dyDescent="0.2">
      <c r="A270"/>
    </row>
    <row r="271" spans="1:1" ht="15" x14ac:dyDescent="0.2">
      <c r="A271"/>
    </row>
    <row r="272" spans="1:1" ht="15" x14ac:dyDescent="0.2">
      <c r="A272"/>
    </row>
    <row r="273" spans="1:1" ht="15" x14ac:dyDescent="0.2">
      <c r="A273"/>
    </row>
    <row r="274" spans="1:1" ht="15" x14ac:dyDescent="0.2">
      <c r="A274"/>
    </row>
    <row r="275" spans="1:1" ht="15" x14ac:dyDescent="0.2">
      <c r="A275"/>
    </row>
    <row r="276" spans="1:1" ht="15" x14ac:dyDescent="0.2">
      <c r="A276"/>
    </row>
    <row r="277" spans="1:1" ht="15" x14ac:dyDescent="0.2">
      <c r="A277"/>
    </row>
    <row r="278" spans="1:1" ht="15" x14ac:dyDescent="0.2">
      <c r="A278"/>
    </row>
    <row r="279" spans="1:1" ht="15" x14ac:dyDescent="0.2">
      <c r="A279"/>
    </row>
    <row r="280" spans="1:1" ht="15" x14ac:dyDescent="0.2">
      <c r="A280"/>
    </row>
    <row r="281" spans="1:1" ht="15" x14ac:dyDescent="0.2">
      <c r="A281"/>
    </row>
    <row r="282" spans="1:1" ht="15" x14ac:dyDescent="0.2">
      <c r="A282"/>
    </row>
    <row r="283" spans="1:1" ht="15" x14ac:dyDescent="0.2">
      <c r="A283"/>
    </row>
    <row r="284" spans="1:1" ht="15" x14ac:dyDescent="0.2">
      <c r="A284"/>
    </row>
    <row r="285" spans="1:1" ht="15" x14ac:dyDescent="0.2">
      <c r="A285"/>
    </row>
    <row r="286" spans="1:1" ht="15" x14ac:dyDescent="0.2">
      <c r="A286"/>
    </row>
    <row r="287" spans="1:1" ht="15" x14ac:dyDescent="0.2">
      <c r="A287"/>
    </row>
    <row r="288" spans="1:1" ht="15" x14ac:dyDescent="0.2">
      <c r="A288"/>
    </row>
    <row r="289" spans="1:1" ht="15" x14ac:dyDescent="0.2">
      <c r="A289"/>
    </row>
    <row r="290" spans="1:1" ht="15" x14ac:dyDescent="0.2">
      <c r="A290"/>
    </row>
    <row r="291" spans="1:1" ht="15" x14ac:dyDescent="0.2">
      <c r="A291"/>
    </row>
    <row r="292" spans="1:1" ht="15" x14ac:dyDescent="0.2">
      <c r="A292"/>
    </row>
    <row r="293" spans="1:1" ht="15" x14ac:dyDescent="0.2">
      <c r="A293"/>
    </row>
    <row r="294" spans="1:1" ht="15" x14ac:dyDescent="0.2">
      <c r="A294"/>
    </row>
    <row r="295" spans="1:1" ht="15" x14ac:dyDescent="0.2">
      <c r="A295"/>
    </row>
    <row r="296" spans="1:1" ht="15" x14ac:dyDescent="0.2">
      <c r="A296"/>
    </row>
    <row r="297" spans="1:1" ht="15" x14ac:dyDescent="0.2">
      <c r="A297"/>
    </row>
    <row r="298" spans="1:1" ht="15" x14ac:dyDescent="0.2">
      <c r="A298"/>
    </row>
    <row r="299" spans="1:1" ht="15" x14ac:dyDescent="0.2">
      <c r="A299"/>
    </row>
    <row r="300" spans="1:1" ht="15" x14ac:dyDescent="0.2">
      <c r="A300"/>
    </row>
    <row r="301" spans="1:1" ht="15" x14ac:dyDescent="0.2">
      <c r="A301"/>
    </row>
    <row r="302" spans="1:1" ht="15" x14ac:dyDescent="0.2">
      <c r="A302"/>
    </row>
    <row r="303" spans="1:1" ht="15" x14ac:dyDescent="0.2">
      <c r="A303"/>
    </row>
    <row r="304" spans="1:1" ht="15" x14ac:dyDescent="0.2">
      <c r="A304"/>
    </row>
    <row r="305" spans="1:1" ht="15" x14ac:dyDescent="0.2">
      <c r="A305"/>
    </row>
    <row r="306" spans="1:1" ht="15" x14ac:dyDescent="0.2">
      <c r="A306"/>
    </row>
    <row r="307" spans="1:1" ht="15" x14ac:dyDescent="0.2">
      <c r="A307"/>
    </row>
    <row r="308" spans="1:1" ht="15" x14ac:dyDescent="0.2">
      <c r="A308"/>
    </row>
    <row r="309" spans="1:1" ht="15" x14ac:dyDescent="0.2">
      <c r="A309"/>
    </row>
    <row r="310" spans="1:1" ht="15" x14ac:dyDescent="0.2">
      <c r="A310"/>
    </row>
    <row r="311" spans="1:1" ht="15" x14ac:dyDescent="0.2">
      <c r="A311"/>
    </row>
    <row r="312" spans="1:1" ht="15" x14ac:dyDescent="0.2">
      <c r="A312"/>
    </row>
    <row r="313" spans="1:1" ht="15" x14ac:dyDescent="0.2">
      <c r="A313"/>
    </row>
    <row r="314" spans="1:1" ht="15" x14ac:dyDescent="0.2">
      <c r="A314"/>
    </row>
    <row r="315" spans="1:1" ht="15" x14ac:dyDescent="0.2">
      <c r="A315"/>
    </row>
    <row r="316" spans="1:1" ht="15" x14ac:dyDescent="0.2">
      <c r="A316"/>
    </row>
    <row r="317" spans="1:1" ht="15" x14ac:dyDescent="0.2">
      <c r="A317"/>
    </row>
    <row r="318" spans="1:1" ht="15" x14ac:dyDescent="0.2">
      <c r="A318"/>
    </row>
    <row r="319" spans="1:1" ht="15" x14ac:dyDescent="0.2">
      <c r="A319"/>
    </row>
    <row r="320" spans="1:1" ht="15" x14ac:dyDescent="0.2">
      <c r="A320"/>
    </row>
    <row r="321" spans="1:1" ht="15" x14ac:dyDescent="0.2">
      <c r="A321"/>
    </row>
    <row r="322" spans="1:1" ht="15" x14ac:dyDescent="0.2">
      <c r="A322"/>
    </row>
    <row r="323" spans="1:1" ht="15" x14ac:dyDescent="0.2">
      <c r="A323"/>
    </row>
    <row r="324" spans="1:1" ht="15" x14ac:dyDescent="0.2">
      <c r="A324"/>
    </row>
    <row r="325" spans="1:1" ht="15" x14ac:dyDescent="0.2">
      <c r="A325"/>
    </row>
    <row r="326" spans="1:1" ht="15" x14ac:dyDescent="0.2">
      <c r="A326"/>
    </row>
    <row r="327" spans="1:1" ht="15" x14ac:dyDescent="0.2">
      <c r="A327"/>
    </row>
    <row r="328" spans="1:1" ht="15" x14ac:dyDescent="0.2">
      <c r="A328"/>
    </row>
    <row r="329" spans="1:1" ht="15" x14ac:dyDescent="0.2">
      <c r="A329"/>
    </row>
    <row r="330" spans="1:1" ht="15" x14ac:dyDescent="0.2">
      <c r="A330"/>
    </row>
    <row r="331" spans="1:1" ht="15" x14ac:dyDescent="0.2">
      <c r="A331"/>
    </row>
    <row r="332" spans="1:1" ht="15" x14ac:dyDescent="0.2">
      <c r="A332"/>
    </row>
    <row r="333" spans="1:1" ht="15" x14ac:dyDescent="0.2">
      <c r="A333"/>
    </row>
    <row r="334" spans="1:1" ht="15" x14ac:dyDescent="0.2">
      <c r="A334"/>
    </row>
    <row r="335" spans="1:1" ht="15" x14ac:dyDescent="0.2">
      <c r="A335"/>
    </row>
    <row r="336" spans="1:1" ht="15" x14ac:dyDescent="0.2">
      <c r="A336"/>
    </row>
    <row r="337" spans="1:1" ht="15" x14ac:dyDescent="0.2">
      <c r="A337"/>
    </row>
    <row r="338" spans="1:1" ht="15" x14ac:dyDescent="0.2">
      <c r="A338"/>
    </row>
    <row r="339" spans="1:1" ht="15" x14ac:dyDescent="0.2">
      <c r="A339"/>
    </row>
    <row r="340" spans="1:1" ht="15" x14ac:dyDescent="0.2">
      <c r="A340"/>
    </row>
    <row r="341" spans="1:1" ht="15" x14ac:dyDescent="0.2">
      <c r="A341"/>
    </row>
    <row r="342" spans="1:1" ht="15" x14ac:dyDescent="0.2">
      <c r="A342"/>
    </row>
    <row r="343" spans="1:1" ht="15" x14ac:dyDescent="0.2">
      <c r="A343"/>
    </row>
    <row r="344" spans="1:1" ht="15" x14ac:dyDescent="0.2">
      <c r="A344"/>
    </row>
    <row r="345" spans="1:1" ht="15" x14ac:dyDescent="0.2">
      <c r="A345"/>
    </row>
    <row r="346" spans="1:1" ht="15" x14ac:dyDescent="0.2">
      <c r="A346"/>
    </row>
    <row r="347" spans="1:1" ht="15" x14ac:dyDescent="0.2">
      <c r="A347"/>
    </row>
    <row r="348" spans="1:1" ht="15" x14ac:dyDescent="0.2">
      <c r="A348"/>
    </row>
    <row r="349" spans="1:1" ht="15" x14ac:dyDescent="0.2">
      <c r="A349"/>
    </row>
    <row r="350" spans="1:1" ht="15" x14ac:dyDescent="0.2">
      <c r="A350"/>
    </row>
    <row r="351" spans="1:1" ht="15" x14ac:dyDescent="0.2">
      <c r="A351"/>
    </row>
    <row r="352" spans="1:1" ht="15" x14ac:dyDescent="0.2">
      <c r="A352"/>
    </row>
    <row r="353" spans="1:1" ht="15" x14ac:dyDescent="0.2">
      <c r="A353"/>
    </row>
    <row r="354" spans="1:1" ht="15" x14ac:dyDescent="0.2">
      <c r="A354"/>
    </row>
    <row r="355" spans="1:1" ht="15" x14ac:dyDescent="0.2">
      <c r="A355"/>
    </row>
    <row r="356" spans="1:1" ht="15" x14ac:dyDescent="0.2">
      <c r="A356"/>
    </row>
    <row r="357" spans="1:1" ht="15" x14ac:dyDescent="0.2">
      <c r="A357"/>
    </row>
    <row r="358" spans="1:1" ht="15" x14ac:dyDescent="0.2">
      <c r="A358"/>
    </row>
    <row r="359" spans="1:1" ht="15" x14ac:dyDescent="0.2">
      <c r="A359"/>
    </row>
    <row r="360" spans="1:1" ht="15" x14ac:dyDescent="0.2">
      <c r="A360"/>
    </row>
    <row r="361" spans="1:1" ht="15" x14ac:dyDescent="0.2">
      <c r="A361"/>
    </row>
    <row r="362" spans="1:1" ht="15" x14ac:dyDescent="0.2">
      <c r="A362"/>
    </row>
    <row r="363" spans="1:1" ht="15" x14ac:dyDescent="0.2">
      <c r="A363"/>
    </row>
    <row r="364" spans="1:1" ht="15" x14ac:dyDescent="0.2">
      <c r="A364"/>
    </row>
    <row r="365" spans="1:1" ht="15" x14ac:dyDescent="0.2">
      <c r="A365"/>
    </row>
    <row r="366" spans="1:1" ht="15" x14ac:dyDescent="0.2">
      <c r="A366"/>
    </row>
    <row r="367" spans="1:1" ht="15" x14ac:dyDescent="0.2">
      <c r="A367"/>
    </row>
    <row r="368" spans="1:1" ht="15" x14ac:dyDescent="0.2">
      <c r="A368"/>
    </row>
    <row r="369" spans="1:1" ht="15" x14ac:dyDescent="0.2">
      <c r="A369"/>
    </row>
    <row r="370" spans="1:1" ht="15" x14ac:dyDescent="0.2">
      <c r="A370"/>
    </row>
    <row r="371" spans="1:1" ht="15" x14ac:dyDescent="0.2">
      <c r="A371"/>
    </row>
    <row r="372" spans="1:1" ht="15" x14ac:dyDescent="0.2">
      <c r="A372"/>
    </row>
    <row r="373" spans="1:1" ht="15" x14ac:dyDescent="0.2">
      <c r="A373"/>
    </row>
    <row r="374" spans="1:1" ht="15" x14ac:dyDescent="0.2">
      <c r="A374"/>
    </row>
    <row r="375" spans="1:1" ht="15" x14ac:dyDescent="0.2">
      <c r="A375"/>
    </row>
    <row r="376" spans="1:1" ht="15" x14ac:dyDescent="0.2">
      <c r="A376"/>
    </row>
    <row r="377" spans="1:1" ht="15" x14ac:dyDescent="0.2">
      <c r="A377"/>
    </row>
    <row r="378" spans="1:1" ht="15" x14ac:dyDescent="0.2">
      <c r="A378"/>
    </row>
    <row r="379" spans="1:1" ht="15" x14ac:dyDescent="0.2">
      <c r="A379"/>
    </row>
    <row r="380" spans="1:1" ht="15" x14ac:dyDescent="0.2">
      <c r="A380"/>
    </row>
    <row r="381" spans="1:1" ht="15" x14ac:dyDescent="0.2">
      <c r="A381"/>
    </row>
    <row r="382" spans="1:1" ht="15" x14ac:dyDescent="0.2">
      <c r="A382"/>
    </row>
    <row r="383" spans="1:1" ht="15" x14ac:dyDescent="0.2">
      <c r="A383"/>
    </row>
    <row r="384" spans="1:1" ht="15" x14ac:dyDescent="0.2">
      <c r="A384"/>
    </row>
    <row r="385" spans="1:1" ht="15" x14ac:dyDescent="0.2">
      <c r="A385"/>
    </row>
    <row r="386" spans="1:1" ht="15" x14ac:dyDescent="0.2">
      <c r="A386"/>
    </row>
    <row r="387" spans="1:1" ht="15" x14ac:dyDescent="0.2">
      <c r="A387"/>
    </row>
    <row r="388" spans="1:1" ht="15" x14ac:dyDescent="0.2">
      <c r="A388"/>
    </row>
    <row r="389" spans="1:1" ht="15" x14ac:dyDescent="0.2">
      <c r="A389"/>
    </row>
    <row r="390" spans="1:1" ht="15" x14ac:dyDescent="0.2">
      <c r="A390"/>
    </row>
    <row r="391" spans="1:1" ht="15" x14ac:dyDescent="0.2">
      <c r="A391"/>
    </row>
    <row r="392" spans="1:1" ht="15" x14ac:dyDescent="0.2">
      <c r="A392"/>
    </row>
    <row r="393" spans="1:1" ht="15" x14ac:dyDescent="0.2">
      <c r="A393"/>
    </row>
    <row r="394" spans="1:1" ht="15" x14ac:dyDescent="0.2">
      <c r="A394"/>
    </row>
    <row r="395" spans="1:1" ht="15" x14ac:dyDescent="0.2">
      <c r="A395"/>
    </row>
    <row r="396" spans="1:1" ht="15" x14ac:dyDescent="0.2">
      <c r="A396"/>
    </row>
    <row r="397" spans="1:1" ht="15" x14ac:dyDescent="0.2">
      <c r="A397"/>
    </row>
    <row r="398" spans="1:1" ht="15" x14ac:dyDescent="0.2">
      <c r="A398"/>
    </row>
    <row r="399" spans="1:1" ht="15" x14ac:dyDescent="0.2">
      <c r="A399"/>
    </row>
    <row r="400" spans="1:1" ht="15" x14ac:dyDescent="0.2">
      <c r="A400"/>
    </row>
    <row r="401" spans="1:1" ht="15" x14ac:dyDescent="0.2">
      <c r="A401"/>
    </row>
    <row r="402" spans="1:1" ht="15" x14ac:dyDescent="0.2">
      <c r="A402"/>
    </row>
    <row r="403" spans="1:1" ht="15" x14ac:dyDescent="0.2">
      <c r="A403"/>
    </row>
    <row r="404" spans="1:1" ht="15" x14ac:dyDescent="0.2">
      <c r="A404"/>
    </row>
    <row r="405" spans="1:1" ht="15" x14ac:dyDescent="0.2">
      <c r="A405"/>
    </row>
    <row r="406" spans="1:1" ht="15" x14ac:dyDescent="0.2">
      <c r="A406"/>
    </row>
    <row r="407" spans="1:1" ht="15" x14ac:dyDescent="0.2">
      <c r="A407"/>
    </row>
    <row r="408" spans="1:1" ht="15" x14ac:dyDescent="0.2">
      <c r="A408"/>
    </row>
    <row r="409" spans="1:1" ht="15" x14ac:dyDescent="0.2">
      <c r="A409"/>
    </row>
    <row r="410" spans="1:1" ht="15" x14ac:dyDescent="0.2">
      <c r="A410"/>
    </row>
    <row r="411" spans="1:1" ht="15" x14ac:dyDescent="0.2">
      <c r="A411"/>
    </row>
    <row r="412" spans="1:1" ht="15" x14ac:dyDescent="0.2">
      <c r="A412"/>
    </row>
    <row r="413" spans="1:1" ht="15" x14ac:dyDescent="0.2">
      <c r="A413"/>
    </row>
    <row r="414" spans="1:1" ht="15" x14ac:dyDescent="0.2">
      <c r="A414"/>
    </row>
    <row r="415" spans="1:1" ht="15" x14ac:dyDescent="0.2">
      <c r="A415"/>
    </row>
    <row r="416" spans="1:1" ht="15" x14ac:dyDescent="0.2">
      <c r="A416"/>
    </row>
    <row r="417" spans="1:1" ht="15" x14ac:dyDescent="0.2">
      <c r="A417"/>
    </row>
    <row r="418" spans="1:1" ht="15" x14ac:dyDescent="0.2">
      <c r="A418"/>
    </row>
    <row r="419" spans="1:1" ht="15" x14ac:dyDescent="0.2">
      <c r="A419"/>
    </row>
    <row r="420" spans="1:1" ht="15" x14ac:dyDescent="0.2">
      <c r="A420"/>
    </row>
    <row r="421" spans="1:1" ht="15" x14ac:dyDescent="0.2">
      <c r="A421"/>
    </row>
    <row r="422" spans="1:1" ht="15" x14ac:dyDescent="0.2">
      <c r="A422"/>
    </row>
    <row r="423" spans="1:1" ht="15" x14ac:dyDescent="0.2">
      <c r="A423"/>
    </row>
    <row r="424" spans="1:1" ht="15" x14ac:dyDescent="0.2">
      <c r="A424"/>
    </row>
    <row r="425" spans="1:1" ht="15" x14ac:dyDescent="0.2">
      <c r="A425"/>
    </row>
    <row r="426" spans="1:1" ht="15" x14ac:dyDescent="0.2">
      <c r="A426"/>
    </row>
    <row r="427" spans="1:1" ht="15" x14ac:dyDescent="0.2">
      <c r="A427"/>
    </row>
    <row r="428" spans="1:1" ht="15" x14ac:dyDescent="0.2">
      <c r="A428"/>
    </row>
    <row r="429" spans="1:1" ht="15" x14ac:dyDescent="0.2">
      <c r="A429"/>
    </row>
    <row r="430" spans="1:1" ht="15" x14ac:dyDescent="0.2">
      <c r="A430"/>
    </row>
    <row r="431" spans="1:1" ht="15" x14ac:dyDescent="0.2">
      <c r="A431"/>
    </row>
    <row r="432" spans="1:1" ht="15" x14ac:dyDescent="0.2">
      <c r="A432"/>
    </row>
    <row r="433" spans="1:1" ht="15" x14ac:dyDescent="0.2">
      <c r="A433"/>
    </row>
    <row r="434" spans="1:1" ht="15" x14ac:dyDescent="0.2">
      <c r="A434"/>
    </row>
    <row r="435" spans="1:1" ht="15" x14ac:dyDescent="0.2">
      <c r="A435"/>
    </row>
    <row r="436" spans="1:1" ht="15" x14ac:dyDescent="0.2">
      <c r="A436"/>
    </row>
    <row r="437" spans="1:1" ht="15" x14ac:dyDescent="0.2">
      <c r="A437"/>
    </row>
    <row r="438" spans="1:1" ht="15" x14ac:dyDescent="0.2">
      <c r="A438"/>
    </row>
    <row r="439" spans="1:1" ht="15" x14ac:dyDescent="0.2">
      <c r="A439"/>
    </row>
    <row r="440" spans="1:1" ht="15" x14ac:dyDescent="0.2">
      <c r="A440"/>
    </row>
    <row r="441" spans="1:1" ht="15" x14ac:dyDescent="0.2">
      <c r="A441"/>
    </row>
    <row r="442" spans="1:1" ht="15" x14ac:dyDescent="0.2">
      <c r="A442"/>
    </row>
    <row r="443" spans="1:1" ht="15" x14ac:dyDescent="0.2">
      <c r="A443"/>
    </row>
    <row r="444" spans="1:1" ht="15" x14ac:dyDescent="0.2">
      <c r="A444"/>
    </row>
    <row r="445" spans="1:1" ht="15" x14ac:dyDescent="0.2">
      <c r="A445"/>
    </row>
    <row r="446" spans="1:1" ht="15" x14ac:dyDescent="0.2">
      <c r="A446"/>
    </row>
    <row r="447" spans="1:1" ht="15" x14ac:dyDescent="0.2">
      <c r="A447"/>
    </row>
    <row r="448" spans="1:1" ht="15" x14ac:dyDescent="0.2">
      <c r="A448"/>
    </row>
    <row r="449" spans="1:1" ht="15" x14ac:dyDescent="0.2">
      <c r="A449"/>
    </row>
    <row r="450" spans="1:1" ht="15" x14ac:dyDescent="0.2">
      <c r="A450"/>
    </row>
    <row r="451" spans="1:1" ht="15" x14ac:dyDescent="0.2">
      <c r="A451"/>
    </row>
    <row r="452" spans="1:1" ht="15" x14ac:dyDescent="0.2">
      <c r="A452"/>
    </row>
    <row r="453" spans="1:1" ht="15" x14ac:dyDescent="0.2">
      <c r="A453"/>
    </row>
    <row r="454" spans="1:1" ht="15" x14ac:dyDescent="0.2">
      <c r="A454"/>
    </row>
    <row r="455" spans="1:1" ht="15" x14ac:dyDescent="0.2">
      <c r="A455"/>
    </row>
    <row r="456" spans="1:1" ht="15" x14ac:dyDescent="0.2">
      <c r="A456"/>
    </row>
    <row r="457" spans="1:1" ht="15" x14ac:dyDescent="0.2">
      <c r="A457"/>
    </row>
    <row r="458" spans="1:1" ht="15" x14ac:dyDescent="0.2">
      <c r="A458"/>
    </row>
    <row r="459" spans="1:1" ht="15" x14ac:dyDescent="0.2">
      <c r="A459"/>
    </row>
    <row r="460" spans="1:1" ht="15" x14ac:dyDescent="0.2">
      <c r="A460"/>
    </row>
    <row r="461" spans="1:1" ht="15" x14ac:dyDescent="0.2">
      <c r="A461"/>
    </row>
    <row r="462" spans="1:1" ht="15" x14ac:dyDescent="0.2">
      <c r="A462"/>
    </row>
    <row r="463" spans="1:1" ht="15" x14ac:dyDescent="0.2">
      <c r="A463"/>
    </row>
    <row r="464" spans="1:1" ht="15" x14ac:dyDescent="0.2">
      <c r="A464"/>
    </row>
    <row r="465" spans="1:1" ht="15" x14ac:dyDescent="0.2">
      <c r="A465"/>
    </row>
    <row r="466" spans="1:1" ht="15" x14ac:dyDescent="0.2">
      <c r="A466"/>
    </row>
    <row r="467" spans="1:1" ht="15" x14ac:dyDescent="0.2">
      <c r="A467"/>
    </row>
    <row r="468" spans="1:1" ht="15" x14ac:dyDescent="0.2">
      <c r="A468"/>
    </row>
    <row r="469" spans="1:1" ht="15" x14ac:dyDescent="0.2">
      <c r="A469"/>
    </row>
    <row r="470" spans="1:1" ht="15" x14ac:dyDescent="0.2">
      <c r="A470"/>
    </row>
    <row r="471" spans="1:1" ht="15" x14ac:dyDescent="0.2">
      <c r="A471"/>
    </row>
    <row r="472" spans="1:1" ht="15" x14ac:dyDescent="0.2">
      <c r="A472"/>
    </row>
    <row r="473" spans="1:1" ht="15" x14ac:dyDescent="0.2">
      <c r="A473"/>
    </row>
    <row r="474" spans="1:1" ht="15" x14ac:dyDescent="0.2">
      <c r="A474"/>
    </row>
    <row r="475" spans="1:1" ht="15" x14ac:dyDescent="0.2">
      <c r="A475"/>
    </row>
    <row r="476" spans="1:1" ht="15" x14ac:dyDescent="0.2">
      <c r="A476"/>
    </row>
    <row r="477" spans="1:1" ht="15" x14ac:dyDescent="0.2">
      <c r="A477"/>
    </row>
    <row r="478" spans="1:1" ht="15" x14ac:dyDescent="0.2">
      <c r="A478"/>
    </row>
    <row r="479" spans="1:1" ht="15" x14ac:dyDescent="0.2">
      <c r="A479"/>
    </row>
    <row r="480" spans="1:1" ht="15" x14ac:dyDescent="0.2">
      <c r="A480"/>
    </row>
    <row r="481" spans="1:1" ht="15" x14ac:dyDescent="0.2">
      <c r="A481"/>
    </row>
    <row r="482" spans="1:1" ht="15" x14ac:dyDescent="0.2">
      <c r="A482"/>
    </row>
    <row r="483" spans="1:1" ht="15" x14ac:dyDescent="0.2">
      <c r="A483"/>
    </row>
    <row r="484" spans="1:1" ht="15" x14ac:dyDescent="0.2">
      <c r="A484"/>
    </row>
    <row r="485" spans="1:1" ht="15" x14ac:dyDescent="0.2">
      <c r="A485"/>
    </row>
    <row r="486" spans="1:1" ht="15" x14ac:dyDescent="0.2">
      <c r="A486"/>
    </row>
    <row r="487" spans="1:1" ht="15" x14ac:dyDescent="0.2">
      <c r="A487"/>
    </row>
    <row r="488" spans="1:1" ht="15" x14ac:dyDescent="0.2">
      <c r="A488"/>
    </row>
    <row r="489" spans="1:1" ht="15" x14ac:dyDescent="0.2">
      <c r="A489"/>
    </row>
    <row r="490" spans="1:1" ht="15" x14ac:dyDescent="0.2">
      <c r="A490"/>
    </row>
    <row r="491" spans="1:1" ht="15" x14ac:dyDescent="0.2">
      <c r="A491"/>
    </row>
    <row r="492" spans="1:1" ht="15" x14ac:dyDescent="0.2">
      <c r="A492"/>
    </row>
    <row r="493" spans="1:1" ht="15" x14ac:dyDescent="0.2">
      <c r="A493"/>
    </row>
    <row r="494" spans="1:1" ht="15" x14ac:dyDescent="0.2">
      <c r="A494"/>
    </row>
    <row r="495" spans="1:1" ht="15" x14ac:dyDescent="0.2">
      <c r="A495"/>
    </row>
    <row r="496" spans="1:1" ht="15" x14ac:dyDescent="0.2">
      <c r="A496"/>
    </row>
    <row r="497" spans="1:1" ht="15" x14ac:dyDescent="0.2">
      <c r="A497"/>
    </row>
    <row r="498" spans="1:1" ht="15" x14ac:dyDescent="0.2">
      <c r="A498"/>
    </row>
    <row r="499" spans="1:1" ht="15" x14ac:dyDescent="0.2">
      <c r="A499"/>
    </row>
    <row r="500" spans="1:1" ht="15" x14ac:dyDescent="0.2">
      <c r="A500"/>
    </row>
    <row r="501" spans="1:1" ht="15" x14ac:dyDescent="0.2">
      <c r="A501"/>
    </row>
    <row r="502" spans="1:1" ht="15" x14ac:dyDescent="0.2">
      <c r="A502"/>
    </row>
    <row r="503" spans="1:1" ht="15" x14ac:dyDescent="0.2">
      <c r="A503"/>
    </row>
    <row r="504" spans="1:1" ht="15" x14ac:dyDescent="0.2">
      <c r="A504"/>
    </row>
    <row r="505" spans="1:1" ht="15" x14ac:dyDescent="0.2">
      <c r="A505"/>
    </row>
    <row r="506" spans="1:1" ht="15" x14ac:dyDescent="0.2">
      <c r="A506"/>
    </row>
    <row r="507" spans="1:1" ht="15" x14ac:dyDescent="0.2">
      <c r="A507"/>
    </row>
    <row r="508" spans="1:1" ht="15" x14ac:dyDescent="0.2">
      <c r="A508"/>
    </row>
    <row r="509" spans="1:1" ht="15" x14ac:dyDescent="0.2">
      <c r="A509"/>
    </row>
    <row r="510" spans="1:1" ht="15" x14ac:dyDescent="0.2">
      <c r="A510"/>
    </row>
    <row r="511" spans="1:1" ht="15" x14ac:dyDescent="0.2">
      <c r="A511"/>
    </row>
    <row r="512" spans="1:1" ht="15" x14ac:dyDescent="0.2">
      <c r="A512"/>
    </row>
    <row r="513" spans="1:1" ht="15" x14ac:dyDescent="0.2">
      <c r="A513"/>
    </row>
    <row r="514" spans="1:1" ht="15" x14ac:dyDescent="0.2">
      <c r="A514"/>
    </row>
    <row r="515" spans="1:1" ht="15" x14ac:dyDescent="0.2">
      <c r="A515"/>
    </row>
    <row r="516" spans="1:1" ht="15" x14ac:dyDescent="0.2">
      <c r="A516"/>
    </row>
    <row r="517" spans="1:1" ht="15" x14ac:dyDescent="0.2">
      <c r="A517"/>
    </row>
    <row r="518" spans="1:1" ht="15" x14ac:dyDescent="0.2">
      <c r="A518"/>
    </row>
    <row r="519" spans="1:1" ht="15" x14ac:dyDescent="0.2">
      <c r="A519"/>
    </row>
    <row r="520" spans="1:1" ht="15" x14ac:dyDescent="0.2">
      <c r="A520"/>
    </row>
    <row r="521" spans="1:1" ht="15" x14ac:dyDescent="0.2">
      <c r="A521"/>
    </row>
    <row r="522" spans="1:1" ht="15" x14ac:dyDescent="0.2">
      <c r="A522"/>
    </row>
    <row r="523" spans="1:1" ht="15" x14ac:dyDescent="0.2">
      <c r="A523"/>
    </row>
    <row r="524" spans="1:1" ht="15" x14ac:dyDescent="0.2">
      <c r="A524"/>
    </row>
    <row r="525" spans="1:1" ht="15" x14ac:dyDescent="0.2">
      <c r="A525"/>
    </row>
    <row r="526" spans="1:1" ht="15" x14ac:dyDescent="0.2">
      <c r="A526"/>
    </row>
    <row r="527" spans="1:1" ht="15" x14ac:dyDescent="0.2">
      <c r="A527"/>
    </row>
    <row r="528" spans="1:1" ht="15" x14ac:dyDescent="0.2">
      <c r="A528"/>
    </row>
    <row r="529" spans="1:1" ht="15" x14ac:dyDescent="0.2">
      <c r="A529"/>
    </row>
    <row r="530" spans="1:1" ht="15" x14ac:dyDescent="0.2">
      <c r="A530"/>
    </row>
    <row r="531" spans="1:1" ht="15" x14ac:dyDescent="0.2">
      <c r="A531"/>
    </row>
    <row r="532" spans="1:1" ht="15" x14ac:dyDescent="0.2">
      <c r="A532"/>
    </row>
    <row r="533" spans="1:1" ht="15" x14ac:dyDescent="0.2">
      <c r="A533"/>
    </row>
    <row r="534" spans="1:1" ht="15" x14ac:dyDescent="0.2">
      <c r="A534"/>
    </row>
    <row r="535" spans="1:1" ht="15" x14ac:dyDescent="0.2">
      <c r="A535"/>
    </row>
    <row r="536" spans="1:1" ht="15" x14ac:dyDescent="0.2">
      <c r="A536"/>
    </row>
    <row r="537" spans="1:1" ht="15" x14ac:dyDescent="0.2">
      <c r="A537"/>
    </row>
    <row r="538" spans="1:1" ht="15" x14ac:dyDescent="0.2">
      <c r="A538"/>
    </row>
    <row r="539" spans="1:1" ht="15" x14ac:dyDescent="0.2">
      <c r="A539"/>
    </row>
    <row r="540" spans="1:1" ht="15" x14ac:dyDescent="0.2">
      <c r="A540"/>
    </row>
    <row r="541" spans="1:1" ht="15" x14ac:dyDescent="0.2">
      <c r="A541"/>
    </row>
    <row r="542" spans="1:1" ht="15" x14ac:dyDescent="0.2">
      <c r="A542"/>
    </row>
    <row r="543" spans="1:1" ht="15" x14ac:dyDescent="0.2">
      <c r="A543"/>
    </row>
    <row r="544" spans="1:1" ht="15" x14ac:dyDescent="0.2">
      <c r="A544"/>
    </row>
    <row r="545" spans="1:1" ht="15" x14ac:dyDescent="0.2">
      <c r="A545"/>
    </row>
    <row r="546" spans="1:1" ht="15" x14ac:dyDescent="0.2">
      <c r="A546"/>
    </row>
    <row r="547" spans="1:1" ht="15" x14ac:dyDescent="0.2">
      <c r="A547"/>
    </row>
    <row r="548" spans="1:1" ht="15" x14ac:dyDescent="0.2">
      <c r="A548"/>
    </row>
    <row r="549" spans="1:1" ht="15" x14ac:dyDescent="0.2">
      <c r="A549"/>
    </row>
    <row r="550" spans="1:1" ht="15" x14ac:dyDescent="0.2">
      <c r="A550"/>
    </row>
    <row r="551" spans="1:1" ht="15" x14ac:dyDescent="0.2">
      <c r="A551"/>
    </row>
    <row r="552" spans="1:1" ht="15" x14ac:dyDescent="0.2">
      <c r="A552"/>
    </row>
    <row r="553" spans="1:1" ht="15" x14ac:dyDescent="0.2">
      <c r="A553"/>
    </row>
    <row r="554" spans="1:1" ht="15" x14ac:dyDescent="0.2">
      <c r="A554"/>
    </row>
    <row r="555" spans="1:1" ht="15" x14ac:dyDescent="0.2">
      <c r="A555"/>
    </row>
    <row r="556" spans="1:1" ht="15" x14ac:dyDescent="0.2">
      <c r="A556"/>
    </row>
    <row r="557" spans="1:1" ht="15" x14ac:dyDescent="0.2">
      <c r="A557"/>
    </row>
    <row r="558" spans="1:1" ht="15" x14ac:dyDescent="0.2">
      <c r="A558"/>
    </row>
    <row r="559" spans="1:1" ht="15" x14ac:dyDescent="0.2">
      <c r="A559"/>
    </row>
    <row r="560" spans="1:1" ht="15" x14ac:dyDescent="0.2">
      <c r="A560"/>
    </row>
    <row r="561" spans="1:1" ht="15" x14ac:dyDescent="0.2">
      <c r="A561"/>
    </row>
    <row r="562" spans="1:1" ht="15" x14ac:dyDescent="0.2">
      <c r="A562"/>
    </row>
    <row r="563" spans="1:1" ht="15" x14ac:dyDescent="0.2">
      <c r="A563"/>
    </row>
    <row r="564" spans="1:1" ht="15" x14ac:dyDescent="0.2">
      <c r="A564"/>
    </row>
    <row r="565" spans="1:1" ht="15" x14ac:dyDescent="0.2">
      <c r="A565"/>
    </row>
    <row r="566" spans="1:1" ht="15" x14ac:dyDescent="0.2">
      <c r="A566"/>
    </row>
    <row r="567" spans="1:1" ht="15" x14ac:dyDescent="0.2">
      <c r="A567"/>
    </row>
    <row r="568" spans="1:1" ht="15" x14ac:dyDescent="0.2">
      <c r="A568"/>
    </row>
    <row r="569" spans="1:1" ht="15" x14ac:dyDescent="0.2">
      <c r="A569"/>
    </row>
    <row r="570" spans="1:1" ht="15" x14ac:dyDescent="0.2">
      <c r="A570"/>
    </row>
    <row r="571" spans="1:1" ht="15" x14ac:dyDescent="0.2">
      <c r="A571"/>
    </row>
    <row r="572" spans="1:1" ht="15" x14ac:dyDescent="0.2">
      <c r="A572"/>
    </row>
    <row r="573" spans="1:1" ht="15" x14ac:dyDescent="0.2">
      <c r="A573"/>
    </row>
    <row r="574" spans="1:1" ht="15" x14ac:dyDescent="0.2">
      <c r="A574"/>
    </row>
    <row r="575" spans="1:1" ht="15" x14ac:dyDescent="0.2">
      <c r="A575"/>
    </row>
    <row r="576" spans="1:1" ht="15" x14ac:dyDescent="0.2">
      <c r="A576"/>
    </row>
    <row r="577" spans="1:1" ht="15" x14ac:dyDescent="0.2">
      <c r="A577"/>
    </row>
    <row r="578" spans="1:1" ht="15" x14ac:dyDescent="0.2">
      <c r="A578"/>
    </row>
    <row r="579" spans="1:1" ht="15" x14ac:dyDescent="0.2">
      <c r="A579"/>
    </row>
    <row r="580" spans="1:1" ht="15" x14ac:dyDescent="0.2">
      <c r="A580"/>
    </row>
    <row r="581" spans="1:1" ht="15" x14ac:dyDescent="0.2">
      <c r="A581"/>
    </row>
    <row r="582" spans="1:1" ht="15" x14ac:dyDescent="0.2">
      <c r="A582"/>
    </row>
    <row r="583" spans="1:1" ht="15" x14ac:dyDescent="0.2">
      <c r="A583"/>
    </row>
    <row r="584" spans="1:1" ht="15" x14ac:dyDescent="0.2">
      <c r="A584"/>
    </row>
    <row r="585" spans="1:1" ht="15" x14ac:dyDescent="0.2">
      <c r="A585"/>
    </row>
    <row r="586" spans="1:1" ht="15" x14ac:dyDescent="0.2">
      <c r="A586"/>
    </row>
    <row r="587" spans="1:1" ht="15" x14ac:dyDescent="0.2">
      <c r="A587"/>
    </row>
    <row r="588" spans="1:1" ht="15" x14ac:dyDescent="0.2">
      <c r="A588"/>
    </row>
    <row r="589" spans="1:1" ht="15" x14ac:dyDescent="0.2">
      <c r="A589"/>
    </row>
    <row r="590" spans="1:1" ht="15" x14ac:dyDescent="0.2">
      <c r="A590"/>
    </row>
    <row r="591" spans="1:1" ht="15" x14ac:dyDescent="0.2">
      <c r="A591"/>
    </row>
    <row r="592" spans="1:1" ht="15" x14ac:dyDescent="0.2">
      <c r="A592"/>
    </row>
    <row r="593" spans="1:1" ht="15" x14ac:dyDescent="0.2">
      <c r="A593"/>
    </row>
    <row r="594" spans="1:1" ht="15" x14ac:dyDescent="0.2">
      <c r="A594"/>
    </row>
    <row r="595" spans="1:1" ht="15" x14ac:dyDescent="0.2">
      <c r="A595"/>
    </row>
    <row r="596" spans="1:1" ht="15" x14ac:dyDescent="0.2">
      <c r="A596"/>
    </row>
    <row r="597" spans="1:1" ht="15" x14ac:dyDescent="0.2">
      <c r="A597"/>
    </row>
    <row r="598" spans="1:1" ht="15" x14ac:dyDescent="0.2">
      <c r="A598"/>
    </row>
    <row r="599" spans="1:1" ht="15" x14ac:dyDescent="0.2">
      <c r="A599"/>
    </row>
    <row r="600" spans="1:1" ht="15" x14ac:dyDescent="0.2">
      <c r="A600"/>
    </row>
    <row r="601" spans="1:1" ht="15" x14ac:dyDescent="0.2">
      <c r="A601"/>
    </row>
    <row r="602" spans="1:1" ht="15" x14ac:dyDescent="0.2">
      <c r="A602"/>
    </row>
    <row r="603" spans="1:1" ht="15" x14ac:dyDescent="0.2">
      <c r="A603"/>
    </row>
    <row r="604" spans="1:1" ht="15" x14ac:dyDescent="0.2">
      <c r="A604"/>
    </row>
    <row r="605" spans="1:1" ht="15" x14ac:dyDescent="0.2">
      <c r="A605"/>
    </row>
    <row r="606" spans="1:1" ht="15" x14ac:dyDescent="0.2">
      <c r="A606"/>
    </row>
    <row r="607" spans="1:1" ht="15" x14ac:dyDescent="0.2">
      <c r="A607"/>
    </row>
    <row r="608" spans="1:1" ht="15" x14ac:dyDescent="0.2">
      <c r="A608"/>
    </row>
    <row r="609" spans="1:1" ht="15" x14ac:dyDescent="0.2">
      <c r="A609"/>
    </row>
    <row r="610" spans="1:1" ht="15" x14ac:dyDescent="0.2">
      <c r="A610"/>
    </row>
    <row r="611" spans="1:1" ht="15" x14ac:dyDescent="0.2">
      <c r="A611"/>
    </row>
    <row r="612" spans="1:1" ht="15" x14ac:dyDescent="0.2">
      <c r="A612"/>
    </row>
    <row r="613" spans="1:1" ht="15" x14ac:dyDescent="0.2">
      <c r="A613"/>
    </row>
    <row r="614" spans="1:1" ht="15" x14ac:dyDescent="0.2">
      <c r="A614"/>
    </row>
    <row r="615" spans="1:1" ht="15" x14ac:dyDescent="0.2">
      <c r="A615"/>
    </row>
    <row r="616" spans="1:1" ht="15" x14ac:dyDescent="0.2">
      <c r="A616"/>
    </row>
    <row r="617" spans="1:1" ht="15" x14ac:dyDescent="0.2">
      <c r="A617"/>
    </row>
    <row r="618" spans="1:1" ht="15" x14ac:dyDescent="0.2">
      <c r="A618"/>
    </row>
    <row r="619" spans="1:1" ht="15" x14ac:dyDescent="0.2">
      <c r="A619"/>
    </row>
    <row r="620" spans="1:1" ht="15" x14ac:dyDescent="0.2">
      <c r="A620"/>
    </row>
    <row r="621" spans="1:1" ht="15" x14ac:dyDescent="0.2">
      <c r="A621"/>
    </row>
    <row r="622" spans="1:1" ht="15" x14ac:dyDescent="0.2">
      <c r="A622"/>
    </row>
    <row r="623" spans="1:1" ht="15" x14ac:dyDescent="0.2">
      <c r="A623"/>
    </row>
    <row r="624" spans="1:1" ht="15" x14ac:dyDescent="0.2">
      <c r="A624"/>
    </row>
    <row r="625" spans="1:1" ht="15" x14ac:dyDescent="0.2">
      <c r="A625"/>
    </row>
    <row r="626" spans="1:1" ht="15" x14ac:dyDescent="0.2">
      <c r="A626"/>
    </row>
    <row r="627" spans="1:1" ht="15" x14ac:dyDescent="0.2">
      <c r="A627"/>
    </row>
    <row r="628" spans="1:1" ht="15" x14ac:dyDescent="0.2">
      <c r="A628"/>
    </row>
    <row r="629" spans="1:1" ht="15" x14ac:dyDescent="0.2">
      <c r="A629"/>
    </row>
    <row r="630" spans="1:1" ht="15" x14ac:dyDescent="0.2">
      <c r="A630"/>
    </row>
    <row r="631" spans="1:1" ht="15" x14ac:dyDescent="0.2">
      <c r="A631"/>
    </row>
    <row r="632" spans="1:1" ht="15" x14ac:dyDescent="0.2">
      <c r="A632"/>
    </row>
    <row r="633" spans="1:1" ht="15" x14ac:dyDescent="0.2">
      <c r="A633"/>
    </row>
    <row r="634" spans="1:1" ht="15" x14ac:dyDescent="0.2">
      <c r="A634"/>
    </row>
    <row r="635" spans="1:1" ht="15" x14ac:dyDescent="0.2">
      <c r="A635"/>
    </row>
    <row r="636" spans="1:1" ht="15" x14ac:dyDescent="0.2">
      <c r="A636"/>
    </row>
    <row r="637" spans="1:1" ht="15" x14ac:dyDescent="0.2">
      <c r="A637"/>
    </row>
    <row r="638" spans="1:1" ht="15" x14ac:dyDescent="0.2">
      <c r="A638"/>
    </row>
    <row r="639" spans="1:1" ht="15" x14ac:dyDescent="0.2">
      <c r="A639"/>
    </row>
    <row r="640" spans="1:1" ht="15" x14ac:dyDescent="0.2">
      <c r="A640"/>
    </row>
    <row r="641" spans="1:1" ht="15" x14ac:dyDescent="0.2">
      <c r="A641"/>
    </row>
    <row r="642" spans="1:1" ht="15" x14ac:dyDescent="0.2">
      <c r="A642"/>
    </row>
    <row r="643" spans="1:1" ht="15" x14ac:dyDescent="0.2">
      <c r="A643"/>
    </row>
    <row r="644" spans="1:1" ht="15" x14ac:dyDescent="0.2">
      <c r="A644"/>
    </row>
    <row r="645" spans="1:1" ht="15" x14ac:dyDescent="0.2">
      <c r="A645"/>
    </row>
    <row r="646" spans="1:1" ht="15" x14ac:dyDescent="0.2">
      <c r="A646"/>
    </row>
    <row r="647" spans="1:1" ht="15" x14ac:dyDescent="0.2">
      <c r="A647"/>
    </row>
    <row r="648" spans="1:1" ht="15" x14ac:dyDescent="0.2">
      <c r="A648"/>
    </row>
    <row r="649" spans="1:1" ht="15" x14ac:dyDescent="0.2">
      <c r="A649"/>
    </row>
    <row r="650" spans="1:1" ht="15" x14ac:dyDescent="0.2">
      <c r="A650"/>
    </row>
    <row r="651" spans="1:1" ht="15" x14ac:dyDescent="0.2">
      <c r="A651"/>
    </row>
    <row r="652" spans="1:1" ht="15" x14ac:dyDescent="0.2">
      <c r="A652"/>
    </row>
    <row r="653" spans="1:1" ht="15" x14ac:dyDescent="0.2">
      <c r="A653"/>
    </row>
    <row r="654" spans="1:1" ht="15" x14ac:dyDescent="0.2">
      <c r="A654"/>
    </row>
    <row r="655" spans="1:1" ht="15" x14ac:dyDescent="0.2">
      <c r="A655"/>
    </row>
    <row r="656" spans="1:1" ht="15" x14ac:dyDescent="0.2">
      <c r="A656"/>
    </row>
    <row r="657" spans="1:1" ht="15" x14ac:dyDescent="0.2">
      <c r="A657"/>
    </row>
    <row r="658" spans="1:1" ht="15" x14ac:dyDescent="0.2">
      <c r="A658"/>
    </row>
    <row r="659" spans="1:1" ht="15" x14ac:dyDescent="0.2">
      <c r="A659"/>
    </row>
    <row r="660" spans="1:1" ht="15" x14ac:dyDescent="0.2">
      <c r="A660"/>
    </row>
    <row r="661" spans="1:1" ht="15" x14ac:dyDescent="0.2">
      <c r="A661"/>
    </row>
    <row r="662" spans="1:1" ht="15" x14ac:dyDescent="0.2">
      <c r="A662"/>
    </row>
    <row r="663" spans="1:1" ht="15" x14ac:dyDescent="0.2">
      <c r="A663"/>
    </row>
    <row r="664" spans="1:1" ht="15" x14ac:dyDescent="0.2">
      <c r="A664"/>
    </row>
    <row r="665" spans="1:1" ht="15" x14ac:dyDescent="0.2">
      <c r="A665"/>
    </row>
    <row r="666" spans="1:1" ht="15" x14ac:dyDescent="0.2">
      <c r="A666"/>
    </row>
    <row r="667" spans="1:1" ht="15" x14ac:dyDescent="0.2">
      <c r="A667"/>
    </row>
    <row r="668" spans="1:1" ht="15" x14ac:dyDescent="0.2">
      <c r="A668"/>
    </row>
    <row r="669" spans="1:1" ht="15" x14ac:dyDescent="0.2">
      <c r="A669"/>
    </row>
    <row r="670" spans="1:1" ht="15" x14ac:dyDescent="0.2">
      <c r="A670"/>
    </row>
    <row r="671" spans="1:1" ht="15" x14ac:dyDescent="0.2">
      <c r="A671"/>
    </row>
    <row r="672" spans="1:1" ht="15" x14ac:dyDescent="0.2">
      <c r="A672"/>
    </row>
    <row r="673" spans="1:1" ht="15" x14ac:dyDescent="0.2">
      <c r="A673"/>
    </row>
    <row r="674" spans="1:1" ht="15" x14ac:dyDescent="0.2">
      <c r="A674"/>
    </row>
    <row r="675" spans="1:1" ht="15" x14ac:dyDescent="0.2">
      <c r="A675"/>
    </row>
    <row r="676" spans="1:1" ht="15" x14ac:dyDescent="0.2">
      <c r="A676"/>
    </row>
    <row r="677" spans="1:1" ht="15" x14ac:dyDescent="0.2">
      <c r="A677"/>
    </row>
    <row r="678" spans="1:1" ht="15" x14ac:dyDescent="0.2">
      <c r="A678"/>
    </row>
    <row r="679" spans="1:1" ht="15" x14ac:dyDescent="0.2">
      <c r="A679"/>
    </row>
    <row r="680" spans="1:1" ht="15" x14ac:dyDescent="0.2">
      <c r="A680"/>
    </row>
    <row r="681" spans="1:1" ht="15" x14ac:dyDescent="0.2">
      <c r="A681"/>
    </row>
    <row r="682" spans="1:1" ht="15" x14ac:dyDescent="0.2">
      <c r="A682"/>
    </row>
    <row r="683" spans="1:1" ht="15" x14ac:dyDescent="0.2">
      <c r="A683"/>
    </row>
    <row r="684" spans="1:1" ht="15" x14ac:dyDescent="0.2">
      <c r="A684"/>
    </row>
    <row r="685" spans="1:1" ht="15" x14ac:dyDescent="0.2">
      <c r="A685"/>
    </row>
    <row r="686" spans="1:1" ht="15" x14ac:dyDescent="0.2">
      <c r="A686"/>
    </row>
    <row r="687" spans="1:1" ht="15" x14ac:dyDescent="0.2">
      <c r="A687"/>
    </row>
    <row r="688" spans="1:1" ht="15" x14ac:dyDescent="0.2">
      <c r="A688"/>
    </row>
    <row r="689" spans="1:1" ht="15" x14ac:dyDescent="0.2">
      <c r="A689"/>
    </row>
    <row r="690" spans="1:1" ht="15" x14ac:dyDescent="0.2">
      <c r="A690"/>
    </row>
    <row r="691" spans="1:1" ht="15" x14ac:dyDescent="0.2">
      <c r="A691"/>
    </row>
    <row r="692" spans="1:1" ht="15" x14ac:dyDescent="0.2">
      <c r="A692"/>
    </row>
    <row r="693" spans="1:1" ht="15" x14ac:dyDescent="0.2">
      <c r="A693"/>
    </row>
    <row r="694" spans="1:1" ht="15" x14ac:dyDescent="0.2">
      <c r="A694"/>
    </row>
    <row r="695" spans="1:1" ht="15" x14ac:dyDescent="0.2">
      <c r="A695"/>
    </row>
    <row r="696" spans="1:1" ht="15" x14ac:dyDescent="0.2">
      <c r="A696"/>
    </row>
    <row r="697" spans="1:1" ht="15" x14ac:dyDescent="0.2">
      <c r="A697"/>
    </row>
    <row r="698" spans="1:1" ht="15" x14ac:dyDescent="0.2">
      <c r="A698"/>
    </row>
    <row r="699" spans="1:1" ht="15" x14ac:dyDescent="0.2">
      <c r="A699"/>
    </row>
    <row r="700" spans="1:1" ht="15" x14ac:dyDescent="0.2">
      <c r="A700"/>
    </row>
    <row r="701" spans="1:1" ht="15" x14ac:dyDescent="0.2">
      <c r="A701"/>
    </row>
    <row r="702" spans="1:1" ht="15" x14ac:dyDescent="0.2">
      <c r="A702"/>
    </row>
    <row r="703" spans="1:1" ht="15" x14ac:dyDescent="0.2">
      <c r="A703"/>
    </row>
    <row r="704" spans="1:1" ht="15" x14ac:dyDescent="0.2">
      <c r="A704"/>
    </row>
    <row r="705" spans="1:1" ht="15" x14ac:dyDescent="0.2">
      <c r="A705"/>
    </row>
    <row r="706" spans="1:1" ht="15" x14ac:dyDescent="0.2">
      <c r="A706"/>
    </row>
    <row r="707" spans="1:1" ht="15" x14ac:dyDescent="0.2">
      <c r="A707"/>
    </row>
    <row r="708" spans="1:1" ht="15" x14ac:dyDescent="0.2">
      <c r="A708"/>
    </row>
    <row r="709" spans="1:1" ht="15" x14ac:dyDescent="0.2">
      <c r="A709"/>
    </row>
    <row r="710" spans="1:1" ht="15" x14ac:dyDescent="0.2">
      <c r="A710"/>
    </row>
    <row r="711" spans="1:1" ht="15" x14ac:dyDescent="0.2">
      <c r="A711"/>
    </row>
    <row r="712" spans="1:1" ht="15" x14ac:dyDescent="0.2">
      <c r="A712"/>
    </row>
    <row r="713" spans="1:1" ht="15" x14ac:dyDescent="0.2">
      <c r="A713"/>
    </row>
    <row r="714" spans="1:1" ht="15" x14ac:dyDescent="0.2">
      <c r="A714"/>
    </row>
    <row r="715" spans="1:1" ht="15" x14ac:dyDescent="0.2">
      <c r="A715"/>
    </row>
    <row r="716" spans="1:1" ht="15" x14ac:dyDescent="0.2">
      <c r="A716"/>
    </row>
    <row r="717" spans="1:1" ht="15" x14ac:dyDescent="0.2">
      <c r="A717"/>
    </row>
    <row r="718" spans="1:1" ht="15" x14ac:dyDescent="0.2">
      <c r="A718"/>
    </row>
    <row r="719" spans="1:1" ht="15" x14ac:dyDescent="0.2">
      <c r="A719"/>
    </row>
    <row r="720" spans="1:1" ht="15" x14ac:dyDescent="0.2">
      <c r="A720"/>
    </row>
    <row r="721" spans="1:1" ht="15" x14ac:dyDescent="0.2">
      <c r="A721"/>
    </row>
    <row r="722" spans="1:1" ht="15" x14ac:dyDescent="0.2">
      <c r="A722"/>
    </row>
    <row r="723" spans="1:1" ht="15" x14ac:dyDescent="0.2">
      <c r="A723"/>
    </row>
    <row r="724" spans="1:1" ht="15" x14ac:dyDescent="0.2">
      <c r="A724"/>
    </row>
    <row r="725" spans="1:1" ht="15" x14ac:dyDescent="0.2">
      <c r="A725"/>
    </row>
    <row r="726" spans="1:1" ht="15" x14ac:dyDescent="0.2">
      <c r="A726"/>
    </row>
    <row r="727" spans="1:1" ht="15" x14ac:dyDescent="0.2">
      <c r="A727"/>
    </row>
    <row r="728" spans="1:1" ht="15" x14ac:dyDescent="0.2">
      <c r="A728"/>
    </row>
    <row r="729" spans="1:1" ht="15" x14ac:dyDescent="0.2">
      <c r="A729"/>
    </row>
    <row r="730" spans="1:1" ht="15" x14ac:dyDescent="0.2">
      <c r="A730"/>
    </row>
    <row r="731" spans="1:1" ht="15" x14ac:dyDescent="0.2">
      <c r="A731"/>
    </row>
    <row r="732" spans="1:1" ht="15" x14ac:dyDescent="0.2">
      <c r="A732"/>
    </row>
    <row r="733" spans="1:1" ht="15" x14ac:dyDescent="0.2">
      <c r="A733"/>
    </row>
    <row r="734" spans="1:1" ht="15" x14ac:dyDescent="0.2">
      <c r="A734"/>
    </row>
    <row r="735" spans="1:1" ht="15" x14ac:dyDescent="0.2">
      <c r="A735"/>
    </row>
    <row r="736" spans="1:1" ht="15" x14ac:dyDescent="0.2">
      <c r="A736"/>
    </row>
    <row r="737" spans="1:1" ht="15" x14ac:dyDescent="0.2">
      <c r="A737"/>
    </row>
    <row r="738" spans="1:1" ht="15" x14ac:dyDescent="0.2">
      <c r="A738"/>
    </row>
    <row r="739" spans="1:1" ht="15" x14ac:dyDescent="0.2">
      <c r="A739"/>
    </row>
    <row r="740" spans="1:1" ht="15" x14ac:dyDescent="0.2">
      <c r="A740"/>
    </row>
    <row r="741" spans="1:1" ht="15" x14ac:dyDescent="0.2">
      <c r="A741"/>
    </row>
    <row r="742" spans="1:1" ht="15" x14ac:dyDescent="0.2">
      <c r="A742"/>
    </row>
    <row r="743" spans="1:1" ht="15" x14ac:dyDescent="0.2">
      <c r="A743"/>
    </row>
    <row r="744" spans="1:1" ht="15" x14ac:dyDescent="0.2">
      <c r="A744"/>
    </row>
    <row r="745" spans="1:1" ht="15" x14ac:dyDescent="0.2">
      <c r="A745"/>
    </row>
    <row r="746" spans="1:1" ht="15" x14ac:dyDescent="0.2">
      <c r="A746"/>
    </row>
    <row r="747" spans="1:1" ht="15" x14ac:dyDescent="0.2">
      <c r="A747"/>
    </row>
    <row r="748" spans="1:1" ht="15" x14ac:dyDescent="0.2">
      <c r="A748"/>
    </row>
    <row r="749" spans="1:1" ht="15" x14ac:dyDescent="0.2">
      <c r="A749"/>
    </row>
    <row r="750" spans="1:1" ht="15" x14ac:dyDescent="0.2">
      <c r="A750"/>
    </row>
    <row r="751" spans="1:1" ht="15" x14ac:dyDescent="0.2">
      <c r="A751"/>
    </row>
    <row r="752" spans="1:1" ht="15" x14ac:dyDescent="0.2">
      <c r="A752"/>
    </row>
    <row r="753" spans="1:1" ht="15" x14ac:dyDescent="0.2">
      <c r="A753"/>
    </row>
    <row r="754" spans="1:1" ht="15" x14ac:dyDescent="0.2">
      <c r="A754"/>
    </row>
    <row r="755" spans="1:1" ht="15" x14ac:dyDescent="0.2">
      <c r="A755"/>
    </row>
    <row r="756" spans="1:1" ht="15" x14ac:dyDescent="0.2">
      <c r="A756"/>
    </row>
    <row r="757" spans="1:1" ht="15" x14ac:dyDescent="0.2">
      <c r="A757"/>
    </row>
    <row r="758" spans="1:1" ht="15" x14ac:dyDescent="0.2">
      <c r="A758"/>
    </row>
    <row r="759" spans="1:1" ht="15" x14ac:dyDescent="0.2">
      <c r="A759"/>
    </row>
    <row r="760" spans="1:1" ht="15" x14ac:dyDescent="0.2">
      <c r="A760"/>
    </row>
    <row r="761" spans="1:1" ht="15" x14ac:dyDescent="0.2">
      <c r="A761"/>
    </row>
    <row r="762" spans="1:1" ht="15" x14ac:dyDescent="0.2">
      <c r="A762"/>
    </row>
    <row r="763" spans="1:1" ht="15" x14ac:dyDescent="0.2">
      <c r="A763"/>
    </row>
    <row r="764" spans="1:1" ht="15" x14ac:dyDescent="0.2">
      <c r="A764"/>
    </row>
    <row r="765" spans="1:1" ht="15" x14ac:dyDescent="0.2">
      <c r="A765"/>
    </row>
    <row r="766" spans="1:1" ht="15" x14ac:dyDescent="0.2">
      <c r="A766"/>
    </row>
    <row r="767" spans="1:1" ht="15" x14ac:dyDescent="0.2">
      <c r="A767"/>
    </row>
    <row r="768" spans="1:1" ht="15" x14ac:dyDescent="0.2">
      <c r="A768"/>
    </row>
    <row r="769" spans="1:1" ht="15" x14ac:dyDescent="0.2">
      <c r="A769"/>
    </row>
    <row r="770" spans="1:1" ht="15" x14ac:dyDescent="0.2">
      <c r="A770"/>
    </row>
    <row r="771" spans="1:1" ht="15" x14ac:dyDescent="0.2">
      <c r="A771"/>
    </row>
    <row r="772" spans="1:1" ht="15" x14ac:dyDescent="0.2">
      <c r="A772"/>
    </row>
    <row r="773" spans="1:1" ht="15" x14ac:dyDescent="0.2">
      <c r="A773"/>
    </row>
    <row r="774" spans="1:1" ht="15" x14ac:dyDescent="0.2">
      <c r="A774"/>
    </row>
    <row r="775" spans="1:1" ht="15" x14ac:dyDescent="0.2">
      <c r="A775"/>
    </row>
    <row r="776" spans="1:1" ht="15" x14ac:dyDescent="0.2">
      <c r="A776"/>
    </row>
    <row r="777" spans="1:1" ht="15" x14ac:dyDescent="0.2">
      <c r="A777"/>
    </row>
    <row r="778" spans="1:1" ht="15" x14ac:dyDescent="0.2">
      <c r="A778"/>
    </row>
    <row r="779" spans="1:1" ht="15" x14ac:dyDescent="0.2">
      <c r="A779"/>
    </row>
    <row r="780" spans="1:1" ht="15" x14ac:dyDescent="0.2">
      <c r="A780"/>
    </row>
    <row r="781" spans="1:1" ht="15" x14ac:dyDescent="0.2">
      <c r="A781"/>
    </row>
    <row r="782" spans="1:1" ht="15" x14ac:dyDescent="0.2">
      <c r="A782"/>
    </row>
    <row r="783" spans="1:1" ht="15" x14ac:dyDescent="0.2">
      <c r="A783"/>
    </row>
    <row r="784" spans="1:1" ht="15" x14ac:dyDescent="0.2">
      <c r="A784"/>
    </row>
    <row r="785" spans="1:1" ht="15" x14ac:dyDescent="0.2">
      <c r="A785"/>
    </row>
    <row r="786" spans="1:1" ht="15" x14ac:dyDescent="0.2">
      <c r="A786"/>
    </row>
    <row r="787" spans="1:1" ht="15" x14ac:dyDescent="0.2">
      <c r="A787"/>
    </row>
    <row r="788" spans="1:1" ht="15" x14ac:dyDescent="0.2">
      <c r="A788"/>
    </row>
    <row r="789" spans="1:1" ht="15" x14ac:dyDescent="0.2">
      <c r="A789"/>
    </row>
    <row r="790" spans="1:1" ht="15" x14ac:dyDescent="0.2">
      <c r="A790"/>
    </row>
    <row r="791" spans="1:1" ht="15" x14ac:dyDescent="0.2">
      <c r="A791"/>
    </row>
    <row r="792" spans="1:1" ht="15" x14ac:dyDescent="0.2">
      <c r="A792"/>
    </row>
    <row r="793" spans="1:1" ht="15" x14ac:dyDescent="0.2">
      <c r="A793"/>
    </row>
    <row r="794" spans="1:1" ht="15" x14ac:dyDescent="0.2">
      <c r="A794"/>
    </row>
    <row r="795" spans="1:1" ht="15" x14ac:dyDescent="0.2">
      <c r="A795"/>
    </row>
    <row r="796" spans="1:1" ht="15" x14ac:dyDescent="0.2">
      <c r="A796"/>
    </row>
    <row r="797" spans="1:1" ht="15" x14ac:dyDescent="0.2">
      <c r="A797"/>
    </row>
    <row r="798" spans="1:1" ht="15" x14ac:dyDescent="0.2">
      <c r="A798"/>
    </row>
    <row r="799" spans="1:1" ht="15" x14ac:dyDescent="0.2">
      <c r="A799"/>
    </row>
    <row r="800" spans="1:1" ht="15" x14ac:dyDescent="0.2">
      <c r="A800"/>
    </row>
    <row r="801" spans="1:1" ht="15" x14ac:dyDescent="0.2">
      <c r="A801"/>
    </row>
    <row r="802" spans="1:1" ht="15" x14ac:dyDescent="0.2">
      <c r="A802"/>
    </row>
    <row r="803" spans="1:1" ht="15" x14ac:dyDescent="0.2">
      <c r="A803"/>
    </row>
    <row r="804" spans="1:1" ht="15" x14ac:dyDescent="0.2">
      <c r="A804"/>
    </row>
    <row r="805" spans="1:1" ht="15" x14ac:dyDescent="0.2">
      <c r="A805"/>
    </row>
    <row r="806" spans="1:1" ht="15" x14ac:dyDescent="0.2">
      <c r="A806"/>
    </row>
    <row r="807" spans="1:1" ht="15" x14ac:dyDescent="0.2">
      <c r="A807"/>
    </row>
    <row r="808" spans="1:1" ht="15" x14ac:dyDescent="0.2">
      <c r="A808"/>
    </row>
    <row r="809" spans="1:1" ht="15" x14ac:dyDescent="0.2">
      <c r="A809"/>
    </row>
    <row r="810" spans="1:1" ht="15" x14ac:dyDescent="0.2">
      <c r="A810"/>
    </row>
    <row r="811" spans="1:1" ht="15" x14ac:dyDescent="0.2">
      <c r="A811"/>
    </row>
    <row r="812" spans="1:1" ht="15" x14ac:dyDescent="0.2">
      <c r="A812"/>
    </row>
    <row r="813" spans="1:1" ht="15" x14ac:dyDescent="0.2">
      <c r="A813"/>
    </row>
    <row r="814" spans="1:1" ht="15" x14ac:dyDescent="0.2">
      <c r="A814"/>
    </row>
    <row r="815" spans="1:1" ht="15" x14ac:dyDescent="0.2">
      <c r="A815"/>
    </row>
    <row r="816" spans="1:1" ht="15" x14ac:dyDescent="0.2">
      <c r="A816"/>
    </row>
    <row r="817" spans="1:1" ht="15" x14ac:dyDescent="0.2">
      <c r="A817"/>
    </row>
    <row r="818" spans="1:1" ht="15" x14ac:dyDescent="0.2">
      <c r="A818"/>
    </row>
    <row r="819" spans="1:1" ht="15" x14ac:dyDescent="0.2">
      <c r="A819"/>
    </row>
    <row r="820" spans="1:1" ht="15" x14ac:dyDescent="0.2">
      <c r="A820"/>
    </row>
    <row r="821" spans="1:1" ht="15" x14ac:dyDescent="0.2">
      <c r="A821"/>
    </row>
    <row r="822" spans="1:1" ht="15" x14ac:dyDescent="0.2">
      <c r="A822"/>
    </row>
    <row r="823" spans="1:1" ht="15" x14ac:dyDescent="0.2">
      <c r="A823"/>
    </row>
    <row r="824" spans="1:1" ht="15" x14ac:dyDescent="0.2">
      <c r="A824"/>
    </row>
    <row r="825" spans="1:1" ht="15" x14ac:dyDescent="0.2">
      <c r="A825"/>
    </row>
    <row r="826" spans="1:1" ht="15" x14ac:dyDescent="0.2">
      <c r="A826"/>
    </row>
    <row r="827" spans="1:1" ht="15" x14ac:dyDescent="0.2">
      <c r="A827"/>
    </row>
    <row r="828" spans="1:1" ht="15" x14ac:dyDescent="0.2">
      <c r="A828"/>
    </row>
    <row r="829" spans="1:1" ht="15" x14ac:dyDescent="0.2">
      <c r="A829"/>
    </row>
    <row r="830" spans="1:1" ht="15" x14ac:dyDescent="0.2">
      <c r="A830"/>
    </row>
    <row r="831" spans="1:1" ht="15" x14ac:dyDescent="0.2">
      <c r="A831"/>
    </row>
    <row r="832" spans="1:1" ht="15" x14ac:dyDescent="0.2">
      <c r="A832"/>
    </row>
    <row r="833" spans="1:1" ht="15" x14ac:dyDescent="0.2">
      <c r="A833"/>
    </row>
    <row r="834" spans="1:1" ht="15" x14ac:dyDescent="0.2">
      <c r="A834"/>
    </row>
    <row r="835" spans="1:1" ht="15" x14ac:dyDescent="0.2">
      <c r="A835"/>
    </row>
    <row r="836" spans="1:1" ht="15" x14ac:dyDescent="0.2">
      <c r="A836"/>
    </row>
    <row r="837" spans="1:1" ht="15" x14ac:dyDescent="0.2">
      <c r="A837"/>
    </row>
    <row r="838" spans="1:1" ht="15" x14ac:dyDescent="0.2">
      <c r="A838"/>
    </row>
    <row r="839" spans="1:1" ht="15" x14ac:dyDescent="0.2">
      <c r="A839"/>
    </row>
    <row r="840" spans="1:1" ht="15" x14ac:dyDescent="0.2">
      <c r="A840"/>
    </row>
    <row r="841" spans="1:1" ht="15" x14ac:dyDescent="0.2">
      <c r="A841"/>
    </row>
    <row r="842" spans="1:1" ht="15" x14ac:dyDescent="0.2">
      <c r="A842"/>
    </row>
    <row r="843" spans="1:1" ht="15" x14ac:dyDescent="0.2">
      <c r="A843"/>
    </row>
    <row r="844" spans="1:1" ht="15" x14ac:dyDescent="0.2">
      <c r="A844"/>
    </row>
    <row r="845" spans="1:1" ht="15" x14ac:dyDescent="0.2">
      <c r="A845"/>
    </row>
    <row r="846" spans="1:1" ht="15" x14ac:dyDescent="0.2">
      <c r="A846"/>
    </row>
    <row r="847" spans="1:1" ht="15" x14ac:dyDescent="0.2">
      <c r="A847"/>
    </row>
    <row r="848" spans="1:1" ht="15" x14ac:dyDescent="0.2">
      <c r="A848"/>
    </row>
    <row r="849" spans="1:1" ht="15" x14ac:dyDescent="0.2">
      <c r="A849"/>
    </row>
    <row r="850" spans="1:1" ht="15" x14ac:dyDescent="0.2">
      <c r="A850"/>
    </row>
    <row r="851" spans="1:1" ht="15" x14ac:dyDescent="0.2">
      <c r="A851"/>
    </row>
    <row r="852" spans="1:1" ht="15" x14ac:dyDescent="0.2">
      <c r="A852"/>
    </row>
    <row r="853" spans="1:1" ht="15" x14ac:dyDescent="0.2">
      <c r="A853"/>
    </row>
    <row r="854" spans="1:1" ht="15" x14ac:dyDescent="0.2">
      <c r="A854"/>
    </row>
    <row r="855" spans="1:1" ht="15" x14ac:dyDescent="0.2">
      <c r="A855"/>
    </row>
    <row r="856" spans="1:1" ht="15" x14ac:dyDescent="0.2">
      <c r="A856"/>
    </row>
    <row r="857" spans="1:1" ht="15" x14ac:dyDescent="0.2">
      <c r="A857"/>
    </row>
    <row r="858" spans="1:1" ht="15" x14ac:dyDescent="0.2">
      <c r="A858"/>
    </row>
    <row r="859" spans="1:1" ht="15" x14ac:dyDescent="0.2">
      <c r="A859"/>
    </row>
    <row r="860" spans="1:1" ht="15" x14ac:dyDescent="0.2">
      <c r="A860"/>
    </row>
    <row r="861" spans="1:1" ht="15" x14ac:dyDescent="0.2">
      <c r="A861"/>
    </row>
    <row r="862" spans="1:1" ht="15" x14ac:dyDescent="0.2">
      <c r="A862"/>
    </row>
    <row r="863" spans="1:1" ht="15" x14ac:dyDescent="0.2">
      <c r="A863"/>
    </row>
    <row r="864" spans="1:1" ht="15" x14ac:dyDescent="0.2">
      <c r="A864"/>
    </row>
    <row r="865" spans="1:1" ht="15" x14ac:dyDescent="0.2">
      <c r="A865"/>
    </row>
    <row r="866" spans="1:1" ht="15" x14ac:dyDescent="0.2">
      <c r="A866"/>
    </row>
    <row r="867" spans="1:1" ht="15" x14ac:dyDescent="0.2">
      <c r="A867"/>
    </row>
    <row r="868" spans="1:1" ht="15" x14ac:dyDescent="0.2">
      <c r="A868"/>
    </row>
    <row r="869" spans="1:1" ht="15" x14ac:dyDescent="0.2">
      <c r="A869"/>
    </row>
    <row r="870" spans="1:1" ht="15" x14ac:dyDescent="0.2">
      <c r="A870"/>
    </row>
    <row r="871" spans="1:1" ht="15" x14ac:dyDescent="0.2">
      <c r="A871"/>
    </row>
    <row r="872" spans="1:1" ht="15" x14ac:dyDescent="0.2">
      <c r="A872"/>
    </row>
    <row r="873" spans="1:1" ht="15" x14ac:dyDescent="0.2">
      <c r="A873"/>
    </row>
    <row r="874" spans="1:1" ht="15" x14ac:dyDescent="0.2">
      <c r="A874"/>
    </row>
    <row r="875" spans="1:1" ht="15" x14ac:dyDescent="0.2">
      <c r="A875"/>
    </row>
    <row r="876" spans="1:1" ht="15" x14ac:dyDescent="0.2">
      <c r="A876"/>
    </row>
    <row r="877" spans="1:1" ht="15" x14ac:dyDescent="0.2">
      <c r="A877"/>
    </row>
    <row r="878" spans="1:1" ht="15" x14ac:dyDescent="0.2">
      <c r="A878"/>
    </row>
    <row r="879" spans="1:1" ht="15" x14ac:dyDescent="0.2">
      <c r="A879"/>
    </row>
    <row r="880" spans="1:1" ht="15" x14ac:dyDescent="0.2">
      <c r="A880"/>
    </row>
    <row r="881" spans="1:1" ht="15" x14ac:dyDescent="0.2">
      <c r="A881"/>
    </row>
    <row r="882" spans="1:1" ht="15" x14ac:dyDescent="0.2">
      <c r="A882"/>
    </row>
    <row r="883" spans="1:1" ht="15" x14ac:dyDescent="0.2">
      <c r="A883"/>
    </row>
    <row r="884" spans="1:1" ht="15" x14ac:dyDescent="0.2">
      <c r="A884"/>
    </row>
    <row r="885" spans="1:1" ht="15" x14ac:dyDescent="0.2">
      <c r="A885"/>
    </row>
    <row r="886" spans="1:1" ht="15" x14ac:dyDescent="0.2">
      <c r="A886"/>
    </row>
    <row r="887" spans="1:1" ht="15" x14ac:dyDescent="0.2">
      <c r="A887"/>
    </row>
    <row r="888" spans="1:1" ht="15" x14ac:dyDescent="0.2">
      <c r="A888"/>
    </row>
    <row r="889" spans="1:1" ht="15" x14ac:dyDescent="0.2">
      <c r="A889"/>
    </row>
    <row r="890" spans="1:1" ht="15" x14ac:dyDescent="0.2">
      <c r="A890"/>
    </row>
    <row r="891" spans="1:1" ht="15" x14ac:dyDescent="0.2">
      <c r="A891"/>
    </row>
    <row r="892" spans="1:1" ht="15" x14ac:dyDescent="0.2">
      <c r="A892"/>
    </row>
    <row r="893" spans="1:1" ht="15" x14ac:dyDescent="0.2">
      <c r="A893"/>
    </row>
    <row r="894" spans="1:1" ht="15" x14ac:dyDescent="0.2">
      <c r="A894"/>
    </row>
    <row r="895" spans="1:1" ht="15" x14ac:dyDescent="0.2">
      <c r="A895"/>
    </row>
    <row r="896" spans="1:1" ht="15" x14ac:dyDescent="0.2">
      <c r="A896"/>
    </row>
    <row r="897" spans="1:1" ht="15" x14ac:dyDescent="0.2">
      <c r="A897"/>
    </row>
    <row r="898" spans="1:1" ht="15" x14ac:dyDescent="0.2">
      <c r="A898"/>
    </row>
    <row r="899" spans="1:1" ht="15" x14ac:dyDescent="0.2">
      <c r="A899"/>
    </row>
    <row r="900" spans="1:1" ht="15" x14ac:dyDescent="0.2">
      <c r="A900"/>
    </row>
    <row r="901" spans="1:1" ht="15" x14ac:dyDescent="0.2">
      <c r="A901"/>
    </row>
    <row r="902" spans="1:1" ht="15" x14ac:dyDescent="0.2">
      <c r="A902"/>
    </row>
    <row r="903" spans="1:1" ht="15" x14ac:dyDescent="0.2">
      <c r="A903"/>
    </row>
    <row r="904" spans="1:1" ht="15" x14ac:dyDescent="0.2">
      <c r="A904"/>
    </row>
    <row r="905" spans="1:1" ht="15" x14ac:dyDescent="0.2">
      <c r="A905"/>
    </row>
    <row r="906" spans="1:1" ht="15" x14ac:dyDescent="0.2">
      <c r="A906"/>
    </row>
    <row r="907" spans="1:1" ht="15" x14ac:dyDescent="0.2">
      <c r="A907"/>
    </row>
    <row r="908" spans="1:1" ht="15" x14ac:dyDescent="0.2">
      <c r="A908"/>
    </row>
    <row r="909" spans="1:1" ht="15" x14ac:dyDescent="0.2">
      <c r="A909"/>
    </row>
    <row r="910" spans="1:1" ht="15" x14ac:dyDescent="0.2">
      <c r="A910"/>
    </row>
    <row r="911" spans="1:1" ht="15" x14ac:dyDescent="0.2">
      <c r="A911"/>
    </row>
    <row r="912" spans="1:1" ht="15" x14ac:dyDescent="0.2">
      <c r="A912"/>
    </row>
    <row r="913" spans="1:1" ht="15" x14ac:dyDescent="0.2">
      <c r="A913"/>
    </row>
    <row r="914" spans="1:1" ht="15" x14ac:dyDescent="0.2">
      <c r="A914"/>
    </row>
    <row r="915" spans="1:1" ht="15" x14ac:dyDescent="0.2">
      <c r="A915"/>
    </row>
    <row r="916" spans="1:1" ht="15" x14ac:dyDescent="0.2">
      <c r="A916"/>
    </row>
    <row r="917" spans="1:1" ht="15" x14ac:dyDescent="0.2">
      <c r="A917"/>
    </row>
    <row r="918" spans="1:1" ht="15" x14ac:dyDescent="0.2">
      <c r="A918"/>
    </row>
    <row r="919" spans="1:1" ht="15" x14ac:dyDescent="0.2">
      <c r="A919"/>
    </row>
    <row r="920" spans="1:1" ht="15" x14ac:dyDescent="0.2">
      <c r="A920"/>
    </row>
    <row r="921" spans="1:1" ht="15" x14ac:dyDescent="0.2">
      <c r="A921"/>
    </row>
    <row r="922" spans="1:1" ht="15" x14ac:dyDescent="0.2">
      <c r="A922"/>
    </row>
    <row r="923" spans="1:1" ht="15" x14ac:dyDescent="0.2">
      <c r="A923"/>
    </row>
    <row r="924" spans="1:1" ht="15" x14ac:dyDescent="0.2">
      <c r="A924"/>
    </row>
    <row r="925" spans="1:1" ht="15" x14ac:dyDescent="0.2">
      <c r="A925"/>
    </row>
    <row r="926" spans="1:1" ht="15" x14ac:dyDescent="0.2">
      <c r="A926"/>
    </row>
    <row r="927" spans="1:1" ht="15" x14ac:dyDescent="0.2">
      <c r="A927"/>
    </row>
    <row r="928" spans="1:1" ht="15" x14ac:dyDescent="0.2">
      <c r="A928"/>
    </row>
    <row r="929" spans="1:1" ht="15" x14ac:dyDescent="0.2">
      <c r="A929"/>
    </row>
    <row r="930" spans="1:1" ht="15" x14ac:dyDescent="0.2">
      <c r="A930"/>
    </row>
    <row r="931" spans="1:1" ht="15" x14ac:dyDescent="0.2">
      <c r="A931"/>
    </row>
    <row r="932" spans="1:1" ht="15" x14ac:dyDescent="0.2">
      <c r="A932"/>
    </row>
    <row r="933" spans="1:1" ht="15" x14ac:dyDescent="0.2">
      <c r="A933"/>
    </row>
    <row r="934" spans="1:1" ht="15" x14ac:dyDescent="0.2">
      <c r="A934"/>
    </row>
    <row r="935" spans="1:1" ht="15" x14ac:dyDescent="0.2">
      <c r="A935"/>
    </row>
    <row r="936" spans="1:1" ht="15" x14ac:dyDescent="0.2">
      <c r="A936"/>
    </row>
    <row r="937" spans="1:1" ht="15" x14ac:dyDescent="0.2">
      <c r="A937"/>
    </row>
    <row r="938" spans="1:1" ht="15" x14ac:dyDescent="0.2">
      <c r="A938"/>
    </row>
    <row r="939" spans="1:1" ht="15" x14ac:dyDescent="0.2">
      <c r="A939"/>
    </row>
    <row r="940" spans="1:1" ht="15" x14ac:dyDescent="0.2">
      <c r="A940"/>
    </row>
    <row r="941" spans="1:1" ht="15" x14ac:dyDescent="0.2">
      <c r="A941"/>
    </row>
    <row r="942" spans="1:1" ht="15" x14ac:dyDescent="0.2">
      <c r="A942"/>
    </row>
    <row r="943" spans="1:1" ht="15" x14ac:dyDescent="0.2">
      <c r="A943"/>
    </row>
    <row r="944" spans="1:1" ht="15" x14ac:dyDescent="0.2">
      <c r="A944"/>
    </row>
    <row r="945" spans="1:1" ht="15" x14ac:dyDescent="0.2">
      <c r="A945"/>
    </row>
    <row r="946" spans="1:1" ht="15" x14ac:dyDescent="0.2">
      <c r="A946"/>
    </row>
    <row r="947" spans="1:1" ht="15" x14ac:dyDescent="0.2">
      <c r="A947"/>
    </row>
    <row r="948" spans="1:1" ht="15" x14ac:dyDescent="0.2">
      <c r="A948"/>
    </row>
    <row r="949" spans="1:1" ht="15" x14ac:dyDescent="0.2">
      <c r="A949"/>
    </row>
    <row r="950" spans="1:1" ht="15" x14ac:dyDescent="0.2">
      <c r="A950"/>
    </row>
    <row r="951" spans="1:1" ht="15" x14ac:dyDescent="0.2">
      <c r="A951"/>
    </row>
    <row r="952" spans="1:1" ht="15" x14ac:dyDescent="0.2">
      <c r="A952"/>
    </row>
    <row r="953" spans="1:1" ht="15" x14ac:dyDescent="0.2">
      <c r="A953"/>
    </row>
    <row r="954" spans="1:1" ht="15" x14ac:dyDescent="0.2">
      <c r="A954"/>
    </row>
    <row r="955" spans="1:1" ht="15" x14ac:dyDescent="0.2">
      <c r="A955"/>
    </row>
    <row r="956" spans="1:1" ht="15" x14ac:dyDescent="0.2">
      <c r="A956"/>
    </row>
    <row r="957" spans="1:1" ht="15" x14ac:dyDescent="0.2">
      <c r="A957"/>
    </row>
    <row r="958" spans="1:1" ht="15" x14ac:dyDescent="0.2">
      <c r="A958"/>
    </row>
    <row r="959" spans="1:1" ht="15" x14ac:dyDescent="0.2">
      <c r="A959"/>
    </row>
    <row r="960" spans="1:1" ht="15" x14ac:dyDescent="0.2">
      <c r="A960"/>
    </row>
    <row r="961" spans="1:1" ht="15" x14ac:dyDescent="0.2">
      <c r="A961"/>
    </row>
    <row r="962" spans="1:1" ht="15" x14ac:dyDescent="0.2">
      <c r="A962"/>
    </row>
    <row r="963" spans="1:1" ht="15" x14ac:dyDescent="0.2">
      <c r="A963"/>
    </row>
    <row r="964" spans="1:1" ht="15" x14ac:dyDescent="0.2">
      <c r="A964"/>
    </row>
    <row r="965" spans="1:1" ht="15" x14ac:dyDescent="0.2">
      <c r="A965"/>
    </row>
    <row r="966" spans="1:1" ht="15" x14ac:dyDescent="0.2">
      <c r="A966"/>
    </row>
    <row r="967" spans="1:1" ht="15" x14ac:dyDescent="0.2">
      <c r="A967"/>
    </row>
    <row r="968" spans="1:1" ht="15" x14ac:dyDescent="0.2">
      <c r="A968"/>
    </row>
    <row r="969" spans="1:1" ht="15" x14ac:dyDescent="0.2">
      <c r="A969"/>
    </row>
    <row r="970" spans="1:1" ht="15" x14ac:dyDescent="0.2">
      <c r="A970"/>
    </row>
    <row r="971" spans="1:1" ht="15" x14ac:dyDescent="0.2">
      <c r="A971"/>
    </row>
    <row r="972" spans="1:1" ht="15" x14ac:dyDescent="0.2">
      <c r="A972"/>
    </row>
    <row r="973" spans="1:1" ht="15" x14ac:dyDescent="0.2">
      <c r="A973"/>
    </row>
    <row r="974" spans="1:1" ht="15" x14ac:dyDescent="0.2">
      <c r="A974"/>
    </row>
    <row r="975" spans="1:1" ht="15" x14ac:dyDescent="0.2">
      <c r="A975"/>
    </row>
    <row r="976" spans="1:1" ht="15" x14ac:dyDescent="0.2">
      <c r="A976"/>
    </row>
    <row r="977" spans="1:1" ht="15" x14ac:dyDescent="0.2">
      <c r="A977"/>
    </row>
    <row r="978" spans="1:1" ht="15" x14ac:dyDescent="0.2">
      <c r="A978"/>
    </row>
    <row r="979" spans="1:1" ht="15" x14ac:dyDescent="0.2">
      <c r="A979"/>
    </row>
    <row r="980" spans="1:1" ht="15" x14ac:dyDescent="0.2">
      <c r="A980"/>
    </row>
    <row r="981" spans="1:1" ht="15" x14ac:dyDescent="0.2">
      <c r="A981"/>
    </row>
    <row r="982" spans="1:1" ht="15" x14ac:dyDescent="0.2">
      <c r="A982"/>
    </row>
    <row r="983" spans="1:1" ht="15" x14ac:dyDescent="0.2">
      <c r="A983"/>
    </row>
    <row r="984" spans="1:1" ht="15" x14ac:dyDescent="0.2">
      <c r="A984"/>
    </row>
    <row r="985" spans="1:1" ht="15" x14ac:dyDescent="0.2">
      <c r="A985"/>
    </row>
    <row r="986" spans="1:1" ht="15" x14ac:dyDescent="0.2">
      <c r="A986"/>
    </row>
    <row r="987" spans="1:1" ht="15" x14ac:dyDescent="0.2">
      <c r="A987"/>
    </row>
    <row r="988" spans="1:1" ht="15" x14ac:dyDescent="0.2">
      <c r="A988"/>
    </row>
    <row r="989" spans="1:1" ht="15" x14ac:dyDescent="0.2">
      <c r="A989"/>
    </row>
    <row r="990" spans="1:1" ht="15" x14ac:dyDescent="0.2">
      <c r="A990"/>
    </row>
    <row r="991" spans="1:1" ht="15" x14ac:dyDescent="0.2">
      <c r="A991"/>
    </row>
    <row r="992" spans="1:1" ht="15" x14ac:dyDescent="0.2">
      <c r="A992"/>
    </row>
    <row r="993" spans="1:1" ht="15" x14ac:dyDescent="0.2">
      <c r="A993"/>
    </row>
    <row r="994" spans="1:1" ht="15" x14ac:dyDescent="0.2">
      <c r="A994"/>
    </row>
    <row r="995" spans="1:1" ht="15" x14ac:dyDescent="0.2">
      <c r="A995"/>
    </row>
    <row r="996" spans="1:1" ht="15" x14ac:dyDescent="0.2">
      <c r="A996"/>
    </row>
    <row r="997" spans="1:1" ht="15" x14ac:dyDescent="0.2">
      <c r="A997"/>
    </row>
    <row r="998" spans="1:1" ht="15" x14ac:dyDescent="0.2">
      <c r="A998"/>
    </row>
    <row r="999" spans="1:1" ht="15" x14ac:dyDescent="0.2">
      <c r="A999"/>
    </row>
    <row r="1000" spans="1:1" ht="15" x14ac:dyDescent="0.2">
      <c r="A1000"/>
    </row>
    <row r="1001" spans="1:1" ht="15" x14ac:dyDescent="0.2">
      <c r="A1001"/>
    </row>
    <row r="1002" spans="1:1" ht="15" x14ac:dyDescent="0.2">
      <c r="A1002"/>
    </row>
    <row r="1003" spans="1:1" ht="15" x14ac:dyDescent="0.2">
      <c r="A1003"/>
    </row>
    <row r="1004" spans="1:1" ht="15" x14ac:dyDescent="0.2">
      <c r="A1004"/>
    </row>
    <row r="1005" spans="1:1" ht="15" x14ac:dyDescent="0.2">
      <c r="A1005"/>
    </row>
    <row r="1006" spans="1:1" ht="15" x14ac:dyDescent="0.2">
      <c r="A1006"/>
    </row>
    <row r="1007" spans="1:1" ht="15" x14ac:dyDescent="0.2">
      <c r="A1007"/>
    </row>
    <row r="1008" spans="1:1" ht="15" x14ac:dyDescent="0.2">
      <c r="A1008"/>
    </row>
    <row r="1009" spans="1:1" ht="15" x14ac:dyDescent="0.2">
      <c r="A1009"/>
    </row>
    <row r="1010" spans="1:1" ht="15" x14ac:dyDescent="0.2">
      <c r="A1010"/>
    </row>
    <row r="1011" spans="1:1" ht="15" x14ac:dyDescent="0.2">
      <c r="A1011"/>
    </row>
    <row r="1012" spans="1:1" ht="15" x14ac:dyDescent="0.2">
      <c r="A1012"/>
    </row>
    <row r="1013" spans="1:1" ht="15" x14ac:dyDescent="0.2">
      <c r="A1013"/>
    </row>
    <row r="1014" spans="1:1" ht="15" x14ac:dyDescent="0.2">
      <c r="A1014"/>
    </row>
    <row r="1015" spans="1:1" ht="15" x14ac:dyDescent="0.2">
      <c r="A1015"/>
    </row>
    <row r="1016" spans="1:1" ht="15" x14ac:dyDescent="0.2">
      <c r="A1016"/>
    </row>
    <row r="1017" spans="1:1" ht="15" x14ac:dyDescent="0.2">
      <c r="A1017"/>
    </row>
    <row r="1018" spans="1:1" ht="15" x14ac:dyDescent="0.2">
      <c r="A1018"/>
    </row>
    <row r="1019" spans="1:1" ht="15" x14ac:dyDescent="0.2">
      <c r="A1019"/>
    </row>
    <row r="1020" spans="1:1" ht="15" x14ac:dyDescent="0.2">
      <c r="A1020"/>
    </row>
    <row r="1021" spans="1:1" ht="15" x14ac:dyDescent="0.2">
      <c r="A1021"/>
    </row>
    <row r="1022" spans="1:1" ht="15" x14ac:dyDescent="0.2">
      <c r="A1022"/>
    </row>
    <row r="1023" spans="1:1" ht="15" x14ac:dyDescent="0.2">
      <c r="A1023"/>
    </row>
    <row r="1024" spans="1:1" ht="15" x14ac:dyDescent="0.2">
      <c r="A1024"/>
    </row>
    <row r="1025" spans="1:1" ht="15" x14ac:dyDescent="0.2">
      <c r="A1025"/>
    </row>
    <row r="1026" spans="1:1" ht="15" x14ac:dyDescent="0.2">
      <c r="A1026"/>
    </row>
    <row r="1027" spans="1:1" ht="15" x14ac:dyDescent="0.2">
      <c r="A1027"/>
    </row>
    <row r="1028" spans="1:1" ht="15" x14ac:dyDescent="0.2">
      <c r="A1028"/>
    </row>
    <row r="1029" spans="1:1" ht="15" x14ac:dyDescent="0.2">
      <c r="A1029"/>
    </row>
    <row r="1030" spans="1:1" ht="15" x14ac:dyDescent="0.2">
      <c r="A1030"/>
    </row>
    <row r="1031" spans="1:1" ht="15" x14ac:dyDescent="0.2">
      <c r="A1031"/>
    </row>
    <row r="1032" spans="1:1" ht="15" x14ac:dyDescent="0.2">
      <c r="A1032"/>
    </row>
    <row r="1033" spans="1:1" ht="15" x14ac:dyDescent="0.2">
      <c r="A1033"/>
    </row>
    <row r="1034" spans="1:1" ht="15" x14ac:dyDescent="0.2">
      <c r="A1034"/>
    </row>
    <row r="1035" spans="1:1" ht="15" x14ac:dyDescent="0.2">
      <c r="A1035"/>
    </row>
    <row r="1036" spans="1:1" ht="15" x14ac:dyDescent="0.2">
      <c r="A1036"/>
    </row>
    <row r="1037" spans="1:1" ht="15" x14ac:dyDescent="0.2">
      <c r="A1037"/>
    </row>
    <row r="1038" spans="1:1" ht="15" x14ac:dyDescent="0.2">
      <c r="A1038"/>
    </row>
    <row r="1039" spans="1:1" ht="15" x14ac:dyDescent="0.2">
      <c r="A1039"/>
    </row>
    <row r="1040" spans="1:1" ht="15" x14ac:dyDescent="0.2">
      <c r="A1040"/>
    </row>
    <row r="1041" spans="1:1" ht="15" x14ac:dyDescent="0.2">
      <c r="A1041"/>
    </row>
    <row r="1042" spans="1:1" ht="15" x14ac:dyDescent="0.2">
      <c r="A1042"/>
    </row>
    <row r="1043" spans="1:1" ht="15" x14ac:dyDescent="0.2">
      <c r="A1043"/>
    </row>
    <row r="1044" spans="1:1" ht="15" x14ac:dyDescent="0.2">
      <c r="A1044"/>
    </row>
    <row r="1045" spans="1:1" ht="15" x14ac:dyDescent="0.2">
      <c r="A1045"/>
    </row>
    <row r="1046" spans="1:1" ht="15" x14ac:dyDescent="0.2">
      <c r="A1046"/>
    </row>
    <row r="1047" spans="1:1" ht="15" x14ac:dyDescent="0.2">
      <c r="A1047"/>
    </row>
    <row r="1048" spans="1:1" ht="15" x14ac:dyDescent="0.2">
      <c r="A1048"/>
    </row>
    <row r="1049" spans="1:1" ht="15" x14ac:dyDescent="0.2">
      <c r="A1049"/>
    </row>
    <row r="1050" spans="1:1" ht="15" x14ac:dyDescent="0.2">
      <c r="A1050"/>
    </row>
    <row r="1051" spans="1:1" ht="15" x14ac:dyDescent="0.2">
      <c r="A1051"/>
    </row>
    <row r="1052" spans="1:1" ht="15" x14ac:dyDescent="0.2">
      <c r="A1052"/>
    </row>
    <row r="1053" spans="1:1" ht="15" x14ac:dyDescent="0.2">
      <c r="A1053"/>
    </row>
    <row r="1054" spans="1:1" ht="15" x14ac:dyDescent="0.2">
      <c r="A1054"/>
    </row>
    <row r="1055" spans="1:1" ht="15" x14ac:dyDescent="0.2">
      <c r="A1055"/>
    </row>
    <row r="1056" spans="1:1" ht="15" x14ac:dyDescent="0.2">
      <c r="A1056"/>
    </row>
    <row r="1057" spans="1:1" ht="15" x14ac:dyDescent="0.2">
      <c r="A1057"/>
    </row>
    <row r="1058" spans="1:1" ht="15" x14ac:dyDescent="0.2">
      <c r="A1058"/>
    </row>
    <row r="1059" spans="1:1" ht="15" x14ac:dyDescent="0.2">
      <c r="A1059"/>
    </row>
    <row r="1060" spans="1:1" ht="15" x14ac:dyDescent="0.2">
      <c r="A1060"/>
    </row>
    <row r="1061" spans="1:1" ht="15" x14ac:dyDescent="0.2">
      <c r="A1061"/>
    </row>
    <row r="1062" spans="1:1" ht="15" x14ac:dyDescent="0.2">
      <c r="A1062"/>
    </row>
    <row r="1063" spans="1:1" ht="15" x14ac:dyDescent="0.2">
      <c r="A1063"/>
    </row>
    <row r="1064" spans="1:1" ht="15" x14ac:dyDescent="0.2">
      <c r="A1064"/>
    </row>
    <row r="1065" spans="1:1" ht="15" x14ac:dyDescent="0.2">
      <c r="A1065"/>
    </row>
    <row r="1066" spans="1:1" ht="15" x14ac:dyDescent="0.2">
      <c r="A1066"/>
    </row>
    <row r="1067" spans="1:1" ht="15" x14ac:dyDescent="0.2">
      <c r="A1067"/>
    </row>
    <row r="1068" spans="1:1" ht="15" x14ac:dyDescent="0.2">
      <c r="A1068"/>
    </row>
    <row r="1069" spans="1:1" ht="15" x14ac:dyDescent="0.2">
      <c r="A1069"/>
    </row>
    <row r="1070" spans="1:1" ht="15" x14ac:dyDescent="0.2">
      <c r="A1070"/>
    </row>
    <row r="1071" spans="1:1" ht="15" x14ac:dyDescent="0.2">
      <c r="A1071"/>
    </row>
    <row r="1072" spans="1:1" ht="15" x14ac:dyDescent="0.2">
      <c r="A1072"/>
    </row>
    <row r="1073" spans="1:1" ht="15" x14ac:dyDescent="0.2">
      <c r="A1073"/>
    </row>
    <row r="1074" spans="1:1" ht="15" x14ac:dyDescent="0.2">
      <c r="A1074"/>
    </row>
    <row r="1075" spans="1:1" ht="15" x14ac:dyDescent="0.2">
      <c r="A1075"/>
    </row>
    <row r="1076" spans="1:1" ht="15" x14ac:dyDescent="0.2">
      <c r="A1076"/>
    </row>
    <row r="1077" spans="1:1" ht="15" x14ac:dyDescent="0.2">
      <c r="A1077"/>
    </row>
    <row r="1078" spans="1:1" ht="15" x14ac:dyDescent="0.2">
      <c r="A1078"/>
    </row>
    <row r="1079" spans="1:1" ht="15" x14ac:dyDescent="0.2">
      <c r="A1079"/>
    </row>
    <row r="1080" spans="1:1" ht="15" x14ac:dyDescent="0.2">
      <c r="A1080"/>
    </row>
    <row r="1081" spans="1:1" ht="15" x14ac:dyDescent="0.2">
      <c r="A1081"/>
    </row>
    <row r="1082" spans="1:1" ht="15" x14ac:dyDescent="0.2">
      <c r="A1082"/>
    </row>
    <row r="1083" spans="1:1" ht="15" x14ac:dyDescent="0.2">
      <c r="A1083"/>
    </row>
    <row r="1084" spans="1:1" ht="15" x14ac:dyDescent="0.2">
      <c r="A1084"/>
    </row>
    <row r="1085" spans="1:1" ht="15" x14ac:dyDescent="0.2">
      <c r="A1085"/>
    </row>
    <row r="1086" spans="1:1" ht="15" x14ac:dyDescent="0.2">
      <c r="A1086"/>
    </row>
    <row r="1087" spans="1:1" ht="15" x14ac:dyDescent="0.2">
      <c r="A1087"/>
    </row>
    <row r="1088" spans="1:1" ht="15" x14ac:dyDescent="0.2">
      <c r="A1088"/>
    </row>
    <row r="1089" spans="1:1" ht="15" x14ac:dyDescent="0.2">
      <c r="A1089"/>
    </row>
    <row r="1090" spans="1:1" ht="15" x14ac:dyDescent="0.2">
      <c r="A1090"/>
    </row>
    <row r="1091" spans="1:1" ht="15" x14ac:dyDescent="0.2">
      <c r="A1091"/>
    </row>
    <row r="1092" spans="1:1" ht="15" x14ac:dyDescent="0.2">
      <c r="A1092"/>
    </row>
    <row r="1093" spans="1:1" ht="15" x14ac:dyDescent="0.2">
      <c r="A1093"/>
    </row>
    <row r="1094" spans="1:1" ht="15" x14ac:dyDescent="0.2">
      <c r="A1094"/>
    </row>
    <row r="1095" spans="1:1" ht="15" x14ac:dyDescent="0.2">
      <c r="A1095"/>
    </row>
    <row r="1096" spans="1:1" ht="15" x14ac:dyDescent="0.2">
      <c r="A1096"/>
    </row>
    <row r="1097" spans="1:1" ht="15" x14ac:dyDescent="0.2">
      <c r="A1097"/>
    </row>
    <row r="1098" spans="1:1" ht="15" x14ac:dyDescent="0.2">
      <c r="A1098"/>
    </row>
    <row r="1099" spans="1:1" ht="15" x14ac:dyDescent="0.2">
      <c r="A1099"/>
    </row>
    <row r="1100" spans="1:1" ht="15" x14ac:dyDescent="0.2">
      <c r="A1100"/>
    </row>
    <row r="1101" spans="1:1" ht="15" x14ac:dyDescent="0.2">
      <c r="A1101"/>
    </row>
    <row r="1102" spans="1:1" ht="15" x14ac:dyDescent="0.2">
      <c r="A1102"/>
    </row>
    <row r="1103" spans="1:1" ht="15" x14ac:dyDescent="0.2">
      <c r="A1103"/>
    </row>
    <row r="1104" spans="1:1" ht="15" x14ac:dyDescent="0.2">
      <c r="A1104"/>
    </row>
    <row r="1105" spans="1:1" ht="15" x14ac:dyDescent="0.2">
      <c r="A1105"/>
    </row>
    <row r="1106" spans="1:1" ht="15" x14ac:dyDescent="0.2">
      <c r="A1106"/>
    </row>
    <row r="1107" spans="1:1" ht="15" x14ac:dyDescent="0.2">
      <c r="A1107"/>
    </row>
    <row r="1108" spans="1:1" ht="15" x14ac:dyDescent="0.2">
      <c r="A1108"/>
    </row>
    <row r="1109" spans="1:1" ht="15" x14ac:dyDescent="0.2">
      <c r="A1109"/>
    </row>
    <row r="1110" spans="1:1" ht="15" x14ac:dyDescent="0.2">
      <c r="A1110"/>
    </row>
    <row r="1111" spans="1:1" ht="15" x14ac:dyDescent="0.2">
      <c r="A1111"/>
    </row>
    <row r="1112" spans="1:1" ht="15" x14ac:dyDescent="0.2">
      <c r="A1112"/>
    </row>
    <row r="1113" spans="1:1" ht="15" x14ac:dyDescent="0.2">
      <c r="A1113"/>
    </row>
    <row r="1114" spans="1:1" ht="15" x14ac:dyDescent="0.2">
      <c r="A1114"/>
    </row>
    <row r="1115" spans="1:1" ht="15" x14ac:dyDescent="0.2">
      <c r="A1115"/>
    </row>
    <row r="1116" spans="1:1" ht="15" x14ac:dyDescent="0.2">
      <c r="A1116"/>
    </row>
    <row r="1117" spans="1:1" ht="15" x14ac:dyDescent="0.2">
      <c r="A1117"/>
    </row>
    <row r="1118" spans="1:1" ht="15" x14ac:dyDescent="0.2">
      <c r="A1118"/>
    </row>
    <row r="1119" spans="1:1" ht="15" x14ac:dyDescent="0.2">
      <c r="A1119"/>
    </row>
    <row r="1120" spans="1:1" ht="15" x14ac:dyDescent="0.2">
      <c r="A1120"/>
    </row>
    <row r="1121" spans="1:1" ht="15" x14ac:dyDescent="0.2">
      <c r="A1121"/>
    </row>
    <row r="1122" spans="1:1" ht="15" x14ac:dyDescent="0.2">
      <c r="A1122"/>
    </row>
    <row r="1123" spans="1:1" ht="15" x14ac:dyDescent="0.2">
      <c r="A1123"/>
    </row>
    <row r="1124" spans="1:1" ht="15" x14ac:dyDescent="0.2">
      <c r="A1124"/>
    </row>
    <row r="1125" spans="1:1" ht="15" x14ac:dyDescent="0.2">
      <c r="A1125"/>
    </row>
    <row r="1126" spans="1:1" ht="15" x14ac:dyDescent="0.2">
      <c r="A1126"/>
    </row>
    <row r="1127" spans="1:1" ht="15" x14ac:dyDescent="0.2">
      <c r="A1127"/>
    </row>
    <row r="1128" spans="1:1" ht="15" x14ac:dyDescent="0.2">
      <c r="A1128"/>
    </row>
    <row r="1129" spans="1:1" ht="15" x14ac:dyDescent="0.2">
      <c r="A1129"/>
    </row>
    <row r="1130" spans="1:1" ht="15" x14ac:dyDescent="0.2">
      <c r="A1130"/>
    </row>
    <row r="1131" spans="1:1" ht="15" x14ac:dyDescent="0.2">
      <c r="A1131"/>
    </row>
    <row r="1132" spans="1:1" ht="15" x14ac:dyDescent="0.2">
      <c r="A1132"/>
    </row>
    <row r="1133" spans="1:1" ht="15" x14ac:dyDescent="0.2">
      <c r="A1133"/>
    </row>
    <row r="1134" spans="1:1" ht="15" x14ac:dyDescent="0.2">
      <c r="A1134"/>
    </row>
    <row r="1135" spans="1:1" ht="15" x14ac:dyDescent="0.2">
      <c r="A1135"/>
    </row>
    <row r="1136" spans="1:1" ht="15" x14ac:dyDescent="0.2">
      <c r="A1136"/>
    </row>
    <row r="1137" spans="1:1" ht="15" x14ac:dyDescent="0.2">
      <c r="A1137"/>
    </row>
    <row r="1138" spans="1:1" ht="15" x14ac:dyDescent="0.2">
      <c r="A1138"/>
    </row>
    <row r="1139" spans="1:1" ht="15" x14ac:dyDescent="0.2">
      <c r="A1139"/>
    </row>
    <row r="1140" spans="1:1" ht="15" x14ac:dyDescent="0.2">
      <c r="A1140"/>
    </row>
    <row r="1141" spans="1:1" ht="15" x14ac:dyDescent="0.2">
      <c r="A1141"/>
    </row>
    <row r="1142" spans="1:1" ht="15" x14ac:dyDescent="0.2">
      <c r="A1142"/>
    </row>
    <row r="1143" spans="1:1" ht="15" x14ac:dyDescent="0.2">
      <c r="A1143"/>
    </row>
    <row r="1144" spans="1:1" ht="15" x14ac:dyDescent="0.2">
      <c r="A1144"/>
    </row>
    <row r="1145" spans="1:1" ht="15" x14ac:dyDescent="0.2">
      <c r="A1145"/>
    </row>
    <row r="1146" spans="1:1" ht="15" x14ac:dyDescent="0.2">
      <c r="A1146"/>
    </row>
    <row r="1147" spans="1:1" ht="15" x14ac:dyDescent="0.2">
      <c r="A1147"/>
    </row>
    <row r="1148" spans="1:1" ht="15" x14ac:dyDescent="0.2">
      <c r="A1148"/>
    </row>
    <row r="1149" spans="1:1" ht="15" x14ac:dyDescent="0.2">
      <c r="A1149"/>
    </row>
    <row r="1150" spans="1:1" ht="15" x14ac:dyDescent="0.2">
      <c r="A1150"/>
    </row>
    <row r="1151" spans="1:1" ht="15" x14ac:dyDescent="0.2">
      <c r="A1151"/>
    </row>
    <row r="1152" spans="1:1" ht="15" x14ac:dyDescent="0.2">
      <c r="A1152"/>
    </row>
    <row r="1153" spans="1:1" ht="15" x14ac:dyDescent="0.2">
      <c r="A1153"/>
    </row>
    <row r="1154" spans="1:1" ht="15" x14ac:dyDescent="0.2">
      <c r="A1154"/>
    </row>
    <row r="1155" spans="1:1" ht="15" x14ac:dyDescent="0.2">
      <c r="A1155"/>
    </row>
    <row r="1156" spans="1:1" ht="15" x14ac:dyDescent="0.2">
      <c r="A1156"/>
    </row>
    <row r="1157" spans="1:1" ht="15" x14ac:dyDescent="0.2">
      <c r="A1157"/>
    </row>
    <row r="1158" spans="1:1" ht="15" x14ac:dyDescent="0.2">
      <c r="A1158"/>
    </row>
    <row r="1159" spans="1:1" ht="15" x14ac:dyDescent="0.2">
      <c r="A1159"/>
    </row>
    <row r="1160" spans="1:1" ht="15" x14ac:dyDescent="0.2">
      <c r="A1160"/>
    </row>
    <row r="1161" spans="1:1" ht="15" x14ac:dyDescent="0.2">
      <c r="A1161"/>
    </row>
    <row r="1162" spans="1:1" ht="15" x14ac:dyDescent="0.2">
      <c r="A1162"/>
    </row>
    <row r="1163" spans="1:1" ht="15" x14ac:dyDescent="0.2">
      <c r="A1163"/>
    </row>
    <row r="1164" spans="1:1" ht="15" x14ac:dyDescent="0.2">
      <c r="A1164"/>
    </row>
    <row r="1165" spans="1:1" ht="15" x14ac:dyDescent="0.2">
      <c r="A1165"/>
    </row>
    <row r="1166" spans="1:1" ht="15" x14ac:dyDescent="0.2">
      <c r="A1166"/>
    </row>
    <row r="1167" spans="1:1" ht="15" x14ac:dyDescent="0.2">
      <c r="A1167"/>
    </row>
    <row r="1168" spans="1:1" ht="15" x14ac:dyDescent="0.2">
      <c r="A1168"/>
    </row>
    <row r="1169" spans="1:1" ht="15" x14ac:dyDescent="0.2">
      <c r="A1169"/>
    </row>
    <row r="1170" spans="1:1" ht="15" x14ac:dyDescent="0.2">
      <c r="A1170"/>
    </row>
    <row r="1171" spans="1:1" ht="15" x14ac:dyDescent="0.2">
      <c r="A1171"/>
    </row>
    <row r="1172" spans="1:1" ht="15" x14ac:dyDescent="0.2">
      <c r="A1172"/>
    </row>
    <row r="1173" spans="1:1" ht="15" x14ac:dyDescent="0.2">
      <c r="A1173"/>
    </row>
    <row r="1174" spans="1:1" ht="15" x14ac:dyDescent="0.2">
      <c r="A1174"/>
    </row>
    <row r="1175" spans="1:1" ht="15" x14ac:dyDescent="0.2">
      <c r="A1175"/>
    </row>
    <row r="1176" spans="1:1" ht="15" x14ac:dyDescent="0.2">
      <c r="A1176"/>
    </row>
    <row r="1177" spans="1:1" ht="15" x14ac:dyDescent="0.2">
      <c r="A1177"/>
    </row>
    <row r="1178" spans="1:1" ht="15" x14ac:dyDescent="0.2">
      <c r="A1178"/>
    </row>
    <row r="1179" spans="1:1" ht="15" x14ac:dyDescent="0.2">
      <c r="A1179"/>
    </row>
    <row r="1180" spans="1:1" ht="15" x14ac:dyDescent="0.2">
      <c r="A1180"/>
    </row>
    <row r="1181" spans="1:1" ht="15" x14ac:dyDescent="0.2">
      <c r="A1181"/>
    </row>
    <row r="1182" spans="1:1" ht="15" x14ac:dyDescent="0.2">
      <c r="A1182"/>
    </row>
    <row r="1183" spans="1:1" ht="15" x14ac:dyDescent="0.2">
      <c r="A1183"/>
    </row>
    <row r="1184" spans="1:1" ht="15" x14ac:dyDescent="0.2">
      <c r="A1184"/>
    </row>
    <row r="1185" spans="1:1" ht="15" x14ac:dyDescent="0.2">
      <c r="A1185"/>
    </row>
    <row r="1186" spans="1:1" ht="15" x14ac:dyDescent="0.2">
      <c r="A1186"/>
    </row>
    <row r="1187" spans="1:1" ht="15" x14ac:dyDescent="0.2">
      <c r="A1187"/>
    </row>
    <row r="1188" spans="1:1" ht="15" x14ac:dyDescent="0.2">
      <c r="A1188"/>
    </row>
    <row r="1189" spans="1:1" ht="15" x14ac:dyDescent="0.2">
      <c r="A1189"/>
    </row>
    <row r="1190" spans="1:1" ht="15" x14ac:dyDescent="0.2">
      <c r="A1190"/>
    </row>
    <row r="1191" spans="1:1" ht="15" x14ac:dyDescent="0.2">
      <c r="A1191"/>
    </row>
    <row r="1192" spans="1:1" ht="15" x14ac:dyDescent="0.2">
      <c r="A1192"/>
    </row>
    <row r="1193" spans="1:1" ht="15" x14ac:dyDescent="0.2">
      <c r="A1193"/>
    </row>
    <row r="1194" spans="1:1" ht="15" x14ac:dyDescent="0.2">
      <c r="A1194"/>
    </row>
    <row r="1195" spans="1:1" ht="15" x14ac:dyDescent="0.2">
      <c r="A1195"/>
    </row>
    <row r="1196" spans="1:1" ht="15" x14ac:dyDescent="0.2">
      <c r="A1196"/>
    </row>
    <row r="1197" spans="1:1" ht="15" x14ac:dyDescent="0.2">
      <c r="A1197"/>
    </row>
    <row r="1198" spans="1:1" ht="15" x14ac:dyDescent="0.2">
      <c r="A1198"/>
    </row>
    <row r="1199" spans="1:1" ht="15" x14ac:dyDescent="0.2">
      <c r="A1199"/>
    </row>
    <row r="1200" spans="1:1" ht="15" x14ac:dyDescent="0.2">
      <c r="A1200"/>
    </row>
    <row r="1201" spans="1:1" ht="15" x14ac:dyDescent="0.2">
      <c r="A1201"/>
    </row>
    <row r="1202" spans="1:1" ht="15" x14ac:dyDescent="0.2">
      <c r="A1202"/>
    </row>
    <row r="1203" spans="1:1" ht="15" x14ac:dyDescent="0.2">
      <c r="A1203"/>
    </row>
    <row r="1204" spans="1:1" ht="15" x14ac:dyDescent="0.2">
      <c r="A1204"/>
    </row>
    <row r="1205" spans="1:1" ht="15" x14ac:dyDescent="0.2">
      <c r="A1205"/>
    </row>
    <row r="1206" spans="1:1" ht="15" x14ac:dyDescent="0.2">
      <c r="A1206"/>
    </row>
    <row r="1207" spans="1:1" ht="15" x14ac:dyDescent="0.2">
      <c r="A1207"/>
    </row>
    <row r="1208" spans="1:1" ht="15" x14ac:dyDescent="0.2">
      <c r="A1208"/>
    </row>
    <row r="1209" spans="1:1" ht="15" x14ac:dyDescent="0.2">
      <c r="A1209"/>
    </row>
    <row r="1210" spans="1:1" ht="15" x14ac:dyDescent="0.2">
      <c r="A1210"/>
    </row>
    <row r="1211" spans="1:1" ht="15" x14ac:dyDescent="0.2">
      <c r="A1211"/>
    </row>
    <row r="1212" spans="1:1" ht="15" x14ac:dyDescent="0.2">
      <c r="A1212"/>
    </row>
    <row r="1213" spans="1:1" ht="15" x14ac:dyDescent="0.2">
      <c r="A1213"/>
    </row>
    <row r="1214" spans="1:1" ht="15" x14ac:dyDescent="0.2">
      <c r="A1214"/>
    </row>
    <row r="1215" spans="1:1" ht="15" x14ac:dyDescent="0.2">
      <c r="A1215"/>
    </row>
    <row r="1216" spans="1:1" ht="15" x14ac:dyDescent="0.2">
      <c r="A1216"/>
    </row>
    <row r="1217" spans="1:1" ht="15" x14ac:dyDescent="0.2">
      <c r="A1217"/>
    </row>
    <row r="1218" spans="1:1" ht="15" x14ac:dyDescent="0.2">
      <c r="A1218"/>
    </row>
    <row r="1219" spans="1:1" ht="15" x14ac:dyDescent="0.2">
      <c r="A1219"/>
    </row>
    <row r="1220" spans="1:1" ht="15" x14ac:dyDescent="0.2">
      <c r="A1220"/>
    </row>
    <row r="1221" spans="1:1" ht="15" x14ac:dyDescent="0.2">
      <c r="A1221"/>
    </row>
    <row r="1222" spans="1:1" ht="15" x14ac:dyDescent="0.2">
      <c r="A1222"/>
    </row>
    <row r="1223" spans="1:1" ht="15" x14ac:dyDescent="0.2">
      <c r="A1223"/>
    </row>
    <row r="1224" spans="1:1" ht="15" x14ac:dyDescent="0.2">
      <c r="A1224"/>
    </row>
    <row r="1225" spans="1:1" ht="15" x14ac:dyDescent="0.2">
      <c r="A1225"/>
    </row>
    <row r="1226" spans="1:1" ht="15" x14ac:dyDescent="0.2">
      <c r="A1226"/>
    </row>
    <row r="1227" spans="1:1" ht="15" x14ac:dyDescent="0.2">
      <c r="A1227"/>
    </row>
    <row r="1228" spans="1:1" ht="15" x14ac:dyDescent="0.2">
      <c r="A1228"/>
    </row>
    <row r="1229" spans="1:1" ht="15" x14ac:dyDescent="0.2">
      <c r="A1229"/>
    </row>
    <row r="1230" spans="1:1" ht="15" x14ac:dyDescent="0.2">
      <c r="A1230"/>
    </row>
    <row r="1231" spans="1:1" ht="15" x14ac:dyDescent="0.2">
      <c r="A1231"/>
    </row>
    <row r="1232" spans="1:1" ht="15" x14ac:dyDescent="0.2">
      <c r="A1232"/>
    </row>
    <row r="1233" spans="1:1" ht="15" x14ac:dyDescent="0.2">
      <c r="A1233"/>
    </row>
    <row r="1234" spans="1:1" ht="15" x14ac:dyDescent="0.2">
      <c r="A1234"/>
    </row>
    <row r="1235" spans="1:1" ht="15" x14ac:dyDescent="0.2">
      <c r="A1235"/>
    </row>
    <row r="1236" spans="1:1" ht="15" x14ac:dyDescent="0.2">
      <c r="A1236"/>
    </row>
    <row r="1237" spans="1:1" ht="15" x14ac:dyDescent="0.2">
      <c r="A1237"/>
    </row>
    <row r="1238" spans="1:1" ht="15" x14ac:dyDescent="0.2">
      <c r="A1238"/>
    </row>
    <row r="1239" spans="1:1" ht="15" x14ac:dyDescent="0.2">
      <c r="A1239"/>
    </row>
    <row r="1240" spans="1:1" ht="15" x14ac:dyDescent="0.2">
      <c r="A1240"/>
    </row>
    <row r="1241" spans="1:1" ht="15" x14ac:dyDescent="0.2">
      <c r="A1241"/>
    </row>
    <row r="1242" spans="1:1" ht="15" x14ac:dyDescent="0.2">
      <c r="A1242"/>
    </row>
    <row r="1243" spans="1:1" ht="15" x14ac:dyDescent="0.2">
      <c r="A1243"/>
    </row>
    <row r="1244" spans="1:1" ht="15" x14ac:dyDescent="0.2">
      <c r="A1244"/>
    </row>
    <row r="1245" spans="1:1" ht="15" x14ac:dyDescent="0.2">
      <c r="A1245"/>
    </row>
    <row r="1246" spans="1:1" ht="15" x14ac:dyDescent="0.2">
      <c r="A1246"/>
    </row>
    <row r="1247" spans="1:1" ht="15" x14ac:dyDescent="0.2">
      <c r="A1247"/>
    </row>
    <row r="1248" spans="1:1" ht="15" x14ac:dyDescent="0.2">
      <c r="A1248"/>
    </row>
    <row r="1249" spans="1:1" ht="15" x14ac:dyDescent="0.2">
      <c r="A1249"/>
    </row>
    <row r="1250" spans="1:1" ht="15" x14ac:dyDescent="0.2">
      <c r="A1250"/>
    </row>
    <row r="1251" spans="1:1" ht="15" x14ac:dyDescent="0.2">
      <c r="A1251"/>
    </row>
    <row r="1252" spans="1:1" ht="15" x14ac:dyDescent="0.2">
      <c r="A1252"/>
    </row>
    <row r="1253" spans="1:1" ht="15" x14ac:dyDescent="0.2">
      <c r="A1253"/>
    </row>
    <row r="1254" spans="1:1" ht="15" x14ac:dyDescent="0.2">
      <c r="A1254"/>
    </row>
    <row r="1255" spans="1:1" ht="15" x14ac:dyDescent="0.2">
      <c r="A1255"/>
    </row>
    <row r="1256" spans="1:1" ht="15" x14ac:dyDescent="0.2">
      <c r="A1256"/>
    </row>
    <row r="1257" spans="1:1" ht="15" x14ac:dyDescent="0.2">
      <c r="A1257"/>
    </row>
    <row r="1258" spans="1:1" ht="15" x14ac:dyDescent="0.2">
      <c r="A1258"/>
    </row>
    <row r="1259" spans="1:1" ht="15" x14ac:dyDescent="0.2">
      <c r="A1259"/>
    </row>
    <row r="1260" spans="1:1" ht="15" x14ac:dyDescent="0.2">
      <c r="A1260"/>
    </row>
    <row r="1261" spans="1:1" ht="15" x14ac:dyDescent="0.2">
      <c r="A1261"/>
    </row>
    <row r="1262" spans="1:1" ht="15" x14ac:dyDescent="0.2">
      <c r="A1262"/>
    </row>
    <row r="1263" spans="1:1" ht="15" x14ac:dyDescent="0.2">
      <c r="A1263"/>
    </row>
    <row r="1264" spans="1:1" ht="15" x14ac:dyDescent="0.2">
      <c r="A1264"/>
    </row>
    <row r="1265" spans="1:1" ht="15" x14ac:dyDescent="0.2">
      <c r="A1265"/>
    </row>
    <row r="1266" spans="1:1" ht="15" x14ac:dyDescent="0.2">
      <c r="A1266"/>
    </row>
    <row r="1267" spans="1:1" ht="15" x14ac:dyDescent="0.2">
      <c r="A1267"/>
    </row>
    <row r="1268" spans="1:1" ht="15" x14ac:dyDescent="0.2">
      <c r="A1268"/>
    </row>
    <row r="1269" spans="1:1" ht="15" x14ac:dyDescent="0.2">
      <c r="A1269"/>
    </row>
    <row r="1270" spans="1:1" ht="15" x14ac:dyDescent="0.2">
      <c r="A1270"/>
    </row>
    <row r="1271" spans="1:1" ht="15" x14ac:dyDescent="0.2">
      <c r="A1271"/>
    </row>
    <row r="1272" spans="1:1" ht="15" x14ac:dyDescent="0.2">
      <c r="A1272"/>
    </row>
    <row r="1273" spans="1:1" ht="15" x14ac:dyDescent="0.2">
      <c r="A1273"/>
    </row>
    <row r="1274" spans="1:1" ht="15" x14ac:dyDescent="0.2">
      <c r="A1274"/>
    </row>
    <row r="1275" spans="1:1" ht="15" x14ac:dyDescent="0.2">
      <c r="A1275"/>
    </row>
    <row r="1276" spans="1:1" ht="15" x14ac:dyDescent="0.2">
      <c r="A1276"/>
    </row>
    <row r="1277" spans="1:1" ht="15" x14ac:dyDescent="0.2">
      <c r="A1277"/>
    </row>
    <row r="1278" spans="1:1" ht="15" x14ac:dyDescent="0.2">
      <c r="A1278"/>
    </row>
    <row r="1279" spans="1:1" ht="15" x14ac:dyDescent="0.2">
      <c r="A1279"/>
    </row>
    <row r="1280" spans="1:1" ht="15" x14ac:dyDescent="0.2">
      <c r="A1280"/>
    </row>
    <row r="1281" spans="1:1" ht="15" x14ac:dyDescent="0.2">
      <c r="A1281"/>
    </row>
    <row r="1282" spans="1:1" ht="15" x14ac:dyDescent="0.2">
      <c r="A1282"/>
    </row>
    <row r="1283" spans="1:1" ht="15" x14ac:dyDescent="0.2">
      <c r="A1283"/>
    </row>
    <row r="1284" spans="1:1" ht="15" x14ac:dyDescent="0.2">
      <c r="A1284"/>
    </row>
    <row r="1285" spans="1:1" ht="15" x14ac:dyDescent="0.2">
      <c r="A1285"/>
    </row>
    <row r="1286" spans="1:1" ht="15" x14ac:dyDescent="0.2">
      <c r="A1286"/>
    </row>
    <row r="1287" spans="1:1" ht="15" x14ac:dyDescent="0.2">
      <c r="A1287"/>
    </row>
    <row r="1288" spans="1:1" ht="15" x14ac:dyDescent="0.2">
      <c r="A1288"/>
    </row>
    <row r="1289" spans="1:1" ht="15" x14ac:dyDescent="0.2">
      <c r="A1289"/>
    </row>
    <row r="1290" spans="1:1" ht="15" x14ac:dyDescent="0.2">
      <c r="A1290"/>
    </row>
    <row r="1291" spans="1:1" ht="15" x14ac:dyDescent="0.2">
      <c r="A1291"/>
    </row>
    <row r="1292" spans="1:1" ht="15" x14ac:dyDescent="0.2">
      <c r="A1292"/>
    </row>
    <row r="1293" spans="1:1" ht="15" x14ac:dyDescent="0.2">
      <c r="A1293"/>
    </row>
    <row r="1294" spans="1:1" ht="15" x14ac:dyDescent="0.2">
      <c r="A1294"/>
    </row>
    <row r="1295" spans="1:1" ht="15" x14ac:dyDescent="0.2">
      <c r="A1295"/>
    </row>
    <row r="1296" spans="1:1" ht="15" x14ac:dyDescent="0.2">
      <c r="A1296"/>
    </row>
    <row r="1297" spans="1:1" ht="15" x14ac:dyDescent="0.2">
      <c r="A1297"/>
    </row>
    <row r="1298" spans="1:1" ht="15" x14ac:dyDescent="0.2">
      <c r="A1298"/>
    </row>
    <row r="1299" spans="1:1" ht="15" x14ac:dyDescent="0.2">
      <c r="A1299"/>
    </row>
    <row r="1300" spans="1:1" ht="15" x14ac:dyDescent="0.2">
      <c r="A1300"/>
    </row>
    <row r="1301" spans="1:1" ht="15" x14ac:dyDescent="0.2">
      <c r="A1301"/>
    </row>
    <row r="1302" spans="1:1" ht="15" x14ac:dyDescent="0.2">
      <c r="A1302"/>
    </row>
    <row r="1303" spans="1:1" ht="15" x14ac:dyDescent="0.2">
      <c r="A1303"/>
    </row>
    <row r="1304" spans="1:1" ht="15" x14ac:dyDescent="0.2">
      <c r="A1304"/>
    </row>
    <row r="1305" spans="1:1" ht="15" x14ac:dyDescent="0.2">
      <c r="A1305"/>
    </row>
    <row r="1306" spans="1:1" ht="15" x14ac:dyDescent="0.2">
      <c r="A1306"/>
    </row>
    <row r="1307" spans="1:1" ht="15" x14ac:dyDescent="0.2">
      <c r="A1307"/>
    </row>
    <row r="1308" spans="1:1" ht="15" x14ac:dyDescent="0.2">
      <c r="A1308"/>
    </row>
    <row r="1309" spans="1:1" ht="15" x14ac:dyDescent="0.2">
      <c r="A1309"/>
    </row>
    <row r="1310" spans="1:1" ht="15" x14ac:dyDescent="0.2">
      <c r="A1310"/>
    </row>
    <row r="1311" spans="1:1" ht="15" x14ac:dyDescent="0.2">
      <c r="A1311"/>
    </row>
    <row r="1312" spans="1:1" ht="15" x14ac:dyDescent="0.2">
      <c r="A1312"/>
    </row>
    <row r="1313" spans="1:1" ht="15" x14ac:dyDescent="0.2">
      <c r="A1313"/>
    </row>
    <row r="1314" spans="1:1" ht="15" x14ac:dyDescent="0.2">
      <c r="A1314"/>
    </row>
    <row r="1315" spans="1:1" ht="15" x14ac:dyDescent="0.2">
      <c r="A1315"/>
    </row>
    <row r="1316" spans="1:1" ht="15" x14ac:dyDescent="0.2">
      <c r="A1316"/>
    </row>
    <row r="1317" spans="1:1" ht="15" x14ac:dyDescent="0.2">
      <c r="A1317"/>
    </row>
    <row r="1318" spans="1:1" ht="15" x14ac:dyDescent="0.2">
      <c r="A1318"/>
    </row>
    <row r="1319" spans="1:1" ht="15" x14ac:dyDescent="0.2">
      <c r="A1319"/>
    </row>
    <row r="1320" spans="1:1" ht="15" x14ac:dyDescent="0.2">
      <c r="A1320"/>
    </row>
    <row r="1321" spans="1:1" ht="15" x14ac:dyDescent="0.2">
      <c r="A1321"/>
    </row>
    <row r="1322" spans="1:1" ht="15" x14ac:dyDescent="0.2">
      <c r="A1322"/>
    </row>
    <row r="1323" spans="1:1" ht="15" x14ac:dyDescent="0.2">
      <c r="A1323"/>
    </row>
    <row r="1324" spans="1:1" ht="15" x14ac:dyDescent="0.2">
      <c r="A1324"/>
    </row>
    <row r="1325" spans="1:1" ht="15" x14ac:dyDescent="0.2">
      <c r="A1325"/>
    </row>
    <row r="1326" spans="1:1" ht="15" x14ac:dyDescent="0.2">
      <c r="A1326"/>
    </row>
    <row r="1327" spans="1:1" ht="15" x14ac:dyDescent="0.2">
      <c r="A1327"/>
    </row>
    <row r="1328" spans="1:1" ht="15" x14ac:dyDescent="0.2">
      <c r="A1328"/>
    </row>
    <row r="1329" spans="1:1" ht="15" x14ac:dyDescent="0.2">
      <c r="A1329"/>
    </row>
    <row r="1330" spans="1:1" ht="15" x14ac:dyDescent="0.2">
      <c r="A1330"/>
    </row>
    <row r="1331" spans="1:1" ht="15" x14ac:dyDescent="0.2">
      <c r="A1331"/>
    </row>
    <row r="1332" spans="1:1" ht="15" x14ac:dyDescent="0.2">
      <c r="A1332"/>
    </row>
    <row r="1333" spans="1:1" ht="15" x14ac:dyDescent="0.2">
      <c r="A1333"/>
    </row>
    <row r="1334" spans="1:1" ht="15" x14ac:dyDescent="0.2">
      <c r="A1334"/>
    </row>
    <row r="1335" spans="1:1" ht="15" x14ac:dyDescent="0.2">
      <c r="A1335"/>
    </row>
    <row r="1336" spans="1:1" ht="15" x14ac:dyDescent="0.2">
      <c r="A1336"/>
    </row>
    <row r="1337" spans="1:1" ht="15" x14ac:dyDescent="0.2">
      <c r="A1337"/>
    </row>
    <row r="1338" spans="1:1" ht="15" x14ac:dyDescent="0.2">
      <c r="A1338"/>
    </row>
    <row r="1339" spans="1:1" ht="15" x14ac:dyDescent="0.2">
      <c r="A1339"/>
    </row>
    <row r="1340" spans="1:1" ht="15" x14ac:dyDescent="0.2">
      <c r="A1340"/>
    </row>
    <row r="1341" spans="1:1" ht="15" x14ac:dyDescent="0.2">
      <c r="A1341"/>
    </row>
    <row r="1342" spans="1:1" ht="15" x14ac:dyDescent="0.2">
      <c r="A1342"/>
    </row>
    <row r="1343" spans="1:1" ht="15" x14ac:dyDescent="0.2">
      <c r="A1343"/>
    </row>
    <row r="1344" spans="1:1" ht="15" x14ac:dyDescent="0.2">
      <c r="A1344"/>
    </row>
    <row r="1345" spans="1:1" ht="15" x14ac:dyDescent="0.2">
      <c r="A1345"/>
    </row>
    <row r="1346" spans="1:1" ht="15" x14ac:dyDescent="0.2">
      <c r="A1346"/>
    </row>
    <row r="1347" spans="1:1" ht="15" x14ac:dyDescent="0.2">
      <c r="A1347"/>
    </row>
    <row r="1348" spans="1:1" ht="15" x14ac:dyDescent="0.2">
      <c r="A1348"/>
    </row>
    <row r="1349" spans="1:1" ht="15" x14ac:dyDescent="0.2">
      <c r="A1349"/>
    </row>
    <row r="1350" spans="1:1" ht="15" x14ac:dyDescent="0.2">
      <c r="A1350"/>
    </row>
    <row r="1351" spans="1:1" ht="15" x14ac:dyDescent="0.2">
      <c r="A1351"/>
    </row>
    <row r="1352" spans="1:1" ht="15" x14ac:dyDescent="0.2">
      <c r="A1352"/>
    </row>
    <row r="1353" spans="1:1" ht="15" x14ac:dyDescent="0.2">
      <c r="A1353"/>
    </row>
    <row r="1354" spans="1:1" ht="15" x14ac:dyDescent="0.2">
      <c r="A1354"/>
    </row>
    <row r="1355" spans="1:1" ht="15" x14ac:dyDescent="0.2">
      <c r="A1355"/>
    </row>
    <row r="1356" spans="1:1" ht="15" x14ac:dyDescent="0.2">
      <c r="A1356"/>
    </row>
    <row r="1357" spans="1:1" ht="15" x14ac:dyDescent="0.2">
      <c r="A1357"/>
    </row>
    <row r="1358" spans="1:1" ht="15" x14ac:dyDescent="0.2">
      <c r="A1358"/>
    </row>
    <row r="1359" spans="1:1" ht="15" x14ac:dyDescent="0.2">
      <c r="A1359"/>
    </row>
    <row r="1360" spans="1:1" ht="15" x14ac:dyDescent="0.2">
      <c r="A1360"/>
    </row>
    <row r="1361" spans="1:1" ht="15" x14ac:dyDescent="0.2">
      <c r="A1361"/>
    </row>
    <row r="1362" spans="1:1" ht="15" x14ac:dyDescent="0.2">
      <c r="A1362"/>
    </row>
    <row r="1363" spans="1:1" ht="15" x14ac:dyDescent="0.2">
      <c r="A1363"/>
    </row>
    <row r="1364" spans="1:1" ht="15" x14ac:dyDescent="0.2">
      <c r="A1364"/>
    </row>
    <row r="1365" spans="1:1" ht="15" x14ac:dyDescent="0.2">
      <c r="A1365"/>
    </row>
    <row r="1366" spans="1:1" ht="15" x14ac:dyDescent="0.2">
      <c r="A1366"/>
    </row>
    <row r="1367" spans="1:1" ht="15" x14ac:dyDescent="0.2">
      <c r="A1367"/>
    </row>
    <row r="1368" spans="1:1" ht="15" x14ac:dyDescent="0.2">
      <c r="A1368"/>
    </row>
    <row r="1369" spans="1:1" ht="15" x14ac:dyDescent="0.2">
      <c r="A1369"/>
    </row>
    <row r="1370" spans="1:1" ht="15" x14ac:dyDescent="0.2">
      <c r="A1370"/>
    </row>
    <row r="1371" spans="1:1" ht="15" x14ac:dyDescent="0.2">
      <c r="A1371"/>
    </row>
    <row r="1372" spans="1:1" ht="15" x14ac:dyDescent="0.2">
      <c r="A1372"/>
    </row>
    <row r="1373" spans="1:1" ht="15" x14ac:dyDescent="0.2">
      <c r="A1373"/>
    </row>
    <row r="1374" spans="1:1" ht="15" x14ac:dyDescent="0.2">
      <c r="A1374"/>
    </row>
    <row r="1375" spans="1:1" ht="15" x14ac:dyDescent="0.2">
      <c r="A1375"/>
    </row>
    <row r="1376" spans="1:1" ht="15" x14ac:dyDescent="0.2">
      <c r="A1376"/>
    </row>
    <row r="1377" spans="1:1" ht="15" x14ac:dyDescent="0.2">
      <c r="A1377"/>
    </row>
    <row r="1378" spans="1:1" ht="15" x14ac:dyDescent="0.2">
      <c r="A1378"/>
    </row>
    <row r="1379" spans="1:1" ht="15" x14ac:dyDescent="0.2">
      <c r="A1379"/>
    </row>
    <row r="1380" spans="1:1" ht="15" x14ac:dyDescent="0.2">
      <c r="A1380"/>
    </row>
    <row r="1381" spans="1:1" ht="15" x14ac:dyDescent="0.2">
      <c r="A1381"/>
    </row>
    <row r="1382" spans="1:1" ht="15" x14ac:dyDescent="0.2">
      <c r="A1382"/>
    </row>
    <row r="1383" spans="1:1" ht="15" x14ac:dyDescent="0.2">
      <c r="A1383"/>
    </row>
    <row r="1384" spans="1:1" ht="15" x14ac:dyDescent="0.2">
      <c r="A1384"/>
    </row>
    <row r="1385" spans="1:1" ht="15" x14ac:dyDescent="0.2">
      <c r="A1385"/>
    </row>
    <row r="1386" spans="1:1" ht="15" x14ac:dyDescent="0.2">
      <c r="A1386"/>
    </row>
    <row r="1387" spans="1:1" ht="15" x14ac:dyDescent="0.2">
      <c r="A1387"/>
    </row>
    <row r="1388" spans="1:1" ht="15" x14ac:dyDescent="0.2">
      <c r="A1388"/>
    </row>
    <row r="1389" spans="1:1" ht="15" x14ac:dyDescent="0.2">
      <c r="A1389"/>
    </row>
    <row r="1390" spans="1:1" ht="15" x14ac:dyDescent="0.2">
      <c r="A1390"/>
    </row>
    <row r="1391" spans="1:1" ht="15" x14ac:dyDescent="0.2">
      <c r="A1391"/>
    </row>
    <row r="1392" spans="1:1" ht="15" x14ac:dyDescent="0.2">
      <c r="A1392"/>
    </row>
    <row r="1393" spans="1:1" ht="15" x14ac:dyDescent="0.2">
      <c r="A1393"/>
    </row>
    <row r="1394" spans="1:1" ht="15" x14ac:dyDescent="0.2">
      <c r="A1394"/>
    </row>
    <row r="1395" spans="1:1" ht="15" x14ac:dyDescent="0.2">
      <c r="A1395"/>
    </row>
    <row r="1396" spans="1:1" ht="15" x14ac:dyDescent="0.2">
      <c r="A1396"/>
    </row>
    <row r="1397" spans="1:1" ht="15" x14ac:dyDescent="0.2">
      <c r="A1397"/>
    </row>
    <row r="1398" spans="1:1" ht="15" x14ac:dyDescent="0.2">
      <c r="A1398"/>
    </row>
    <row r="1399" spans="1:1" ht="15" x14ac:dyDescent="0.2">
      <c r="A1399"/>
    </row>
    <row r="1400" spans="1:1" ht="15" x14ac:dyDescent="0.2">
      <c r="A1400"/>
    </row>
    <row r="1401" spans="1:1" ht="15" x14ac:dyDescent="0.2">
      <c r="A1401"/>
    </row>
    <row r="1402" spans="1:1" ht="15" x14ac:dyDescent="0.2">
      <c r="A1402"/>
    </row>
    <row r="1403" spans="1:1" ht="15" x14ac:dyDescent="0.2">
      <c r="A1403"/>
    </row>
    <row r="1404" spans="1:1" ht="15" x14ac:dyDescent="0.2">
      <c r="A1404"/>
    </row>
    <row r="1405" spans="1:1" ht="15" x14ac:dyDescent="0.2">
      <c r="A1405"/>
    </row>
    <row r="1406" spans="1:1" ht="15" x14ac:dyDescent="0.2">
      <c r="A1406"/>
    </row>
    <row r="1407" spans="1:1" ht="15" x14ac:dyDescent="0.2">
      <c r="A1407"/>
    </row>
    <row r="1408" spans="1:1" ht="15" x14ac:dyDescent="0.2">
      <c r="A1408"/>
    </row>
    <row r="1409" spans="1:1" ht="15" x14ac:dyDescent="0.2">
      <c r="A1409"/>
    </row>
    <row r="1410" spans="1:1" ht="15" x14ac:dyDescent="0.2">
      <c r="A1410"/>
    </row>
    <row r="1411" spans="1:1" ht="15" x14ac:dyDescent="0.2">
      <c r="A1411"/>
    </row>
    <row r="1412" spans="1:1" ht="15" x14ac:dyDescent="0.2">
      <c r="A1412"/>
    </row>
    <row r="1413" spans="1:1" ht="15" x14ac:dyDescent="0.2">
      <c r="A1413"/>
    </row>
    <row r="1414" spans="1:1" ht="15" x14ac:dyDescent="0.2">
      <c r="A1414"/>
    </row>
    <row r="1415" spans="1:1" ht="15" x14ac:dyDescent="0.2">
      <c r="A1415"/>
    </row>
    <row r="1416" spans="1:1" ht="15" x14ac:dyDescent="0.2">
      <c r="A1416"/>
    </row>
    <row r="1417" spans="1:1" ht="15" x14ac:dyDescent="0.2">
      <c r="A1417"/>
    </row>
    <row r="1418" spans="1:1" ht="15" x14ac:dyDescent="0.2">
      <c r="A1418"/>
    </row>
    <row r="1419" spans="1:1" ht="15" x14ac:dyDescent="0.2">
      <c r="A1419"/>
    </row>
    <row r="1420" spans="1:1" ht="15" x14ac:dyDescent="0.2">
      <c r="A1420"/>
    </row>
    <row r="1421" spans="1:1" ht="15" x14ac:dyDescent="0.2">
      <c r="A1421"/>
    </row>
    <row r="1422" spans="1:1" ht="15" x14ac:dyDescent="0.2">
      <c r="A1422"/>
    </row>
    <row r="1423" spans="1:1" ht="15" x14ac:dyDescent="0.2">
      <c r="A1423"/>
    </row>
    <row r="1424" spans="1:1" ht="15" x14ac:dyDescent="0.2">
      <c r="A1424"/>
    </row>
    <row r="1425" spans="1:1" ht="15" x14ac:dyDescent="0.2">
      <c r="A1425"/>
    </row>
    <row r="1426" spans="1:1" ht="15" x14ac:dyDescent="0.2">
      <c r="A1426"/>
    </row>
    <row r="1427" spans="1:1" ht="15" x14ac:dyDescent="0.2">
      <c r="A1427"/>
    </row>
    <row r="1428" spans="1:1" ht="15" x14ac:dyDescent="0.2">
      <c r="A1428"/>
    </row>
    <row r="1429" spans="1:1" ht="15" x14ac:dyDescent="0.2">
      <c r="A1429"/>
    </row>
    <row r="1430" spans="1:1" ht="15" x14ac:dyDescent="0.2">
      <c r="A1430"/>
    </row>
    <row r="1431" spans="1:1" ht="15" x14ac:dyDescent="0.2">
      <c r="A1431"/>
    </row>
    <row r="1432" spans="1:1" ht="15" x14ac:dyDescent="0.2">
      <c r="A1432"/>
    </row>
    <row r="1433" spans="1:1" ht="15" x14ac:dyDescent="0.2">
      <c r="A1433"/>
    </row>
    <row r="1434" spans="1:1" ht="15" x14ac:dyDescent="0.2">
      <c r="A1434"/>
    </row>
    <row r="1435" spans="1:1" ht="15" x14ac:dyDescent="0.2">
      <c r="A1435"/>
    </row>
    <row r="1436" spans="1:1" ht="15" x14ac:dyDescent="0.2">
      <c r="A1436"/>
    </row>
    <row r="1437" spans="1:1" ht="15" x14ac:dyDescent="0.2">
      <c r="A1437"/>
    </row>
    <row r="1438" spans="1:1" ht="15" x14ac:dyDescent="0.2">
      <c r="A1438"/>
    </row>
    <row r="1439" spans="1:1" ht="15" x14ac:dyDescent="0.2">
      <c r="A1439"/>
    </row>
    <row r="1440" spans="1:1" ht="15" x14ac:dyDescent="0.2">
      <c r="A1440"/>
    </row>
    <row r="1441" spans="1:1" ht="15" x14ac:dyDescent="0.2">
      <c r="A1441"/>
    </row>
    <row r="1442" spans="1:1" ht="15" x14ac:dyDescent="0.2">
      <c r="A1442"/>
    </row>
    <row r="1443" spans="1:1" ht="15" x14ac:dyDescent="0.2">
      <c r="A1443"/>
    </row>
    <row r="1444" spans="1:1" ht="15" x14ac:dyDescent="0.2">
      <c r="A1444"/>
    </row>
    <row r="1445" spans="1:1" ht="15" x14ac:dyDescent="0.2">
      <c r="A1445"/>
    </row>
    <row r="1446" spans="1:1" ht="15" x14ac:dyDescent="0.2">
      <c r="A1446"/>
    </row>
    <row r="1447" spans="1:1" ht="15" x14ac:dyDescent="0.2">
      <c r="A1447"/>
    </row>
    <row r="1448" spans="1:1" ht="15" x14ac:dyDescent="0.2">
      <c r="A1448"/>
    </row>
    <row r="1449" spans="1:1" ht="15" x14ac:dyDescent="0.2">
      <c r="A1449"/>
    </row>
    <row r="1450" spans="1:1" ht="15" x14ac:dyDescent="0.2">
      <c r="A1450"/>
    </row>
    <row r="1451" spans="1:1" ht="15" x14ac:dyDescent="0.2">
      <c r="A1451"/>
    </row>
    <row r="1452" spans="1:1" ht="15" x14ac:dyDescent="0.2">
      <c r="A1452"/>
    </row>
    <row r="1453" spans="1:1" ht="15" x14ac:dyDescent="0.2">
      <c r="A1453"/>
    </row>
    <row r="1454" spans="1:1" ht="15" x14ac:dyDescent="0.2">
      <c r="A1454"/>
    </row>
    <row r="1455" spans="1:1" ht="15" x14ac:dyDescent="0.2">
      <c r="A1455"/>
    </row>
    <row r="1456" spans="1:1" ht="15" x14ac:dyDescent="0.2">
      <c r="A1456"/>
    </row>
    <row r="1457" spans="1:1" ht="15" x14ac:dyDescent="0.2">
      <c r="A1457"/>
    </row>
    <row r="1458" spans="1:1" ht="15" x14ac:dyDescent="0.2">
      <c r="A1458"/>
    </row>
    <row r="1459" spans="1:1" ht="15" x14ac:dyDescent="0.2">
      <c r="A1459"/>
    </row>
    <row r="1460" spans="1:1" ht="15" x14ac:dyDescent="0.2">
      <c r="A1460"/>
    </row>
    <row r="1461" spans="1:1" ht="15" x14ac:dyDescent="0.2">
      <c r="A1461"/>
    </row>
    <row r="1462" spans="1:1" ht="15" x14ac:dyDescent="0.2">
      <c r="A1462"/>
    </row>
    <row r="1463" spans="1:1" ht="15" x14ac:dyDescent="0.2">
      <c r="A1463"/>
    </row>
    <row r="1464" spans="1:1" ht="15" x14ac:dyDescent="0.2">
      <c r="A1464"/>
    </row>
    <row r="1465" spans="1:1" ht="15" x14ac:dyDescent="0.2">
      <c r="A1465"/>
    </row>
    <row r="1466" spans="1:1" ht="15" x14ac:dyDescent="0.2">
      <c r="A1466"/>
    </row>
    <row r="1467" spans="1:1" ht="15" x14ac:dyDescent="0.2">
      <c r="A1467"/>
    </row>
    <row r="1468" spans="1:1" ht="15" x14ac:dyDescent="0.2">
      <c r="A1468"/>
    </row>
    <row r="1469" spans="1:1" ht="15" x14ac:dyDescent="0.2">
      <c r="A1469"/>
    </row>
    <row r="1470" spans="1:1" ht="15" x14ac:dyDescent="0.2">
      <c r="A1470"/>
    </row>
    <row r="1471" spans="1:1" ht="15" x14ac:dyDescent="0.2">
      <c r="A1471"/>
    </row>
    <row r="1472" spans="1:1" ht="15" x14ac:dyDescent="0.2">
      <c r="A1472"/>
    </row>
    <row r="1473" spans="1:1" ht="15" x14ac:dyDescent="0.2">
      <c r="A1473"/>
    </row>
    <row r="1474" spans="1:1" ht="15" x14ac:dyDescent="0.2">
      <c r="A1474"/>
    </row>
    <row r="1475" spans="1:1" ht="15" x14ac:dyDescent="0.2">
      <c r="A1475"/>
    </row>
    <row r="1476" spans="1:1" ht="15" x14ac:dyDescent="0.2">
      <c r="A1476"/>
    </row>
    <row r="1477" spans="1:1" ht="15" x14ac:dyDescent="0.2">
      <c r="A1477"/>
    </row>
    <row r="1478" spans="1:1" ht="15" x14ac:dyDescent="0.2">
      <c r="A1478"/>
    </row>
    <row r="1479" spans="1:1" ht="15" x14ac:dyDescent="0.2">
      <c r="A1479"/>
    </row>
    <row r="1480" spans="1:1" ht="15" x14ac:dyDescent="0.2">
      <c r="A1480"/>
    </row>
    <row r="1481" spans="1:1" ht="15" x14ac:dyDescent="0.2">
      <c r="A1481"/>
    </row>
    <row r="1482" spans="1:1" ht="15" x14ac:dyDescent="0.2">
      <c r="A1482"/>
    </row>
    <row r="1483" spans="1:1" ht="15" x14ac:dyDescent="0.2">
      <c r="A1483"/>
    </row>
    <row r="1484" spans="1:1" ht="15" x14ac:dyDescent="0.2">
      <c r="A1484"/>
    </row>
    <row r="1485" spans="1:1" ht="15" x14ac:dyDescent="0.2">
      <c r="A1485"/>
    </row>
    <row r="1486" spans="1:1" ht="15" x14ac:dyDescent="0.2">
      <c r="A1486"/>
    </row>
    <row r="1487" spans="1:1" ht="15" x14ac:dyDescent="0.2">
      <c r="A1487"/>
    </row>
    <row r="1488" spans="1:1" ht="15" x14ac:dyDescent="0.2">
      <c r="A1488"/>
    </row>
    <row r="1489" spans="1:1" ht="15" x14ac:dyDescent="0.2">
      <c r="A1489"/>
    </row>
    <row r="1490" spans="1:1" ht="15" x14ac:dyDescent="0.2">
      <c r="A1490"/>
    </row>
    <row r="1491" spans="1:1" ht="15" x14ac:dyDescent="0.2">
      <c r="A1491"/>
    </row>
    <row r="1492" spans="1:1" ht="15" x14ac:dyDescent="0.2">
      <c r="A1492"/>
    </row>
    <row r="1493" spans="1:1" ht="15" x14ac:dyDescent="0.2">
      <c r="A1493"/>
    </row>
    <row r="1494" spans="1:1" ht="15" x14ac:dyDescent="0.2">
      <c r="A1494"/>
    </row>
    <row r="1495" spans="1:1" ht="15" x14ac:dyDescent="0.2">
      <c r="A1495"/>
    </row>
    <row r="1496" spans="1:1" ht="15" x14ac:dyDescent="0.2">
      <c r="A1496"/>
    </row>
    <row r="1497" spans="1:1" ht="15" x14ac:dyDescent="0.2">
      <c r="A1497"/>
    </row>
    <row r="1498" spans="1:1" ht="15" x14ac:dyDescent="0.2">
      <c r="A1498"/>
    </row>
    <row r="1499" spans="1:1" ht="15" x14ac:dyDescent="0.2">
      <c r="A1499"/>
    </row>
    <row r="1500" spans="1:1" ht="15" x14ac:dyDescent="0.2">
      <c r="A1500"/>
    </row>
    <row r="1501" spans="1:1" ht="15" x14ac:dyDescent="0.2">
      <c r="A1501"/>
    </row>
    <row r="1502" spans="1:1" ht="15" x14ac:dyDescent="0.2">
      <c r="A1502"/>
    </row>
    <row r="1503" spans="1:1" ht="15" x14ac:dyDescent="0.2">
      <c r="A1503"/>
    </row>
    <row r="1504" spans="1:1" ht="15" x14ac:dyDescent="0.2">
      <c r="A1504"/>
    </row>
    <row r="1505" spans="1:1" ht="15" x14ac:dyDescent="0.2">
      <c r="A1505"/>
    </row>
    <row r="1506" spans="1:1" ht="15" x14ac:dyDescent="0.2">
      <c r="A1506"/>
    </row>
    <row r="1507" spans="1:1" ht="15" x14ac:dyDescent="0.2">
      <c r="A1507"/>
    </row>
    <row r="1508" spans="1:1" ht="15" x14ac:dyDescent="0.2">
      <c r="A1508"/>
    </row>
    <row r="1509" spans="1:1" ht="15" x14ac:dyDescent="0.2">
      <c r="A1509"/>
    </row>
    <row r="1510" spans="1:1" ht="15" x14ac:dyDescent="0.2">
      <c r="A1510"/>
    </row>
    <row r="1511" spans="1:1" ht="15" x14ac:dyDescent="0.2">
      <c r="A1511"/>
    </row>
    <row r="1512" spans="1:1" ht="15" x14ac:dyDescent="0.2">
      <c r="A1512"/>
    </row>
    <row r="1513" spans="1:1" ht="15" x14ac:dyDescent="0.2">
      <c r="A1513"/>
    </row>
    <row r="1514" spans="1:1" ht="15" x14ac:dyDescent="0.2">
      <c r="A1514"/>
    </row>
    <row r="1515" spans="1:1" ht="15" x14ac:dyDescent="0.2">
      <c r="A1515"/>
    </row>
    <row r="1516" spans="1:1" ht="15" x14ac:dyDescent="0.2">
      <c r="A1516"/>
    </row>
    <row r="1517" spans="1:1" ht="15" x14ac:dyDescent="0.2">
      <c r="A1517"/>
    </row>
    <row r="1518" spans="1:1" ht="15" x14ac:dyDescent="0.2">
      <c r="A1518"/>
    </row>
    <row r="1519" spans="1:1" ht="15" x14ac:dyDescent="0.2">
      <c r="A1519"/>
    </row>
    <row r="1520" spans="1:1" ht="15" x14ac:dyDescent="0.2">
      <c r="A1520"/>
    </row>
    <row r="1521" spans="1:1" ht="15" x14ac:dyDescent="0.2">
      <c r="A1521"/>
    </row>
    <row r="1522" spans="1:1" ht="15" x14ac:dyDescent="0.2">
      <c r="A1522"/>
    </row>
    <row r="1523" spans="1:1" ht="15" x14ac:dyDescent="0.2">
      <c r="A1523"/>
    </row>
    <row r="1524" spans="1:1" ht="15" x14ac:dyDescent="0.2">
      <c r="A1524"/>
    </row>
    <row r="1525" spans="1:1" ht="15" x14ac:dyDescent="0.2">
      <c r="A1525"/>
    </row>
    <row r="1526" spans="1:1" ht="15" x14ac:dyDescent="0.2">
      <c r="A1526"/>
    </row>
    <row r="1527" spans="1:1" ht="15" x14ac:dyDescent="0.2">
      <c r="A1527"/>
    </row>
    <row r="1528" spans="1:1" ht="15" x14ac:dyDescent="0.2">
      <c r="A1528"/>
    </row>
    <row r="1529" spans="1:1" ht="15" x14ac:dyDescent="0.2">
      <c r="A1529"/>
    </row>
    <row r="1530" spans="1:1" ht="15" x14ac:dyDescent="0.2">
      <c r="A1530"/>
    </row>
    <row r="1531" spans="1:1" ht="15" x14ac:dyDescent="0.2">
      <c r="A1531"/>
    </row>
    <row r="1532" spans="1:1" ht="15" x14ac:dyDescent="0.2">
      <c r="A1532"/>
    </row>
    <row r="1533" spans="1:1" ht="15" x14ac:dyDescent="0.2">
      <c r="A1533"/>
    </row>
    <row r="1534" spans="1:1" ht="15" x14ac:dyDescent="0.2">
      <c r="A1534"/>
    </row>
    <row r="1535" spans="1:1" ht="15" x14ac:dyDescent="0.2">
      <c r="A1535"/>
    </row>
    <row r="1536" spans="1:1" ht="15" x14ac:dyDescent="0.2">
      <c r="A1536"/>
    </row>
    <row r="1537" spans="1:1" ht="15" x14ac:dyDescent="0.2">
      <c r="A1537"/>
    </row>
    <row r="1538" spans="1:1" ht="15" x14ac:dyDescent="0.2">
      <c r="A1538"/>
    </row>
    <row r="1539" spans="1:1" ht="15" x14ac:dyDescent="0.2">
      <c r="A1539"/>
    </row>
    <row r="1540" spans="1:1" ht="15" x14ac:dyDescent="0.2">
      <c r="A1540"/>
    </row>
    <row r="1541" spans="1:1" ht="15" x14ac:dyDescent="0.2">
      <c r="A1541"/>
    </row>
    <row r="1542" spans="1:1" ht="15" x14ac:dyDescent="0.2">
      <c r="A1542"/>
    </row>
    <row r="1543" spans="1:1" ht="15" x14ac:dyDescent="0.2">
      <c r="A1543"/>
    </row>
    <row r="1544" spans="1:1" ht="15" x14ac:dyDescent="0.2">
      <c r="A1544"/>
    </row>
    <row r="1545" spans="1:1" ht="15" x14ac:dyDescent="0.2">
      <c r="A1545"/>
    </row>
    <row r="1546" spans="1:1" ht="15" x14ac:dyDescent="0.2">
      <c r="A1546"/>
    </row>
    <row r="1547" spans="1:1" ht="15" x14ac:dyDescent="0.2">
      <c r="A1547"/>
    </row>
    <row r="1548" spans="1:1" ht="15" x14ac:dyDescent="0.2">
      <c r="A1548"/>
    </row>
    <row r="1549" spans="1:1" ht="15" x14ac:dyDescent="0.2">
      <c r="A1549"/>
    </row>
    <row r="1550" spans="1:1" ht="15" x14ac:dyDescent="0.2">
      <c r="A1550"/>
    </row>
    <row r="1551" spans="1:1" ht="15" x14ac:dyDescent="0.2">
      <c r="A1551"/>
    </row>
    <row r="1552" spans="1:1" ht="15" x14ac:dyDescent="0.2">
      <c r="A1552"/>
    </row>
    <row r="1553" spans="1:1" ht="15" x14ac:dyDescent="0.2">
      <c r="A1553"/>
    </row>
    <row r="1554" spans="1:1" ht="15" x14ac:dyDescent="0.2">
      <c r="A1554"/>
    </row>
    <row r="1555" spans="1:1" ht="15" x14ac:dyDescent="0.2">
      <c r="A1555"/>
    </row>
    <row r="1556" spans="1:1" ht="15" x14ac:dyDescent="0.2">
      <c r="A1556"/>
    </row>
    <row r="1557" spans="1:1" ht="15" x14ac:dyDescent="0.2">
      <c r="A1557"/>
    </row>
    <row r="1558" spans="1:1" ht="15" x14ac:dyDescent="0.2">
      <c r="A1558"/>
    </row>
    <row r="1559" spans="1:1" ht="15" x14ac:dyDescent="0.2">
      <c r="A1559"/>
    </row>
    <row r="1560" spans="1:1" ht="15" x14ac:dyDescent="0.2">
      <c r="A1560"/>
    </row>
    <row r="1561" spans="1:1" ht="15" x14ac:dyDescent="0.2">
      <c r="A1561"/>
    </row>
    <row r="1562" spans="1:1" ht="15" x14ac:dyDescent="0.2">
      <c r="A1562"/>
    </row>
    <row r="1563" spans="1:1" ht="15" x14ac:dyDescent="0.2">
      <c r="A1563"/>
    </row>
    <row r="1564" spans="1:1" ht="15" x14ac:dyDescent="0.2">
      <c r="A1564"/>
    </row>
    <row r="1565" spans="1:1" ht="15" x14ac:dyDescent="0.2">
      <c r="A1565"/>
    </row>
    <row r="1566" spans="1:1" ht="15" x14ac:dyDescent="0.2">
      <c r="A1566"/>
    </row>
    <row r="1567" spans="1:1" ht="15" x14ac:dyDescent="0.2">
      <c r="A1567"/>
    </row>
    <row r="1568" spans="1:1" ht="15" x14ac:dyDescent="0.2">
      <c r="A1568"/>
    </row>
    <row r="1569" spans="1:1" ht="15" x14ac:dyDescent="0.2">
      <c r="A1569"/>
    </row>
    <row r="1570" spans="1:1" ht="15" x14ac:dyDescent="0.2">
      <c r="A1570"/>
    </row>
    <row r="1571" spans="1:1" ht="15" x14ac:dyDescent="0.2">
      <c r="A1571"/>
    </row>
    <row r="1572" spans="1:1" ht="15" x14ac:dyDescent="0.2">
      <c r="A1572"/>
    </row>
    <row r="1573" spans="1:1" ht="15" x14ac:dyDescent="0.2">
      <c r="A1573"/>
    </row>
    <row r="1574" spans="1:1" ht="15" x14ac:dyDescent="0.2">
      <c r="A1574"/>
    </row>
    <row r="1575" spans="1:1" ht="15" x14ac:dyDescent="0.2">
      <c r="A1575"/>
    </row>
    <row r="1576" spans="1:1" ht="15" x14ac:dyDescent="0.2">
      <c r="A1576"/>
    </row>
    <row r="1577" spans="1:1" ht="15" x14ac:dyDescent="0.2">
      <c r="A1577"/>
    </row>
    <row r="1578" spans="1:1" ht="15" x14ac:dyDescent="0.2">
      <c r="A1578"/>
    </row>
    <row r="1579" spans="1:1" ht="15" x14ac:dyDescent="0.2">
      <c r="A1579"/>
    </row>
    <row r="1580" spans="1:1" ht="15" x14ac:dyDescent="0.2">
      <c r="A1580"/>
    </row>
    <row r="1581" spans="1:1" ht="15" x14ac:dyDescent="0.2">
      <c r="A1581"/>
    </row>
    <row r="1582" spans="1:1" ht="15" x14ac:dyDescent="0.2">
      <c r="A1582"/>
    </row>
    <row r="1583" spans="1:1" ht="15" x14ac:dyDescent="0.2">
      <c r="A1583"/>
    </row>
    <row r="1584" spans="1:1" ht="15" x14ac:dyDescent="0.2">
      <c r="A1584"/>
    </row>
    <row r="1585" spans="1:1" ht="15" x14ac:dyDescent="0.2">
      <c r="A1585"/>
    </row>
    <row r="1586" spans="1:1" ht="15" x14ac:dyDescent="0.2">
      <c r="A1586"/>
    </row>
    <row r="1587" spans="1:1" ht="15" x14ac:dyDescent="0.2">
      <c r="A1587"/>
    </row>
    <row r="1588" spans="1:1" ht="15" x14ac:dyDescent="0.2">
      <c r="A1588"/>
    </row>
    <row r="1589" spans="1:1" ht="15" x14ac:dyDescent="0.2">
      <c r="A1589"/>
    </row>
    <row r="1590" spans="1:1" ht="15" x14ac:dyDescent="0.2">
      <c r="A1590"/>
    </row>
    <row r="1591" spans="1:1" ht="15" x14ac:dyDescent="0.2">
      <c r="A1591"/>
    </row>
    <row r="1592" spans="1:1" ht="15" x14ac:dyDescent="0.2">
      <c r="A1592"/>
    </row>
    <row r="1593" spans="1:1" ht="15" x14ac:dyDescent="0.2">
      <c r="A1593"/>
    </row>
    <row r="1594" spans="1:1" ht="15" x14ac:dyDescent="0.2">
      <c r="A1594"/>
    </row>
    <row r="1595" spans="1:1" ht="15" x14ac:dyDescent="0.2">
      <c r="A1595"/>
    </row>
    <row r="1596" spans="1:1" ht="15" x14ac:dyDescent="0.2">
      <c r="A1596"/>
    </row>
    <row r="1597" spans="1:1" ht="15" x14ac:dyDescent="0.2">
      <c r="A1597"/>
    </row>
    <row r="1598" spans="1:1" ht="15" x14ac:dyDescent="0.2">
      <c r="A1598"/>
    </row>
    <row r="1599" spans="1:1" ht="15" x14ac:dyDescent="0.2">
      <c r="A1599"/>
    </row>
    <row r="1600" spans="1:1" ht="15" x14ac:dyDescent="0.2">
      <c r="A1600"/>
    </row>
    <row r="1601" spans="1:1" ht="15" x14ac:dyDescent="0.2">
      <c r="A1601"/>
    </row>
    <row r="1602" spans="1:1" ht="15" x14ac:dyDescent="0.2">
      <c r="A1602"/>
    </row>
    <row r="1603" spans="1:1" ht="15" x14ac:dyDescent="0.2">
      <c r="A1603"/>
    </row>
    <row r="1604" spans="1:1" ht="15" x14ac:dyDescent="0.2">
      <c r="A1604"/>
    </row>
    <row r="1605" spans="1:1" ht="15" x14ac:dyDescent="0.2">
      <c r="A1605"/>
    </row>
    <row r="1606" spans="1:1" ht="15" x14ac:dyDescent="0.2">
      <c r="A1606"/>
    </row>
    <row r="1607" spans="1:1" ht="15" x14ac:dyDescent="0.2">
      <c r="A1607"/>
    </row>
    <row r="1608" spans="1:1" ht="15" x14ac:dyDescent="0.2">
      <c r="A1608"/>
    </row>
    <row r="1609" spans="1:1" ht="15" x14ac:dyDescent="0.2">
      <c r="A1609"/>
    </row>
    <row r="1610" spans="1:1" ht="15" x14ac:dyDescent="0.2">
      <c r="A1610"/>
    </row>
    <row r="1611" spans="1:1" ht="15" x14ac:dyDescent="0.2">
      <c r="A1611"/>
    </row>
    <row r="1612" spans="1:1" ht="15" x14ac:dyDescent="0.2">
      <c r="A1612"/>
    </row>
    <row r="1613" spans="1:1" ht="15" x14ac:dyDescent="0.2">
      <c r="A1613"/>
    </row>
    <row r="1614" spans="1:1" ht="15" x14ac:dyDescent="0.2">
      <c r="A1614"/>
    </row>
    <row r="1615" spans="1:1" ht="15" x14ac:dyDescent="0.2">
      <c r="A1615"/>
    </row>
    <row r="1616" spans="1:1" ht="15" x14ac:dyDescent="0.2">
      <c r="A1616"/>
    </row>
    <row r="1617" spans="1:1" ht="15" x14ac:dyDescent="0.2">
      <c r="A1617"/>
    </row>
    <row r="1618" spans="1:1" ht="15" x14ac:dyDescent="0.2">
      <c r="A1618"/>
    </row>
    <row r="1619" spans="1:1" ht="15" x14ac:dyDescent="0.2">
      <c r="A1619"/>
    </row>
    <row r="1620" spans="1:1" ht="15" x14ac:dyDescent="0.2">
      <c r="A1620"/>
    </row>
    <row r="1621" spans="1:1" ht="15" x14ac:dyDescent="0.2">
      <c r="A1621"/>
    </row>
    <row r="1622" spans="1:1" ht="15" x14ac:dyDescent="0.2">
      <c r="A1622"/>
    </row>
    <row r="1623" spans="1:1" ht="15" x14ac:dyDescent="0.2">
      <c r="A1623"/>
    </row>
    <row r="1624" spans="1:1" ht="15" x14ac:dyDescent="0.2">
      <c r="A1624"/>
    </row>
    <row r="1625" spans="1:1" ht="15" x14ac:dyDescent="0.2">
      <c r="A1625"/>
    </row>
    <row r="1626" spans="1:1" ht="15" x14ac:dyDescent="0.2">
      <c r="A1626"/>
    </row>
    <row r="1627" spans="1:1" ht="15" x14ac:dyDescent="0.2">
      <c r="A1627"/>
    </row>
    <row r="1628" spans="1:1" ht="15" x14ac:dyDescent="0.2">
      <c r="A1628"/>
    </row>
    <row r="1629" spans="1:1" ht="15" x14ac:dyDescent="0.2">
      <c r="A1629"/>
    </row>
    <row r="1630" spans="1:1" ht="15" x14ac:dyDescent="0.2">
      <c r="A1630"/>
    </row>
    <row r="1631" spans="1:1" ht="15" x14ac:dyDescent="0.2">
      <c r="A1631"/>
    </row>
    <row r="1632" spans="1:1" ht="15" x14ac:dyDescent="0.2">
      <c r="A1632"/>
    </row>
    <row r="1633" spans="1:1" ht="15" x14ac:dyDescent="0.2">
      <c r="A1633"/>
    </row>
    <row r="1634" spans="1:1" ht="15" x14ac:dyDescent="0.2">
      <c r="A1634"/>
    </row>
    <row r="1635" spans="1:1" ht="15" x14ac:dyDescent="0.2">
      <c r="A1635"/>
    </row>
    <row r="1636" spans="1:1" ht="15" x14ac:dyDescent="0.2">
      <c r="A1636"/>
    </row>
    <row r="1637" spans="1:1" ht="15" x14ac:dyDescent="0.2">
      <c r="A1637"/>
    </row>
    <row r="1638" spans="1:1" ht="15" x14ac:dyDescent="0.2">
      <c r="A1638"/>
    </row>
    <row r="1639" spans="1:1" ht="15" x14ac:dyDescent="0.2">
      <c r="A1639"/>
    </row>
    <row r="1640" spans="1:1" ht="15" x14ac:dyDescent="0.2">
      <c r="A1640"/>
    </row>
    <row r="1641" spans="1:1" ht="15" x14ac:dyDescent="0.2">
      <c r="A1641"/>
    </row>
    <row r="1642" spans="1:1" ht="15" x14ac:dyDescent="0.2">
      <c r="A1642"/>
    </row>
    <row r="1643" spans="1:1" ht="15" x14ac:dyDescent="0.2">
      <c r="A1643"/>
    </row>
    <row r="1644" spans="1:1" ht="15" x14ac:dyDescent="0.2">
      <c r="A1644"/>
    </row>
    <row r="1645" spans="1:1" ht="15" x14ac:dyDescent="0.2">
      <c r="A1645"/>
    </row>
    <row r="1646" spans="1:1" ht="15" x14ac:dyDescent="0.2">
      <c r="A1646"/>
    </row>
    <row r="1647" spans="1:1" ht="15" x14ac:dyDescent="0.2">
      <c r="A1647"/>
    </row>
    <row r="1648" spans="1:1" ht="15" x14ac:dyDescent="0.2">
      <c r="A1648"/>
    </row>
    <row r="1649" spans="1:1" ht="15" x14ac:dyDescent="0.2">
      <c r="A1649"/>
    </row>
    <row r="1650" spans="1:1" ht="15" x14ac:dyDescent="0.2">
      <c r="A1650"/>
    </row>
    <row r="1651" spans="1:1" ht="15" x14ac:dyDescent="0.2">
      <c r="A1651"/>
    </row>
    <row r="1652" spans="1:1" ht="15" x14ac:dyDescent="0.2">
      <c r="A1652"/>
    </row>
    <row r="1653" spans="1:1" ht="15" x14ac:dyDescent="0.2">
      <c r="A1653"/>
    </row>
    <row r="1654" spans="1:1" ht="15" x14ac:dyDescent="0.2">
      <c r="A1654"/>
    </row>
    <row r="1655" spans="1:1" ht="15" x14ac:dyDescent="0.2">
      <c r="A1655"/>
    </row>
    <row r="1656" spans="1:1" ht="15" x14ac:dyDescent="0.2">
      <c r="A1656"/>
    </row>
    <row r="1657" spans="1:1" ht="15" x14ac:dyDescent="0.2">
      <c r="A1657"/>
    </row>
    <row r="1658" spans="1:1" ht="15" x14ac:dyDescent="0.2">
      <c r="A1658"/>
    </row>
    <row r="1659" spans="1:1" ht="15" x14ac:dyDescent="0.2">
      <c r="A1659"/>
    </row>
    <row r="1660" spans="1:1" ht="15" x14ac:dyDescent="0.2">
      <c r="A1660"/>
    </row>
    <row r="1661" spans="1:1" ht="15" x14ac:dyDescent="0.2">
      <c r="A1661"/>
    </row>
    <row r="1662" spans="1:1" ht="15" x14ac:dyDescent="0.2">
      <c r="A1662"/>
    </row>
    <row r="1663" spans="1:1" ht="15" x14ac:dyDescent="0.2">
      <c r="A1663"/>
    </row>
    <row r="1664" spans="1:1" ht="15" x14ac:dyDescent="0.2">
      <c r="A1664"/>
    </row>
    <row r="1665" spans="1:1" ht="15" x14ac:dyDescent="0.2">
      <c r="A1665"/>
    </row>
    <row r="1666" spans="1:1" ht="15" x14ac:dyDescent="0.2">
      <c r="A1666"/>
    </row>
    <row r="1667" spans="1:1" ht="15" x14ac:dyDescent="0.2">
      <c r="A1667"/>
    </row>
    <row r="1668" spans="1:1" ht="15" x14ac:dyDescent="0.2">
      <c r="A1668"/>
    </row>
    <row r="1669" spans="1:1" ht="15" x14ac:dyDescent="0.2">
      <c r="A1669"/>
    </row>
    <row r="1670" spans="1:1" ht="15" x14ac:dyDescent="0.2">
      <c r="A1670"/>
    </row>
    <row r="1671" spans="1:1" ht="15" x14ac:dyDescent="0.2">
      <c r="A1671"/>
    </row>
    <row r="1672" spans="1:1" ht="15" x14ac:dyDescent="0.2">
      <c r="A1672"/>
    </row>
    <row r="1673" spans="1:1" ht="15" x14ac:dyDescent="0.2">
      <c r="A1673"/>
    </row>
    <row r="1674" spans="1:1" ht="15" x14ac:dyDescent="0.2">
      <c r="A1674"/>
    </row>
    <row r="1675" spans="1:1" ht="15" x14ac:dyDescent="0.2">
      <c r="A1675"/>
    </row>
    <row r="1676" spans="1:1" ht="15" x14ac:dyDescent="0.2">
      <c r="A1676"/>
    </row>
    <row r="1677" spans="1:1" ht="15" x14ac:dyDescent="0.2">
      <c r="A1677"/>
    </row>
    <row r="1678" spans="1:1" ht="15" x14ac:dyDescent="0.2">
      <c r="A1678"/>
    </row>
    <row r="1679" spans="1:1" ht="15" x14ac:dyDescent="0.2">
      <c r="A1679"/>
    </row>
    <row r="1680" spans="1:1" ht="15" x14ac:dyDescent="0.2">
      <c r="A1680"/>
    </row>
    <row r="1681" spans="1:1" ht="15" x14ac:dyDescent="0.2">
      <c r="A1681"/>
    </row>
    <row r="1682" spans="1:1" ht="15" x14ac:dyDescent="0.2">
      <c r="A1682"/>
    </row>
    <row r="1683" spans="1:1" ht="15" x14ac:dyDescent="0.2">
      <c r="A1683"/>
    </row>
    <row r="1684" spans="1:1" ht="15" x14ac:dyDescent="0.2">
      <c r="A1684"/>
    </row>
    <row r="1685" spans="1:1" ht="15" x14ac:dyDescent="0.2">
      <c r="A1685"/>
    </row>
    <row r="1686" spans="1:1" ht="15" x14ac:dyDescent="0.2">
      <c r="A1686"/>
    </row>
    <row r="1687" spans="1:1" ht="15" x14ac:dyDescent="0.2">
      <c r="A1687"/>
    </row>
    <row r="1688" spans="1:1" ht="15" x14ac:dyDescent="0.2">
      <c r="A1688"/>
    </row>
    <row r="1689" spans="1:1" ht="15" x14ac:dyDescent="0.2">
      <c r="A1689"/>
    </row>
    <row r="1690" spans="1:1" ht="15" x14ac:dyDescent="0.2">
      <c r="A1690"/>
    </row>
    <row r="1691" spans="1:1" ht="15" x14ac:dyDescent="0.2">
      <c r="A1691"/>
    </row>
    <row r="1692" spans="1:1" ht="15" x14ac:dyDescent="0.2">
      <c r="A1692"/>
    </row>
    <row r="1693" spans="1:1" ht="15" x14ac:dyDescent="0.2">
      <c r="A1693"/>
    </row>
    <row r="1694" spans="1:1" ht="15" x14ac:dyDescent="0.2">
      <c r="A1694"/>
    </row>
    <row r="1695" spans="1:1" ht="15" x14ac:dyDescent="0.2">
      <c r="A1695"/>
    </row>
    <row r="1696" spans="1:1" ht="15" x14ac:dyDescent="0.2">
      <c r="A1696"/>
    </row>
    <row r="1697" spans="1:1" ht="15" x14ac:dyDescent="0.2">
      <c r="A1697"/>
    </row>
    <row r="1698" spans="1:1" ht="15" x14ac:dyDescent="0.2">
      <c r="A1698"/>
    </row>
    <row r="1699" spans="1:1" ht="15" x14ac:dyDescent="0.2">
      <c r="A1699"/>
    </row>
    <row r="1700" spans="1:1" ht="15" x14ac:dyDescent="0.2">
      <c r="A1700"/>
    </row>
    <row r="1701" spans="1:1" ht="15" x14ac:dyDescent="0.2">
      <c r="A1701"/>
    </row>
    <row r="1702" spans="1:1" ht="15" x14ac:dyDescent="0.2">
      <c r="A1702"/>
    </row>
    <row r="1703" spans="1:1" ht="15" x14ac:dyDescent="0.2">
      <c r="A1703"/>
    </row>
    <row r="1704" spans="1:1" ht="15" x14ac:dyDescent="0.2">
      <c r="A1704"/>
    </row>
    <row r="1705" spans="1:1" ht="15" x14ac:dyDescent="0.2">
      <c r="A1705"/>
    </row>
    <row r="1706" spans="1:1" ht="15" x14ac:dyDescent="0.2">
      <c r="A1706"/>
    </row>
    <row r="1707" spans="1:1" ht="15" x14ac:dyDescent="0.2">
      <c r="A1707"/>
    </row>
    <row r="1708" spans="1:1" ht="15" x14ac:dyDescent="0.2">
      <c r="A1708"/>
    </row>
    <row r="1709" spans="1:1" ht="15" x14ac:dyDescent="0.2">
      <c r="A1709"/>
    </row>
    <row r="1710" spans="1:1" ht="15" x14ac:dyDescent="0.2">
      <c r="A1710"/>
    </row>
    <row r="1711" spans="1:1" ht="15" x14ac:dyDescent="0.2">
      <c r="A1711"/>
    </row>
    <row r="1712" spans="1:1" ht="15" x14ac:dyDescent="0.2">
      <c r="A1712"/>
    </row>
    <row r="1713" spans="1:1" ht="15" x14ac:dyDescent="0.2">
      <c r="A1713"/>
    </row>
    <row r="1714" spans="1:1" ht="15" x14ac:dyDescent="0.2">
      <c r="A1714"/>
    </row>
    <row r="1715" spans="1:1" ht="15" x14ac:dyDescent="0.2">
      <c r="A1715"/>
    </row>
    <row r="1716" spans="1:1" ht="15" x14ac:dyDescent="0.2">
      <c r="A1716"/>
    </row>
    <row r="1717" spans="1:1" ht="15" x14ac:dyDescent="0.2">
      <c r="A1717"/>
    </row>
    <row r="1718" spans="1:1" ht="15" x14ac:dyDescent="0.2">
      <c r="A1718"/>
    </row>
    <row r="1719" spans="1:1" ht="15" x14ac:dyDescent="0.2">
      <c r="A1719"/>
    </row>
    <row r="1720" spans="1:1" ht="15" x14ac:dyDescent="0.2">
      <c r="A1720"/>
    </row>
    <row r="1721" spans="1:1" ht="15" x14ac:dyDescent="0.2">
      <c r="A1721"/>
    </row>
    <row r="1722" spans="1:1" ht="15" x14ac:dyDescent="0.2">
      <c r="A1722"/>
    </row>
    <row r="1723" spans="1:1" ht="15" x14ac:dyDescent="0.2">
      <c r="A1723"/>
    </row>
    <row r="1724" spans="1:1" ht="15" x14ac:dyDescent="0.2">
      <c r="A1724"/>
    </row>
    <row r="1725" spans="1:1" ht="15" x14ac:dyDescent="0.2">
      <c r="A1725"/>
    </row>
    <row r="1726" spans="1:1" ht="15" x14ac:dyDescent="0.2">
      <c r="A1726"/>
    </row>
    <row r="1727" spans="1:1" ht="15" x14ac:dyDescent="0.2">
      <c r="A1727"/>
    </row>
    <row r="1728" spans="1:1" ht="15" x14ac:dyDescent="0.2">
      <c r="A1728"/>
    </row>
    <row r="1729" spans="1:1" ht="15" x14ac:dyDescent="0.2">
      <c r="A1729"/>
    </row>
    <row r="1730" spans="1:1" ht="15" x14ac:dyDescent="0.2">
      <c r="A1730"/>
    </row>
    <row r="1731" spans="1:1" ht="15" x14ac:dyDescent="0.2">
      <c r="A1731"/>
    </row>
    <row r="1732" spans="1:1" ht="15" x14ac:dyDescent="0.2">
      <c r="A1732"/>
    </row>
    <row r="1733" spans="1:1" ht="15" x14ac:dyDescent="0.2">
      <c r="A1733"/>
    </row>
    <row r="1734" spans="1:1" ht="15" x14ac:dyDescent="0.2">
      <c r="A1734"/>
    </row>
    <row r="1735" spans="1:1" ht="15" x14ac:dyDescent="0.2">
      <c r="A1735"/>
    </row>
    <row r="1736" spans="1:1" ht="15" x14ac:dyDescent="0.2">
      <c r="A1736"/>
    </row>
    <row r="1737" spans="1:1" ht="15" x14ac:dyDescent="0.2">
      <c r="A1737"/>
    </row>
    <row r="1738" spans="1:1" ht="15" x14ac:dyDescent="0.2">
      <c r="A1738"/>
    </row>
    <row r="1739" spans="1:1" ht="15" x14ac:dyDescent="0.2">
      <c r="A1739"/>
    </row>
    <row r="1740" spans="1:1" ht="15" x14ac:dyDescent="0.2">
      <c r="A1740"/>
    </row>
    <row r="1741" spans="1:1" ht="15" x14ac:dyDescent="0.2">
      <c r="A1741"/>
    </row>
    <row r="1742" spans="1:1" ht="15" x14ac:dyDescent="0.2">
      <c r="A1742"/>
    </row>
    <row r="1743" spans="1:1" ht="15" x14ac:dyDescent="0.2">
      <c r="A1743"/>
    </row>
    <row r="1744" spans="1:1" ht="15" x14ac:dyDescent="0.2">
      <c r="A1744"/>
    </row>
    <row r="1745" spans="1:1" ht="15" x14ac:dyDescent="0.2">
      <c r="A1745"/>
    </row>
    <row r="1746" spans="1:1" ht="15" x14ac:dyDescent="0.2">
      <c r="A1746"/>
    </row>
    <row r="1747" spans="1:1" ht="15" x14ac:dyDescent="0.2">
      <c r="A1747"/>
    </row>
    <row r="1748" spans="1:1" ht="15" x14ac:dyDescent="0.2">
      <c r="A1748"/>
    </row>
    <row r="1749" spans="1:1" ht="15" x14ac:dyDescent="0.2">
      <c r="A1749"/>
    </row>
    <row r="1750" spans="1:1" ht="15" x14ac:dyDescent="0.2">
      <c r="A1750"/>
    </row>
    <row r="1751" spans="1:1" ht="15" x14ac:dyDescent="0.2">
      <c r="A1751"/>
    </row>
    <row r="1752" spans="1:1" ht="15" x14ac:dyDescent="0.2">
      <c r="A1752"/>
    </row>
    <row r="1753" spans="1:1" ht="15" x14ac:dyDescent="0.2">
      <c r="A1753"/>
    </row>
    <row r="1754" spans="1:1" ht="15" x14ac:dyDescent="0.2">
      <c r="A1754"/>
    </row>
    <row r="1755" spans="1:1" ht="15" x14ac:dyDescent="0.2">
      <c r="A1755"/>
    </row>
    <row r="1756" spans="1:1" ht="15" x14ac:dyDescent="0.2">
      <c r="A1756"/>
    </row>
    <row r="1757" spans="1:1" ht="15" x14ac:dyDescent="0.2">
      <c r="A1757"/>
    </row>
    <row r="1758" spans="1:1" ht="15" x14ac:dyDescent="0.2">
      <c r="A1758"/>
    </row>
    <row r="1759" spans="1:1" ht="15" x14ac:dyDescent="0.2">
      <c r="A1759"/>
    </row>
    <row r="1760" spans="1:1" ht="15" x14ac:dyDescent="0.2">
      <c r="A1760"/>
    </row>
    <row r="1761" spans="1:1" ht="15" x14ac:dyDescent="0.2">
      <c r="A1761"/>
    </row>
    <row r="1762" spans="1:1" ht="15" x14ac:dyDescent="0.2">
      <c r="A1762"/>
    </row>
    <row r="1763" spans="1:1" ht="15" x14ac:dyDescent="0.2">
      <c r="A1763"/>
    </row>
    <row r="1764" spans="1:1" ht="15" x14ac:dyDescent="0.2">
      <c r="A1764"/>
    </row>
    <row r="1765" spans="1:1" ht="15" x14ac:dyDescent="0.2">
      <c r="A1765"/>
    </row>
    <row r="1766" spans="1:1" ht="15" x14ac:dyDescent="0.2">
      <c r="A1766"/>
    </row>
    <row r="1767" spans="1:1" ht="15" x14ac:dyDescent="0.2">
      <c r="A1767"/>
    </row>
    <row r="1768" spans="1:1" ht="15" x14ac:dyDescent="0.2">
      <c r="A1768"/>
    </row>
    <row r="1769" spans="1:1" ht="15" x14ac:dyDescent="0.2">
      <c r="A1769"/>
    </row>
    <row r="1770" spans="1:1" ht="15" x14ac:dyDescent="0.2">
      <c r="A1770"/>
    </row>
    <row r="1771" spans="1:1" ht="15" x14ac:dyDescent="0.2">
      <c r="A1771"/>
    </row>
    <row r="1772" spans="1:1" ht="15" x14ac:dyDescent="0.2">
      <c r="A1772"/>
    </row>
    <row r="1773" spans="1:1" ht="15" x14ac:dyDescent="0.2">
      <c r="A1773"/>
    </row>
    <row r="1774" spans="1:1" ht="15" x14ac:dyDescent="0.2">
      <c r="A1774"/>
    </row>
    <row r="1775" spans="1:1" ht="15" x14ac:dyDescent="0.2">
      <c r="A1775"/>
    </row>
    <row r="1776" spans="1:1" ht="15" x14ac:dyDescent="0.2">
      <c r="A1776"/>
    </row>
    <row r="1777" spans="1:1" ht="15" x14ac:dyDescent="0.2">
      <c r="A1777"/>
    </row>
    <row r="1778" spans="1:1" ht="15" x14ac:dyDescent="0.2">
      <c r="A1778"/>
    </row>
    <row r="1779" spans="1:1" ht="15" x14ac:dyDescent="0.2">
      <c r="A1779"/>
    </row>
    <row r="1780" spans="1:1" ht="15" x14ac:dyDescent="0.2">
      <c r="A1780"/>
    </row>
    <row r="1781" spans="1:1" ht="15" x14ac:dyDescent="0.2">
      <c r="A1781"/>
    </row>
    <row r="1782" spans="1:1" ht="15" x14ac:dyDescent="0.2">
      <c r="A1782"/>
    </row>
    <row r="1783" spans="1:1" ht="15" x14ac:dyDescent="0.2">
      <c r="A1783"/>
    </row>
    <row r="1784" spans="1:1" ht="15" x14ac:dyDescent="0.2">
      <c r="A1784"/>
    </row>
    <row r="1785" spans="1:1" ht="15" x14ac:dyDescent="0.2">
      <c r="A1785"/>
    </row>
    <row r="1786" spans="1:1" ht="15" x14ac:dyDescent="0.2">
      <c r="A1786"/>
    </row>
    <row r="1787" spans="1:1" ht="15" x14ac:dyDescent="0.2">
      <c r="A1787"/>
    </row>
    <row r="1788" spans="1:1" ht="15" x14ac:dyDescent="0.2">
      <c r="A1788"/>
    </row>
    <row r="1789" spans="1:1" ht="15" x14ac:dyDescent="0.2">
      <c r="A1789"/>
    </row>
    <row r="1790" spans="1:1" ht="15" x14ac:dyDescent="0.2">
      <c r="A1790"/>
    </row>
    <row r="1791" spans="1:1" ht="15" x14ac:dyDescent="0.2">
      <c r="A1791"/>
    </row>
    <row r="1792" spans="1:1" ht="15" x14ac:dyDescent="0.2">
      <c r="A1792"/>
    </row>
    <row r="1793" spans="1:1" ht="15" x14ac:dyDescent="0.2">
      <c r="A1793"/>
    </row>
    <row r="1794" spans="1:1" ht="15" x14ac:dyDescent="0.2">
      <c r="A1794"/>
    </row>
    <row r="1795" spans="1:1" ht="15" x14ac:dyDescent="0.2">
      <c r="A1795"/>
    </row>
    <row r="1796" spans="1:1" ht="15" x14ac:dyDescent="0.2">
      <c r="A1796"/>
    </row>
    <row r="1797" spans="1:1" ht="15" x14ac:dyDescent="0.2">
      <c r="A1797"/>
    </row>
    <row r="1798" spans="1:1" ht="15" x14ac:dyDescent="0.2">
      <c r="A1798"/>
    </row>
    <row r="1799" spans="1:1" ht="15" x14ac:dyDescent="0.2">
      <c r="A1799"/>
    </row>
    <row r="1800" spans="1:1" ht="15" x14ac:dyDescent="0.2">
      <c r="A1800"/>
    </row>
    <row r="1801" spans="1:1" ht="15" x14ac:dyDescent="0.2">
      <c r="A1801"/>
    </row>
    <row r="1802" spans="1:1" ht="15" x14ac:dyDescent="0.2">
      <c r="A1802"/>
    </row>
    <row r="1803" spans="1:1" ht="15" x14ac:dyDescent="0.2">
      <c r="A1803"/>
    </row>
    <row r="1804" spans="1:1" ht="15" x14ac:dyDescent="0.2">
      <c r="A1804"/>
    </row>
    <row r="1805" spans="1:1" ht="15" x14ac:dyDescent="0.2">
      <c r="A1805"/>
    </row>
    <row r="1806" spans="1:1" ht="15" x14ac:dyDescent="0.2">
      <c r="A1806"/>
    </row>
    <row r="1807" spans="1:1" ht="15" x14ac:dyDescent="0.2">
      <c r="A1807"/>
    </row>
    <row r="1808" spans="1:1" ht="15" x14ac:dyDescent="0.2">
      <c r="A1808"/>
    </row>
    <row r="1809" spans="1:1" ht="15" x14ac:dyDescent="0.2">
      <c r="A1809"/>
    </row>
    <row r="1810" spans="1:1" ht="15" x14ac:dyDescent="0.2">
      <c r="A1810"/>
    </row>
    <row r="1811" spans="1:1" ht="15" x14ac:dyDescent="0.2">
      <c r="A1811"/>
    </row>
    <row r="1812" spans="1:1" ht="15" x14ac:dyDescent="0.2">
      <c r="A1812"/>
    </row>
    <row r="1813" spans="1:1" ht="15" x14ac:dyDescent="0.2">
      <c r="A1813"/>
    </row>
    <row r="1814" spans="1:1" ht="15" x14ac:dyDescent="0.2">
      <c r="A1814"/>
    </row>
    <row r="1815" spans="1:1" ht="15" x14ac:dyDescent="0.2">
      <c r="A1815"/>
    </row>
    <row r="1816" spans="1:1" ht="15" x14ac:dyDescent="0.2">
      <c r="A1816"/>
    </row>
    <row r="1817" spans="1:1" ht="15" x14ac:dyDescent="0.2">
      <c r="A1817"/>
    </row>
    <row r="1818" spans="1:1" ht="15" x14ac:dyDescent="0.2">
      <c r="A1818"/>
    </row>
    <row r="1819" spans="1:1" ht="15" x14ac:dyDescent="0.2">
      <c r="A1819"/>
    </row>
    <row r="1820" spans="1:1" ht="15" x14ac:dyDescent="0.2">
      <c r="A1820"/>
    </row>
    <row r="1821" spans="1:1" ht="15" x14ac:dyDescent="0.2">
      <c r="A1821"/>
    </row>
    <row r="1822" spans="1:1" ht="15" x14ac:dyDescent="0.2">
      <c r="A1822"/>
    </row>
    <row r="1823" spans="1:1" ht="15" x14ac:dyDescent="0.2">
      <c r="A1823"/>
    </row>
    <row r="1824" spans="1:1" ht="15" x14ac:dyDescent="0.2">
      <c r="A1824"/>
    </row>
    <row r="1825" spans="1:1" ht="15" x14ac:dyDescent="0.2">
      <c r="A1825"/>
    </row>
    <row r="1826" spans="1:1" ht="15" x14ac:dyDescent="0.2">
      <c r="A1826"/>
    </row>
    <row r="1827" spans="1:1" ht="15" x14ac:dyDescent="0.2">
      <c r="A1827"/>
    </row>
    <row r="1828" spans="1:1" ht="15" x14ac:dyDescent="0.2">
      <c r="A1828"/>
    </row>
    <row r="1829" spans="1:1" ht="15" x14ac:dyDescent="0.2">
      <c r="A1829"/>
    </row>
    <row r="1830" spans="1:1" ht="15" x14ac:dyDescent="0.2">
      <c r="A1830"/>
    </row>
    <row r="1831" spans="1:1" ht="15" x14ac:dyDescent="0.2">
      <c r="A1831"/>
    </row>
    <row r="1832" spans="1:1" ht="15" x14ac:dyDescent="0.2">
      <c r="A1832"/>
    </row>
    <row r="1833" spans="1:1" ht="15" x14ac:dyDescent="0.2">
      <c r="A1833"/>
    </row>
    <row r="1834" spans="1:1" ht="15" x14ac:dyDescent="0.2">
      <c r="A1834"/>
    </row>
    <row r="1835" spans="1:1" ht="15" x14ac:dyDescent="0.2">
      <c r="A1835"/>
    </row>
    <row r="1836" spans="1:1" ht="15" x14ac:dyDescent="0.2">
      <c r="A1836"/>
    </row>
    <row r="1837" spans="1:1" ht="15" x14ac:dyDescent="0.2">
      <c r="A1837"/>
    </row>
    <row r="1838" spans="1:1" ht="15" x14ac:dyDescent="0.2">
      <c r="A1838"/>
    </row>
    <row r="1839" spans="1:1" ht="15" x14ac:dyDescent="0.2">
      <c r="A1839"/>
    </row>
    <row r="1840" spans="1:1" ht="15" x14ac:dyDescent="0.2">
      <c r="A1840"/>
    </row>
    <row r="1841" spans="1:1" ht="15" x14ac:dyDescent="0.2">
      <c r="A1841"/>
    </row>
    <row r="1842" spans="1:1" ht="15" x14ac:dyDescent="0.2">
      <c r="A1842"/>
    </row>
    <row r="1843" spans="1:1" ht="15" x14ac:dyDescent="0.2">
      <c r="A1843"/>
    </row>
    <row r="1844" spans="1:1" ht="15" x14ac:dyDescent="0.2">
      <c r="A1844"/>
    </row>
    <row r="1845" spans="1:1" ht="15" x14ac:dyDescent="0.2">
      <c r="A1845"/>
    </row>
    <row r="1846" spans="1:1" ht="15" x14ac:dyDescent="0.2">
      <c r="A1846"/>
    </row>
    <row r="1847" spans="1:1" ht="15" x14ac:dyDescent="0.2">
      <c r="A1847"/>
    </row>
    <row r="1848" spans="1:1" ht="15" x14ac:dyDescent="0.2">
      <c r="A1848"/>
    </row>
    <row r="1849" spans="1:1" ht="15" x14ac:dyDescent="0.2">
      <c r="A1849"/>
    </row>
    <row r="1850" spans="1:1" ht="15" x14ac:dyDescent="0.2">
      <c r="A1850"/>
    </row>
    <row r="1851" spans="1:1" ht="15" x14ac:dyDescent="0.2">
      <c r="A1851"/>
    </row>
    <row r="1852" spans="1:1" ht="15" x14ac:dyDescent="0.2">
      <c r="A1852"/>
    </row>
    <row r="1853" spans="1:1" ht="15" x14ac:dyDescent="0.2">
      <c r="A1853"/>
    </row>
    <row r="1854" spans="1:1" ht="15" x14ac:dyDescent="0.2">
      <c r="A1854"/>
    </row>
    <row r="1855" spans="1:1" ht="15" x14ac:dyDescent="0.2">
      <c r="A1855"/>
    </row>
    <row r="1856" spans="1:1" ht="15" x14ac:dyDescent="0.2">
      <c r="A1856"/>
    </row>
    <row r="1857" spans="1:1" ht="15" x14ac:dyDescent="0.2">
      <c r="A1857"/>
    </row>
    <row r="1858" spans="1:1" ht="15" x14ac:dyDescent="0.2">
      <c r="A1858"/>
    </row>
    <row r="1859" spans="1:1" ht="15" x14ac:dyDescent="0.2">
      <c r="A1859"/>
    </row>
    <row r="1860" spans="1:1" ht="15" x14ac:dyDescent="0.2">
      <c r="A1860"/>
    </row>
    <row r="1861" spans="1:1" ht="15" x14ac:dyDescent="0.2">
      <c r="A1861"/>
    </row>
    <row r="1862" spans="1:1" ht="15" x14ac:dyDescent="0.2">
      <c r="A1862"/>
    </row>
    <row r="1863" spans="1:1" ht="15" x14ac:dyDescent="0.2">
      <c r="A1863"/>
    </row>
    <row r="1864" spans="1:1" ht="15" x14ac:dyDescent="0.2">
      <c r="A1864"/>
    </row>
    <row r="1865" spans="1:1" ht="15" x14ac:dyDescent="0.2">
      <c r="A1865"/>
    </row>
    <row r="1866" spans="1:1" ht="15" x14ac:dyDescent="0.2">
      <c r="A1866"/>
    </row>
    <row r="1867" spans="1:1" ht="15" x14ac:dyDescent="0.2">
      <c r="A1867"/>
    </row>
    <row r="1868" spans="1:1" ht="15" x14ac:dyDescent="0.2">
      <c r="A1868"/>
    </row>
    <row r="1869" spans="1:1" ht="15" x14ac:dyDescent="0.2">
      <c r="A1869"/>
    </row>
    <row r="1870" spans="1:1" ht="15" x14ac:dyDescent="0.2">
      <c r="A1870"/>
    </row>
    <row r="1871" spans="1:1" ht="15" x14ac:dyDescent="0.2">
      <c r="A1871"/>
    </row>
    <row r="1872" spans="1:1" ht="15" x14ac:dyDescent="0.2">
      <c r="A1872"/>
    </row>
    <row r="1873" spans="1:1" ht="15" x14ac:dyDescent="0.2">
      <c r="A1873"/>
    </row>
    <row r="1874" spans="1:1" ht="15" x14ac:dyDescent="0.2">
      <c r="A1874"/>
    </row>
    <row r="1875" spans="1:1" ht="15" x14ac:dyDescent="0.2">
      <c r="A1875"/>
    </row>
    <row r="1876" spans="1:1" ht="15" x14ac:dyDescent="0.2">
      <c r="A1876"/>
    </row>
    <row r="1877" spans="1:1" ht="15" x14ac:dyDescent="0.2">
      <c r="A1877"/>
    </row>
    <row r="1878" spans="1:1" ht="15" x14ac:dyDescent="0.2">
      <c r="A1878"/>
    </row>
    <row r="1879" spans="1:1" ht="15" x14ac:dyDescent="0.2">
      <c r="A1879"/>
    </row>
    <row r="1880" spans="1:1" ht="15" x14ac:dyDescent="0.2">
      <c r="A1880"/>
    </row>
    <row r="1881" spans="1:1" ht="15" x14ac:dyDescent="0.2">
      <c r="A1881"/>
    </row>
    <row r="1882" spans="1:1" ht="15" x14ac:dyDescent="0.2">
      <c r="A1882"/>
    </row>
    <row r="1883" spans="1:1" ht="15" x14ac:dyDescent="0.2">
      <c r="A1883"/>
    </row>
    <row r="1884" spans="1:1" ht="15" x14ac:dyDescent="0.2">
      <c r="A1884"/>
    </row>
    <row r="1885" spans="1:1" ht="15" x14ac:dyDescent="0.2">
      <c r="A1885"/>
    </row>
    <row r="1886" spans="1:1" ht="15" x14ac:dyDescent="0.2">
      <c r="A1886"/>
    </row>
    <row r="1887" spans="1:1" ht="15" x14ac:dyDescent="0.2">
      <c r="A1887"/>
    </row>
    <row r="1888" spans="1:1" ht="15" x14ac:dyDescent="0.2">
      <c r="A1888"/>
    </row>
    <row r="1889" spans="1:1" ht="15" x14ac:dyDescent="0.2">
      <c r="A1889"/>
    </row>
    <row r="1890" spans="1:1" ht="15" x14ac:dyDescent="0.2">
      <c r="A1890"/>
    </row>
    <row r="1891" spans="1:1" ht="15" x14ac:dyDescent="0.2">
      <c r="A1891"/>
    </row>
    <row r="1892" spans="1:1" ht="15" x14ac:dyDescent="0.2">
      <c r="A1892"/>
    </row>
    <row r="1893" spans="1:1" ht="15" x14ac:dyDescent="0.2">
      <c r="A1893"/>
    </row>
    <row r="1894" spans="1:1" ht="15" x14ac:dyDescent="0.2">
      <c r="A1894"/>
    </row>
    <row r="1895" spans="1:1" ht="15" x14ac:dyDescent="0.2">
      <c r="A1895"/>
    </row>
    <row r="1896" spans="1:1" ht="15" x14ac:dyDescent="0.2">
      <c r="A1896"/>
    </row>
    <row r="1897" spans="1:1" ht="15" x14ac:dyDescent="0.2">
      <c r="A1897"/>
    </row>
    <row r="1898" spans="1:1" ht="15" x14ac:dyDescent="0.2">
      <c r="A1898"/>
    </row>
    <row r="1899" spans="1:1" ht="15" x14ac:dyDescent="0.2">
      <c r="A1899"/>
    </row>
    <row r="1900" spans="1:1" ht="15" x14ac:dyDescent="0.2">
      <c r="A1900"/>
    </row>
    <row r="1901" spans="1:1" ht="15" x14ac:dyDescent="0.2">
      <c r="A1901"/>
    </row>
    <row r="1902" spans="1:1" ht="15" x14ac:dyDescent="0.2">
      <c r="A1902"/>
    </row>
    <row r="1903" spans="1:1" ht="15" x14ac:dyDescent="0.2">
      <c r="A1903"/>
    </row>
    <row r="1904" spans="1:1" ht="15" x14ac:dyDescent="0.2">
      <c r="A1904"/>
    </row>
    <row r="1905" spans="1:1" ht="15" x14ac:dyDescent="0.2">
      <c r="A1905"/>
    </row>
    <row r="1906" spans="1:1" ht="15" x14ac:dyDescent="0.2">
      <c r="A1906"/>
    </row>
    <row r="1907" spans="1:1" ht="15" x14ac:dyDescent="0.2">
      <c r="A1907"/>
    </row>
    <row r="1908" spans="1:1" ht="15" x14ac:dyDescent="0.2">
      <c r="A1908"/>
    </row>
    <row r="1909" spans="1:1" ht="15" x14ac:dyDescent="0.2">
      <c r="A1909"/>
    </row>
    <row r="1910" spans="1:1" ht="15" x14ac:dyDescent="0.2">
      <c r="A1910"/>
    </row>
    <row r="1911" spans="1:1" ht="15" x14ac:dyDescent="0.2">
      <c r="A1911"/>
    </row>
    <row r="1912" spans="1:1" ht="15" x14ac:dyDescent="0.2">
      <c r="A1912"/>
    </row>
    <row r="1913" spans="1:1" ht="15" x14ac:dyDescent="0.2">
      <c r="A1913"/>
    </row>
    <row r="1914" spans="1:1" ht="15" x14ac:dyDescent="0.2">
      <c r="A1914"/>
    </row>
    <row r="1915" spans="1:1" ht="15" x14ac:dyDescent="0.2">
      <c r="A1915"/>
    </row>
    <row r="1916" spans="1:1" ht="15" x14ac:dyDescent="0.2">
      <c r="A1916"/>
    </row>
    <row r="1917" spans="1:1" ht="15" x14ac:dyDescent="0.2">
      <c r="A1917"/>
    </row>
    <row r="1918" spans="1:1" ht="15" x14ac:dyDescent="0.2">
      <c r="A1918"/>
    </row>
    <row r="1919" spans="1:1" ht="15" x14ac:dyDescent="0.2">
      <c r="A1919"/>
    </row>
    <row r="1920" spans="1:1" ht="15" x14ac:dyDescent="0.2">
      <c r="A1920"/>
    </row>
    <row r="1921" spans="1:1" ht="15" x14ac:dyDescent="0.2">
      <c r="A1921"/>
    </row>
    <row r="1922" spans="1:1" ht="15" x14ac:dyDescent="0.2">
      <c r="A1922"/>
    </row>
    <row r="1923" spans="1:1" ht="15" x14ac:dyDescent="0.2">
      <c r="A1923"/>
    </row>
    <row r="1924" spans="1:1" ht="15" x14ac:dyDescent="0.2">
      <c r="A1924"/>
    </row>
    <row r="1925" spans="1:1" ht="15" x14ac:dyDescent="0.2">
      <c r="A1925"/>
    </row>
    <row r="1926" spans="1:1" ht="15" x14ac:dyDescent="0.2">
      <c r="A1926"/>
    </row>
    <row r="1927" spans="1:1" ht="15" x14ac:dyDescent="0.2">
      <c r="A1927"/>
    </row>
    <row r="1928" spans="1:1" ht="15" x14ac:dyDescent="0.2">
      <c r="A1928"/>
    </row>
    <row r="1929" spans="1:1" ht="15" x14ac:dyDescent="0.2">
      <c r="A1929"/>
    </row>
    <row r="1930" spans="1:1" ht="15" x14ac:dyDescent="0.2">
      <c r="A1930"/>
    </row>
    <row r="1931" spans="1:1" ht="15" x14ac:dyDescent="0.2">
      <c r="A1931"/>
    </row>
    <row r="1932" spans="1:1" ht="15" x14ac:dyDescent="0.2">
      <c r="A1932"/>
    </row>
    <row r="1933" spans="1:1" ht="15" x14ac:dyDescent="0.2">
      <c r="A1933"/>
    </row>
    <row r="1934" spans="1:1" ht="15" x14ac:dyDescent="0.2">
      <c r="A1934"/>
    </row>
    <row r="1935" spans="1:1" ht="15" x14ac:dyDescent="0.2">
      <c r="A1935"/>
    </row>
    <row r="1936" spans="1:1" ht="15" x14ac:dyDescent="0.2">
      <c r="A1936"/>
    </row>
    <row r="1937" spans="1:1" ht="15" x14ac:dyDescent="0.2">
      <c r="A1937"/>
    </row>
    <row r="1938" spans="1:1" ht="15" x14ac:dyDescent="0.2">
      <c r="A1938"/>
    </row>
    <row r="1939" spans="1:1" ht="15" x14ac:dyDescent="0.2">
      <c r="A1939"/>
    </row>
    <row r="1940" spans="1:1" ht="15" x14ac:dyDescent="0.2">
      <c r="A1940"/>
    </row>
    <row r="1941" spans="1:1" ht="15" x14ac:dyDescent="0.2">
      <c r="A1941"/>
    </row>
    <row r="1942" spans="1:1" ht="15" x14ac:dyDescent="0.2">
      <c r="A1942"/>
    </row>
    <row r="1943" spans="1:1" ht="15" x14ac:dyDescent="0.2">
      <c r="A1943"/>
    </row>
    <row r="1944" spans="1:1" ht="15" x14ac:dyDescent="0.2">
      <c r="A1944"/>
    </row>
    <row r="1945" spans="1:1" ht="15" x14ac:dyDescent="0.2">
      <c r="A1945"/>
    </row>
    <row r="1946" spans="1:1" ht="15" x14ac:dyDescent="0.2">
      <c r="A1946"/>
    </row>
    <row r="1947" spans="1:1" ht="15" x14ac:dyDescent="0.2">
      <c r="A1947"/>
    </row>
    <row r="1948" spans="1:1" ht="15" x14ac:dyDescent="0.2">
      <c r="A1948"/>
    </row>
    <row r="1949" spans="1:1" ht="15" x14ac:dyDescent="0.2">
      <c r="A1949"/>
    </row>
    <row r="1950" spans="1:1" ht="15" x14ac:dyDescent="0.2">
      <c r="A1950"/>
    </row>
    <row r="1951" spans="1:1" ht="15" x14ac:dyDescent="0.2">
      <c r="A1951"/>
    </row>
    <row r="1952" spans="1:1" ht="15" x14ac:dyDescent="0.2">
      <c r="A1952"/>
    </row>
    <row r="1953" spans="1:1" ht="15" x14ac:dyDescent="0.2">
      <c r="A1953"/>
    </row>
    <row r="1954" spans="1:1" ht="15" x14ac:dyDescent="0.2">
      <c r="A1954"/>
    </row>
    <row r="1955" spans="1:1" ht="15" x14ac:dyDescent="0.2">
      <c r="A1955"/>
    </row>
    <row r="1956" spans="1:1" ht="15" x14ac:dyDescent="0.2">
      <c r="A1956"/>
    </row>
    <row r="1957" spans="1:1" ht="15" x14ac:dyDescent="0.2">
      <c r="A1957"/>
    </row>
    <row r="1958" spans="1:1" ht="15" x14ac:dyDescent="0.2">
      <c r="A1958"/>
    </row>
    <row r="1959" spans="1:1" ht="15" x14ac:dyDescent="0.2">
      <c r="A1959"/>
    </row>
    <row r="1960" spans="1:1" ht="15" x14ac:dyDescent="0.2">
      <c r="A1960"/>
    </row>
    <row r="1961" spans="1:1" ht="15" x14ac:dyDescent="0.2">
      <c r="A1961"/>
    </row>
    <row r="1962" spans="1:1" ht="15" x14ac:dyDescent="0.2">
      <c r="A1962"/>
    </row>
    <row r="1963" spans="1:1" ht="15" x14ac:dyDescent="0.2">
      <c r="A1963"/>
    </row>
    <row r="1964" spans="1:1" ht="15" x14ac:dyDescent="0.2">
      <c r="A1964"/>
    </row>
    <row r="1965" spans="1:1" ht="15" x14ac:dyDescent="0.2">
      <c r="A1965"/>
    </row>
    <row r="1966" spans="1:1" ht="15" x14ac:dyDescent="0.2">
      <c r="A1966"/>
    </row>
    <row r="1967" spans="1:1" ht="15" x14ac:dyDescent="0.2">
      <c r="A1967"/>
    </row>
    <row r="1968" spans="1:1" ht="15" x14ac:dyDescent="0.2">
      <c r="A1968"/>
    </row>
    <row r="1969" spans="1:1" ht="15" x14ac:dyDescent="0.2">
      <c r="A1969"/>
    </row>
    <row r="1970" spans="1:1" ht="15" x14ac:dyDescent="0.2">
      <c r="A1970"/>
    </row>
    <row r="1971" spans="1:1" ht="15" x14ac:dyDescent="0.2">
      <c r="A1971"/>
    </row>
    <row r="1972" spans="1:1" ht="15" x14ac:dyDescent="0.2">
      <c r="A1972"/>
    </row>
    <row r="1973" spans="1:1" ht="15" x14ac:dyDescent="0.2">
      <c r="A1973"/>
    </row>
    <row r="1974" spans="1:1" ht="15" x14ac:dyDescent="0.2">
      <c r="A1974"/>
    </row>
    <row r="1975" spans="1:1" ht="15" x14ac:dyDescent="0.2">
      <c r="A1975"/>
    </row>
    <row r="1976" spans="1:1" ht="15" x14ac:dyDescent="0.2">
      <c r="A1976"/>
    </row>
    <row r="1977" spans="1:1" ht="15" x14ac:dyDescent="0.2">
      <c r="A1977"/>
    </row>
    <row r="1978" spans="1:1" ht="15" x14ac:dyDescent="0.2">
      <c r="A1978"/>
    </row>
    <row r="1979" spans="1:1" ht="15" x14ac:dyDescent="0.2">
      <c r="A1979"/>
    </row>
    <row r="1980" spans="1:1" ht="15" x14ac:dyDescent="0.2">
      <c r="A1980"/>
    </row>
    <row r="1981" spans="1:1" ht="15" x14ac:dyDescent="0.2">
      <c r="A1981"/>
    </row>
    <row r="1982" spans="1:1" ht="15" x14ac:dyDescent="0.2">
      <c r="A1982"/>
    </row>
    <row r="1983" spans="1:1" ht="15" x14ac:dyDescent="0.2">
      <c r="A1983"/>
    </row>
    <row r="1984" spans="1:1" ht="15" x14ac:dyDescent="0.2">
      <c r="A1984"/>
    </row>
    <row r="1985" spans="1:1" ht="15" x14ac:dyDescent="0.2">
      <c r="A1985"/>
    </row>
    <row r="1986" spans="1:1" ht="15" x14ac:dyDescent="0.2">
      <c r="A1986"/>
    </row>
    <row r="1987" spans="1:1" ht="15" x14ac:dyDescent="0.2">
      <c r="A1987"/>
    </row>
    <row r="1988" spans="1:1" ht="15" x14ac:dyDescent="0.2">
      <c r="A1988"/>
    </row>
    <row r="1989" spans="1:1" ht="15" x14ac:dyDescent="0.2">
      <c r="A1989"/>
    </row>
    <row r="1990" spans="1:1" ht="15" x14ac:dyDescent="0.2">
      <c r="A1990"/>
    </row>
    <row r="1991" spans="1:1" ht="15" x14ac:dyDescent="0.2">
      <c r="A1991"/>
    </row>
    <row r="1992" spans="1:1" ht="15" x14ac:dyDescent="0.2">
      <c r="A1992"/>
    </row>
    <row r="1993" spans="1:1" ht="15" x14ac:dyDescent="0.2">
      <c r="A1993"/>
    </row>
    <row r="1994" spans="1:1" ht="15" x14ac:dyDescent="0.2">
      <c r="A1994"/>
    </row>
    <row r="1995" spans="1:1" ht="15" x14ac:dyDescent="0.2">
      <c r="A1995"/>
    </row>
    <row r="1996" spans="1:1" ht="15" x14ac:dyDescent="0.2">
      <c r="A1996"/>
    </row>
    <row r="1997" spans="1:1" ht="15" x14ac:dyDescent="0.2">
      <c r="A1997"/>
    </row>
    <row r="1998" spans="1:1" ht="15" x14ac:dyDescent="0.2">
      <c r="A1998"/>
    </row>
    <row r="1999" spans="1:1" ht="15" x14ac:dyDescent="0.2">
      <c r="A1999"/>
    </row>
    <row r="2000" spans="1:1" ht="15" x14ac:dyDescent="0.2">
      <c r="A2000"/>
    </row>
    <row r="2001" spans="1:1" ht="15" x14ac:dyDescent="0.2">
      <c r="A2001"/>
    </row>
    <row r="2002" spans="1:1" ht="15" x14ac:dyDescent="0.2">
      <c r="A2002"/>
    </row>
    <row r="2003" spans="1:1" ht="15" x14ac:dyDescent="0.2">
      <c r="A2003"/>
    </row>
    <row r="2004" spans="1:1" ht="15" x14ac:dyDescent="0.2">
      <c r="A2004"/>
    </row>
    <row r="2005" spans="1:1" ht="15" x14ac:dyDescent="0.2">
      <c r="A2005"/>
    </row>
    <row r="2006" spans="1:1" ht="15" x14ac:dyDescent="0.2">
      <c r="A2006"/>
    </row>
    <row r="2007" spans="1:1" ht="15" x14ac:dyDescent="0.2">
      <c r="A2007"/>
    </row>
    <row r="2008" spans="1:1" ht="15" x14ac:dyDescent="0.2">
      <c r="A2008"/>
    </row>
    <row r="2009" spans="1:1" ht="15" x14ac:dyDescent="0.2">
      <c r="A2009"/>
    </row>
    <row r="2010" spans="1:1" ht="15" x14ac:dyDescent="0.2">
      <c r="A2010"/>
    </row>
    <row r="2011" spans="1:1" ht="15" x14ac:dyDescent="0.2">
      <c r="A2011"/>
    </row>
    <row r="2012" spans="1:1" ht="15" x14ac:dyDescent="0.2">
      <c r="A2012"/>
    </row>
    <row r="2013" spans="1:1" ht="15" x14ac:dyDescent="0.2">
      <c r="A2013"/>
    </row>
    <row r="2014" spans="1:1" ht="15" x14ac:dyDescent="0.2">
      <c r="A2014"/>
    </row>
    <row r="2015" spans="1:1" ht="15" x14ac:dyDescent="0.2">
      <c r="A2015"/>
    </row>
    <row r="2016" spans="1:1" ht="15" x14ac:dyDescent="0.2">
      <c r="A2016"/>
    </row>
    <row r="2017" spans="1:1" ht="15" x14ac:dyDescent="0.2">
      <c r="A2017"/>
    </row>
    <row r="2018" spans="1:1" ht="15" x14ac:dyDescent="0.2">
      <c r="A2018"/>
    </row>
    <row r="2019" spans="1:1" ht="15" x14ac:dyDescent="0.2">
      <c r="A2019"/>
    </row>
    <row r="2020" spans="1:1" ht="15" x14ac:dyDescent="0.2">
      <c r="A2020"/>
    </row>
    <row r="2021" spans="1:1" ht="15" x14ac:dyDescent="0.2">
      <c r="A2021"/>
    </row>
    <row r="2022" spans="1:1" ht="15" x14ac:dyDescent="0.2">
      <c r="A2022"/>
    </row>
    <row r="2023" spans="1:1" ht="15" x14ac:dyDescent="0.2">
      <c r="A2023"/>
    </row>
    <row r="2024" spans="1:1" ht="15" x14ac:dyDescent="0.2">
      <c r="A2024"/>
    </row>
    <row r="2025" spans="1:1" ht="15" x14ac:dyDescent="0.2">
      <c r="A2025"/>
    </row>
    <row r="2026" spans="1:1" ht="15" x14ac:dyDescent="0.2">
      <c r="A2026"/>
    </row>
    <row r="2027" spans="1:1" ht="15" x14ac:dyDescent="0.2">
      <c r="A2027"/>
    </row>
    <row r="2028" spans="1:1" ht="15" x14ac:dyDescent="0.2">
      <c r="A2028"/>
    </row>
    <row r="2029" spans="1:1" ht="15" x14ac:dyDescent="0.2">
      <c r="A2029"/>
    </row>
    <row r="2030" spans="1:1" ht="15" x14ac:dyDescent="0.2">
      <c r="A2030"/>
    </row>
    <row r="2031" spans="1:1" ht="15" x14ac:dyDescent="0.2">
      <c r="A2031"/>
    </row>
    <row r="2032" spans="1:1" ht="15" x14ac:dyDescent="0.2">
      <c r="A2032"/>
    </row>
    <row r="2033" spans="1:1" ht="15" x14ac:dyDescent="0.2">
      <c r="A2033"/>
    </row>
    <row r="2034" spans="1:1" ht="15" x14ac:dyDescent="0.2">
      <c r="A2034"/>
    </row>
    <row r="2035" spans="1:1" ht="15" x14ac:dyDescent="0.2">
      <c r="A2035"/>
    </row>
    <row r="2036" spans="1:1" ht="15" x14ac:dyDescent="0.2">
      <c r="A2036"/>
    </row>
    <row r="2037" spans="1:1" ht="15" x14ac:dyDescent="0.2">
      <c r="A2037"/>
    </row>
    <row r="2038" spans="1:1" ht="15" x14ac:dyDescent="0.2">
      <c r="A2038"/>
    </row>
    <row r="2039" spans="1:1" ht="15" x14ac:dyDescent="0.2">
      <c r="A2039"/>
    </row>
    <row r="2040" spans="1:1" ht="15" x14ac:dyDescent="0.2">
      <c r="A2040"/>
    </row>
    <row r="2041" spans="1:1" ht="15" x14ac:dyDescent="0.2">
      <c r="A2041"/>
    </row>
    <row r="2042" spans="1:1" ht="15" x14ac:dyDescent="0.2">
      <c r="A2042"/>
    </row>
    <row r="2043" spans="1:1" ht="15" x14ac:dyDescent="0.2">
      <c r="A2043"/>
    </row>
    <row r="2044" spans="1:1" ht="15" x14ac:dyDescent="0.2">
      <c r="A2044"/>
    </row>
    <row r="2045" spans="1:1" ht="15" x14ac:dyDescent="0.2">
      <c r="A2045"/>
    </row>
    <row r="2046" spans="1:1" ht="15" x14ac:dyDescent="0.2">
      <c r="A2046"/>
    </row>
    <row r="2047" spans="1:1" ht="15" x14ac:dyDescent="0.2">
      <c r="A2047"/>
    </row>
    <row r="2048" spans="1:1" ht="15" x14ac:dyDescent="0.2">
      <c r="A2048"/>
    </row>
    <row r="2049" spans="1:1" ht="15" x14ac:dyDescent="0.2">
      <c r="A2049"/>
    </row>
    <row r="2050" spans="1:1" ht="15" x14ac:dyDescent="0.2">
      <c r="A2050"/>
    </row>
    <row r="2051" spans="1:1" ht="15" x14ac:dyDescent="0.2">
      <c r="A2051"/>
    </row>
    <row r="2052" spans="1:1" ht="15" x14ac:dyDescent="0.2">
      <c r="A2052"/>
    </row>
    <row r="2053" spans="1:1" ht="15" x14ac:dyDescent="0.2">
      <c r="A2053"/>
    </row>
    <row r="2054" spans="1:1" ht="15" x14ac:dyDescent="0.2">
      <c r="A2054"/>
    </row>
    <row r="2055" spans="1:1" ht="15" x14ac:dyDescent="0.2">
      <c r="A2055"/>
    </row>
    <row r="2056" spans="1:1" ht="15" x14ac:dyDescent="0.2">
      <c r="A2056"/>
    </row>
    <row r="2057" spans="1:1" ht="15" x14ac:dyDescent="0.2">
      <c r="A2057"/>
    </row>
    <row r="2058" spans="1:1" ht="15" x14ac:dyDescent="0.2">
      <c r="A2058"/>
    </row>
    <row r="2059" spans="1:1" ht="15" x14ac:dyDescent="0.2">
      <c r="A2059"/>
    </row>
    <row r="2060" spans="1:1" ht="15" x14ac:dyDescent="0.2">
      <c r="A2060"/>
    </row>
    <row r="2061" spans="1:1" ht="15" x14ac:dyDescent="0.2">
      <c r="A2061"/>
    </row>
    <row r="2062" spans="1:1" ht="15" x14ac:dyDescent="0.2">
      <c r="A2062"/>
    </row>
    <row r="2063" spans="1:1" ht="15" x14ac:dyDescent="0.2">
      <c r="A2063"/>
    </row>
    <row r="2064" spans="1:1" ht="15" x14ac:dyDescent="0.2">
      <c r="A2064"/>
    </row>
    <row r="2065" spans="1:1" ht="15" x14ac:dyDescent="0.2">
      <c r="A2065"/>
    </row>
    <row r="2066" spans="1:1" ht="15" x14ac:dyDescent="0.2">
      <c r="A2066"/>
    </row>
    <row r="2067" spans="1:1" ht="15" x14ac:dyDescent="0.2">
      <c r="A2067"/>
    </row>
    <row r="2068" spans="1:1" ht="15" x14ac:dyDescent="0.2">
      <c r="A2068"/>
    </row>
    <row r="2069" spans="1:1" ht="15" x14ac:dyDescent="0.2">
      <c r="A2069"/>
    </row>
    <row r="2070" spans="1:1" ht="15" x14ac:dyDescent="0.2">
      <c r="A2070"/>
    </row>
    <row r="2071" spans="1:1" ht="15" x14ac:dyDescent="0.2">
      <c r="A2071"/>
    </row>
    <row r="2072" spans="1:1" ht="15" x14ac:dyDescent="0.2">
      <c r="A2072"/>
    </row>
    <row r="2073" spans="1:1" ht="15" x14ac:dyDescent="0.2">
      <c r="A2073"/>
    </row>
    <row r="2074" spans="1:1" ht="15" x14ac:dyDescent="0.2">
      <c r="A2074"/>
    </row>
    <row r="2075" spans="1:1" ht="15" x14ac:dyDescent="0.2">
      <c r="A2075"/>
    </row>
    <row r="2076" spans="1:1" ht="15" x14ac:dyDescent="0.2">
      <c r="A2076"/>
    </row>
    <row r="2077" spans="1:1" ht="15" x14ac:dyDescent="0.2">
      <c r="A2077"/>
    </row>
    <row r="2078" spans="1:1" ht="15" x14ac:dyDescent="0.2">
      <c r="A2078"/>
    </row>
    <row r="2079" spans="1:1" ht="15" x14ac:dyDescent="0.2">
      <c r="A2079"/>
    </row>
    <row r="2080" spans="1:1" ht="15" x14ac:dyDescent="0.2">
      <c r="A2080"/>
    </row>
    <row r="2081" spans="1:1" ht="15" x14ac:dyDescent="0.2">
      <c r="A2081"/>
    </row>
    <row r="2082" spans="1:1" ht="15" x14ac:dyDescent="0.2">
      <c r="A2082"/>
    </row>
    <row r="2083" spans="1:1" ht="15" x14ac:dyDescent="0.2">
      <c r="A2083"/>
    </row>
    <row r="2084" spans="1:1" ht="15" x14ac:dyDescent="0.2">
      <c r="A2084"/>
    </row>
    <row r="2085" spans="1:1" ht="15" x14ac:dyDescent="0.2">
      <c r="A2085"/>
    </row>
    <row r="2086" spans="1:1" ht="15" x14ac:dyDescent="0.2">
      <c r="A2086"/>
    </row>
    <row r="2087" spans="1:1" ht="15" x14ac:dyDescent="0.2">
      <c r="A2087"/>
    </row>
    <row r="2088" spans="1:1" ht="15" x14ac:dyDescent="0.2">
      <c r="A2088"/>
    </row>
    <row r="2089" spans="1:1" ht="15" x14ac:dyDescent="0.2">
      <c r="A2089"/>
    </row>
    <row r="2090" spans="1:1" ht="15" x14ac:dyDescent="0.2">
      <c r="A2090"/>
    </row>
    <row r="2091" spans="1:1" ht="15" x14ac:dyDescent="0.2">
      <c r="A2091"/>
    </row>
    <row r="2092" spans="1:1" ht="15" x14ac:dyDescent="0.2">
      <c r="A2092"/>
    </row>
    <row r="2093" spans="1:1" ht="15" x14ac:dyDescent="0.2">
      <c r="A2093"/>
    </row>
    <row r="2094" spans="1:1" ht="15" x14ac:dyDescent="0.2">
      <c r="A2094"/>
    </row>
    <row r="2095" spans="1:1" ht="15" x14ac:dyDescent="0.2">
      <c r="A2095"/>
    </row>
    <row r="2096" spans="1:1" ht="15" x14ac:dyDescent="0.2">
      <c r="A2096"/>
    </row>
    <row r="2097" spans="1:1" ht="15" x14ac:dyDescent="0.2">
      <c r="A2097"/>
    </row>
    <row r="2098" spans="1:1" ht="15" x14ac:dyDescent="0.2">
      <c r="A2098"/>
    </row>
    <row r="2099" spans="1:1" ht="15" x14ac:dyDescent="0.2">
      <c r="A2099"/>
    </row>
    <row r="2100" spans="1:1" ht="15" x14ac:dyDescent="0.2">
      <c r="A2100"/>
    </row>
    <row r="2101" spans="1:1" ht="15" x14ac:dyDescent="0.2">
      <c r="A2101"/>
    </row>
    <row r="2102" spans="1:1" ht="15" x14ac:dyDescent="0.2">
      <c r="A2102"/>
    </row>
    <row r="2103" spans="1:1" ht="15" x14ac:dyDescent="0.2">
      <c r="A2103"/>
    </row>
    <row r="2104" spans="1:1" ht="15" x14ac:dyDescent="0.2">
      <c r="A2104"/>
    </row>
    <row r="2105" spans="1:1" ht="15" x14ac:dyDescent="0.2">
      <c r="A2105"/>
    </row>
    <row r="2106" spans="1:1" ht="15" x14ac:dyDescent="0.2">
      <c r="A2106"/>
    </row>
    <row r="2107" spans="1:1" ht="15" x14ac:dyDescent="0.2">
      <c r="A2107"/>
    </row>
    <row r="2108" spans="1:1" ht="15" x14ac:dyDescent="0.2">
      <c r="A2108"/>
    </row>
    <row r="2109" spans="1:1" ht="15" x14ac:dyDescent="0.2">
      <c r="A2109"/>
    </row>
    <row r="2110" spans="1:1" ht="15" x14ac:dyDescent="0.2">
      <c r="A2110"/>
    </row>
    <row r="2111" spans="1:1" ht="15" x14ac:dyDescent="0.2">
      <c r="A2111"/>
    </row>
    <row r="2112" spans="1:1" ht="15" x14ac:dyDescent="0.2">
      <c r="A2112"/>
    </row>
    <row r="2113" spans="1:1" ht="15" x14ac:dyDescent="0.2">
      <c r="A2113"/>
    </row>
    <row r="2114" spans="1:1" ht="15" x14ac:dyDescent="0.2">
      <c r="A2114"/>
    </row>
    <row r="2115" spans="1:1" ht="15" x14ac:dyDescent="0.2">
      <c r="A2115"/>
    </row>
    <row r="2116" spans="1:1" ht="15" x14ac:dyDescent="0.2">
      <c r="A2116"/>
    </row>
    <row r="2117" spans="1:1" ht="15" x14ac:dyDescent="0.2">
      <c r="A2117"/>
    </row>
    <row r="2118" spans="1:1" ht="15" x14ac:dyDescent="0.2">
      <c r="A2118"/>
    </row>
    <row r="2119" spans="1:1" ht="15" x14ac:dyDescent="0.2">
      <c r="A2119"/>
    </row>
    <row r="2120" spans="1:1" ht="15" x14ac:dyDescent="0.2">
      <c r="A2120"/>
    </row>
    <row r="2121" spans="1:1" ht="15" x14ac:dyDescent="0.2">
      <c r="A2121"/>
    </row>
    <row r="2122" spans="1:1" ht="15" x14ac:dyDescent="0.2">
      <c r="A2122"/>
    </row>
    <row r="2123" spans="1:1" ht="15" x14ac:dyDescent="0.2">
      <c r="A2123"/>
    </row>
    <row r="2124" spans="1:1" ht="15" x14ac:dyDescent="0.2">
      <c r="A2124"/>
    </row>
    <row r="2125" spans="1:1" ht="15" x14ac:dyDescent="0.2">
      <c r="A2125"/>
    </row>
    <row r="2126" spans="1:1" ht="15" x14ac:dyDescent="0.2">
      <c r="A2126"/>
    </row>
    <row r="2127" spans="1:1" ht="15" x14ac:dyDescent="0.2">
      <c r="A2127"/>
    </row>
    <row r="2128" spans="1:1" ht="15" x14ac:dyDescent="0.2">
      <c r="A2128"/>
    </row>
    <row r="2129" spans="1:1" ht="15" x14ac:dyDescent="0.2">
      <c r="A2129"/>
    </row>
    <row r="2130" spans="1:1" ht="15" x14ac:dyDescent="0.2">
      <c r="A2130"/>
    </row>
    <row r="2131" spans="1:1" ht="15" x14ac:dyDescent="0.2">
      <c r="A2131"/>
    </row>
    <row r="2132" spans="1:1" ht="15" x14ac:dyDescent="0.2">
      <c r="A2132"/>
    </row>
    <row r="2133" spans="1:1" ht="15" x14ac:dyDescent="0.2">
      <c r="A2133"/>
    </row>
    <row r="2134" spans="1:1" ht="15" x14ac:dyDescent="0.2">
      <c r="A2134"/>
    </row>
    <row r="2135" spans="1:1" ht="15" x14ac:dyDescent="0.2">
      <c r="A2135"/>
    </row>
    <row r="2136" spans="1:1" ht="15" x14ac:dyDescent="0.2">
      <c r="A2136"/>
    </row>
    <row r="2137" spans="1:1" ht="15" x14ac:dyDescent="0.2">
      <c r="A2137"/>
    </row>
    <row r="2138" spans="1:1" ht="15" x14ac:dyDescent="0.2">
      <c r="A2138"/>
    </row>
    <row r="2139" spans="1:1" ht="15" x14ac:dyDescent="0.2">
      <c r="A2139"/>
    </row>
    <row r="2140" spans="1:1" ht="15" x14ac:dyDescent="0.2">
      <c r="A2140"/>
    </row>
    <row r="2141" spans="1:1" ht="15" x14ac:dyDescent="0.2">
      <c r="A2141"/>
    </row>
    <row r="2142" spans="1:1" ht="15" x14ac:dyDescent="0.2">
      <c r="A2142"/>
    </row>
    <row r="2143" spans="1:1" ht="15" x14ac:dyDescent="0.2">
      <c r="A2143"/>
    </row>
    <row r="2144" spans="1:1" ht="15" x14ac:dyDescent="0.2">
      <c r="A2144"/>
    </row>
    <row r="2145" spans="1:1" ht="15" x14ac:dyDescent="0.2">
      <c r="A2145"/>
    </row>
    <row r="2146" spans="1:1" ht="15" x14ac:dyDescent="0.2">
      <c r="A2146"/>
    </row>
    <row r="2147" spans="1:1" ht="15" x14ac:dyDescent="0.2">
      <c r="A2147"/>
    </row>
    <row r="2148" spans="1:1" ht="15" x14ac:dyDescent="0.2">
      <c r="A2148"/>
    </row>
    <row r="2149" spans="1:1" ht="15" x14ac:dyDescent="0.2">
      <c r="A2149"/>
    </row>
    <row r="2150" spans="1:1" ht="15" x14ac:dyDescent="0.2">
      <c r="A2150"/>
    </row>
    <row r="2151" spans="1:1" ht="15" x14ac:dyDescent="0.2">
      <c r="A2151"/>
    </row>
    <row r="2152" spans="1:1" ht="15" x14ac:dyDescent="0.2">
      <c r="A2152"/>
    </row>
    <row r="2153" spans="1:1" ht="15" x14ac:dyDescent="0.2">
      <c r="A2153"/>
    </row>
    <row r="2154" spans="1:1" ht="15" x14ac:dyDescent="0.2">
      <c r="A2154"/>
    </row>
    <row r="2155" spans="1:1" ht="15" x14ac:dyDescent="0.2">
      <c r="A2155"/>
    </row>
    <row r="2156" spans="1:1" ht="15" x14ac:dyDescent="0.2">
      <c r="A2156"/>
    </row>
    <row r="2157" spans="1:1" ht="15" x14ac:dyDescent="0.2">
      <c r="A2157"/>
    </row>
    <row r="2158" spans="1:1" ht="15" x14ac:dyDescent="0.2">
      <c r="A2158"/>
    </row>
    <row r="2159" spans="1:1" ht="15" x14ac:dyDescent="0.2">
      <c r="A2159"/>
    </row>
    <row r="2160" spans="1:1" ht="15" x14ac:dyDescent="0.2">
      <c r="A2160"/>
    </row>
    <row r="2161" spans="1:1" ht="15" x14ac:dyDescent="0.2">
      <c r="A2161"/>
    </row>
    <row r="2162" spans="1:1" ht="15" x14ac:dyDescent="0.2">
      <c r="A2162"/>
    </row>
    <row r="2163" spans="1:1" ht="15" x14ac:dyDescent="0.2">
      <c r="A2163"/>
    </row>
    <row r="2164" spans="1:1" ht="15" x14ac:dyDescent="0.2">
      <c r="A2164"/>
    </row>
    <row r="2165" spans="1:1" ht="15" x14ac:dyDescent="0.2">
      <c r="A2165"/>
    </row>
    <row r="2166" spans="1:1" ht="15" x14ac:dyDescent="0.2">
      <c r="A2166"/>
    </row>
    <row r="2167" spans="1:1" ht="15" x14ac:dyDescent="0.2">
      <c r="A2167"/>
    </row>
    <row r="2168" spans="1:1" ht="15" x14ac:dyDescent="0.2">
      <c r="A2168"/>
    </row>
    <row r="2169" spans="1:1" ht="15" x14ac:dyDescent="0.2">
      <c r="A2169"/>
    </row>
    <row r="2170" spans="1:1" ht="15" x14ac:dyDescent="0.2">
      <c r="A2170"/>
    </row>
    <row r="2171" spans="1:1" ht="15" x14ac:dyDescent="0.2">
      <c r="A2171"/>
    </row>
    <row r="2172" spans="1:1" ht="15" x14ac:dyDescent="0.2">
      <c r="A2172"/>
    </row>
    <row r="2173" spans="1:1" ht="15" x14ac:dyDescent="0.2">
      <c r="A2173"/>
    </row>
    <row r="2174" spans="1:1" ht="15" x14ac:dyDescent="0.2">
      <c r="A2174"/>
    </row>
    <row r="2175" spans="1:1" ht="15" x14ac:dyDescent="0.2">
      <c r="A2175"/>
    </row>
    <row r="2176" spans="1:1" ht="15" x14ac:dyDescent="0.2">
      <c r="A2176"/>
    </row>
    <row r="2177" spans="1:1" ht="15" x14ac:dyDescent="0.2">
      <c r="A2177"/>
    </row>
    <row r="2178" spans="1:1" ht="15" x14ac:dyDescent="0.2">
      <c r="A2178"/>
    </row>
    <row r="2179" spans="1:1" ht="15" x14ac:dyDescent="0.2">
      <c r="A2179"/>
    </row>
    <row r="2180" spans="1:1" ht="15" x14ac:dyDescent="0.2">
      <c r="A2180"/>
    </row>
    <row r="2181" spans="1:1" ht="15" x14ac:dyDescent="0.2">
      <c r="A2181"/>
    </row>
    <row r="2182" spans="1:1" ht="15" x14ac:dyDescent="0.2">
      <c r="A2182"/>
    </row>
    <row r="2183" spans="1:1" ht="15" x14ac:dyDescent="0.2">
      <c r="A2183"/>
    </row>
    <row r="2184" spans="1:1" ht="15" x14ac:dyDescent="0.2">
      <c r="A2184"/>
    </row>
    <row r="2185" spans="1:1" ht="15" x14ac:dyDescent="0.2">
      <c r="A2185"/>
    </row>
    <row r="2186" spans="1:1" ht="15" x14ac:dyDescent="0.2">
      <c r="A2186"/>
    </row>
    <row r="2187" spans="1:1" ht="15" x14ac:dyDescent="0.2">
      <c r="A2187"/>
    </row>
    <row r="2188" spans="1:1" ht="15" x14ac:dyDescent="0.2">
      <c r="A2188"/>
    </row>
    <row r="2189" spans="1:1" ht="15" x14ac:dyDescent="0.2">
      <c r="A2189"/>
    </row>
    <row r="2190" spans="1:1" ht="15" x14ac:dyDescent="0.2">
      <c r="A2190"/>
    </row>
    <row r="2191" spans="1:1" ht="15" x14ac:dyDescent="0.2">
      <c r="A2191"/>
    </row>
    <row r="2192" spans="1:1" ht="15" x14ac:dyDescent="0.2">
      <c r="A2192"/>
    </row>
    <row r="2193" spans="1:1" ht="15" x14ac:dyDescent="0.2">
      <c r="A2193"/>
    </row>
    <row r="2194" spans="1:1" ht="15" x14ac:dyDescent="0.2">
      <c r="A2194"/>
    </row>
    <row r="2195" spans="1:1" ht="15" x14ac:dyDescent="0.2">
      <c r="A2195"/>
    </row>
    <row r="2196" spans="1:1" ht="15" x14ac:dyDescent="0.2">
      <c r="A2196"/>
    </row>
    <row r="2197" spans="1:1" ht="15" x14ac:dyDescent="0.2">
      <c r="A2197"/>
    </row>
    <row r="2198" spans="1:1" ht="15" x14ac:dyDescent="0.2">
      <c r="A2198"/>
    </row>
    <row r="2199" spans="1:1" ht="15" x14ac:dyDescent="0.2">
      <c r="A2199"/>
    </row>
    <row r="2200" spans="1:1" ht="15" x14ac:dyDescent="0.2">
      <c r="A2200"/>
    </row>
    <row r="2201" spans="1:1" ht="15" x14ac:dyDescent="0.2">
      <c r="A2201"/>
    </row>
    <row r="2202" spans="1:1" ht="15" x14ac:dyDescent="0.2">
      <c r="A2202"/>
    </row>
    <row r="2203" spans="1:1" ht="15" x14ac:dyDescent="0.2">
      <c r="A2203"/>
    </row>
    <row r="2204" spans="1:1" ht="15" x14ac:dyDescent="0.2">
      <c r="A2204"/>
    </row>
    <row r="2205" spans="1:1" ht="15" x14ac:dyDescent="0.2">
      <c r="A2205"/>
    </row>
    <row r="2206" spans="1:1" ht="15" x14ac:dyDescent="0.2">
      <c r="A2206"/>
    </row>
    <row r="2207" spans="1:1" ht="15" x14ac:dyDescent="0.2">
      <c r="A2207"/>
    </row>
    <row r="2208" spans="1:1" ht="15" x14ac:dyDescent="0.2">
      <c r="A2208"/>
    </row>
    <row r="2209" spans="1:1" ht="15" x14ac:dyDescent="0.2">
      <c r="A2209"/>
    </row>
    <row r="2210" spans="1:1" ht="15" x14ac:dyDescent="0.2">
      <c r="A2210"/>
    </row>
    <row r="2211" spans="1:1" ht="15" x14ac:dyDescent="0.2">
      <c r="A2211"/>
    </row>
    <row r="2212" spans="1:1" ht="15" x14ac:dyDescent="0.2">
      <c r="A2212"/>
    </row>
    <row r="2213" spans="1:1" ht="15" x14ac:dyDescent="0.2">
      <c r="A2213"/>
    </row>
    <row r="2214" spans="1:1" ht="15" x14ac:dyDescent="0.2">
      <c r="A2214"/>
    </row>
    <row r="2215" spans="1:1" ht="15" x14ac:dyDescent="0.2">
      <c r="A2215"/>
    </row>
    <row r="2216" spans="1:1" ht="15" x14ac:dyDescent="0.2">
      <c r="A2216"/>
    </row>
    <row r="2217" spans="1:1" ht="15" x14ac:dyDescent="0.2">
      <c r="A2217"/>
    </row>
    <row r="2218" spans="1:1" ht="15" x14ac:dyDescent="0.2">
      <c r="A2218"/>
    </row>
    <row r="2219" spans="1:1" ht="15" x14ac:dyDescent="0.2">
      <c r="A2219"/>
    </row>
    <row r="2220" spans="1:1" ht="15" x14ac:dyDescent="0.2">
      <c r="A2220"/>
    </row>
    <row r="2221" spans="1:1" ht="15" x14ac:dyDescent="0.2">
      <c r="A2221"/>
    </row>
    <row r="2222" spans="1:1" ht="15" x14ac:dyDescent="0.2">
      <c r="A2222"/>
    </row>
    <row r="2223" spans="1:1" ht="15" x14ac:dyDescent="0.2">
      <c r="A2223"/>
    </row>
    <row r="2224" spans="1:1" ht="15" x14ac:dyDescent="0.2">
      <c r="A2224"/>
    </row>
    <row r="2225" spans="1:1" ht="15" x14ac:dyDescent="0.2">
      <c r="A2225"/>
    </row>
    <row r="2226" spans="1:1" ht="15" x14ac:dyDescent="0.2">
      <c r="A2226"/>
    </row>
    <row r="2227" spans="1:1" ht="15" x14ac:dyDescent="0.2">
      <c r="A2227"/>
    </row>
    <row r="2228" spans="1:1" ht="15" x14ac:dyDescent="0.2">
      <c r="A2228"/>
    </row>
    <row r="2229" spans="1:1" ht="15" x14ac:dyDescent="0.2">
      <c r="A2229"/>
    </row>
    <row r="2230" spans="1:1" ht="15" x14ac:dyDescent="0.2">
      <c r="A2230"/>
    </row>
    <row r="2231" spans="1:1" ht="15" x14ac:dyDescent="0.2">
      <c r="A2231"/>
    </row>
    <row r="2232" spans="1:1" ht="15" x14ac:dyDescent="0.2">
      <c r="A2232"/>
    </row>
    <row r="2233" spans="1:1" ht="15" x14ac:dyDescent="0.2">
      <c r="A2233"/>
    </row>
    <row r="2234" spans="1:1" ht="15" x14ac:dyDescent="0.2">
      <c r="A2234"/>
    </row>
    <row r="2235" spans="1:1" ht="15" x14ac:dyDescent="0.2">
      <c r="A2235"/>
    </row>
    <row r="2236" spans="1:1" ht="15" x14ac:dyDescent="0.2">
      <c r="A2236"/>
    </row>
    <row r="2237" spans="1:1" ht="15" x14ac:dyDescent="0.2">
      <c r="A2237"/>
    </row>
    <row r="2238" spans="1:1" ht="15" x14ac:dyDescent="0.2">
      <c r="A2238"/>
    </row>
    <row r="2239" spans="1:1" ht="15" x14ac:dyDescent="0.2">
      <c r="A2239"/>
    </row>
    <row r="2240" spans="1:1" ht="15" x14ac:dyDescent="0.2">
      <c r="A2240"/>
    </row>
    <row r="2241" spans="1:1" ht="15" x14ac:dyDescent="0.2">
      <c r="A2241"/>
    </row>
    <row r="2242" spans="1:1" ht="15" x14ac:dyDescent="0.2">
      <c r="A2242"/>
    </row>
    <row r="2243" spans="1:1" ht="15" x14ac:dyDescent="0.2">
      <c r="A2243"/>
    </row>
    <row r="2244" spans="1:1" ht="15" x14ac:dyDescent="0.2">
      <c r="A2244"/>
    </row>
    <row r="2245" spans="1:1" ht="15" x14ac:dyDescent="0.2">
      <c r="A2245"/>
    </row>
    <row r="2246" spans="1:1" ht="15" x14ac:dyDescent="0.2">
      <c r="A2246"/>
    </row>
    <row r="2247" spans="1:1" ht="15" x14ac:dyDescent="0.2">
      <c r="A2247"/>
    </row>
    <row r="2248" spans="1:1" ht="15" x14ac:dyDescent="0.2">
      <c r="A2248"/>
    </row>
    <row r="2249" spans="1:1" ht="15" x14ac:dyDescent="0.2">
      <c r="A2249"/>
    </row>
    <row r="2250" spans="1:1" ht="15" x14ac:dyDescent="0.2">
      <c r="A2250"/>
    </row>
    <row r="2251" spans="1:1" ht="15" x14ac:dyDescent="0.2">
      <c r="A2251"/>
    </row>
    <row r="2252" spans="1:1" ht="15" x14ac:dyDescent="0.2">
      <c r="A2252"/>
    </row>
    <row r="2253" spans="1:1" ht="15" x14ac:dyDescent="0.2">
      <c r="A2253"/>
    </row>
    <row r="2254" spans="1:1" ht="15" x14ac:dyDescent="0.2">
      <c r="A2254"/>
    </row>
    <row r="2255" spans="1:1" ht="15" x14ac:dyDescent="0.2">
      <c r="A2255"/>
    </row>
    <row r="2256" spans="1:1" ht="15" x14ac:dyDescent="0.2">
      <c r="A2256"/>
    </row>
    <row r="2257" spans="1:1" ht="15" x14ac:dyDescent="0.2">
      <c r="A2257"/>
    </row>
    <row r="2258" spans="1:1" ht="15" x14ac:dyDescent="0.2">
      <c r="A2258"/>
    </row>
    <row r="2259" spans="1:1" ht="15" x14ac:dyDescent="0.2">
      <c r="A2259"/>
    </row>
    <row r="2260" spans="1:1" ht="15" x14ac:dyDescent="0.2">
      <c r="A2260"/>
    </row>
    <row r="2261" spans="1:1" ht="15" x14ac:dyDescent="0.2">
      <c r="A2261"/>
    </row>
    <row r="2262" spans="1:1" ht="15" x14ac:dyDescent="0.2">
      <c r="A2262"/>
    </row>
    <row r="2263" spans="1:1" ht="15" x14ac:dyDescent="0.2">
      <c r="A2263"/>
    </row>
    <row r="2264" spans="1:1" ht="15" x14ac:dyDescent="0.2">
      <c r="A2264"/>
    </row>
    <row r="2265" spans="1:1" ht="15" x14ac:dyDescent="0.2">
      <c r="A2265"/>
    </row>
    <row r="2266" spans="1:1" ht="15" x14ac:dyDescent="0.2">
      <c r="A2266"/>
    </row>
    <row r="2267" spans="1:1" ht="15" x14ac:dyDescent="0.2">
      <c r="A2267"/>
    </row>
    <row r="2268" spans="1:1" ht="15" x14ac:dyDescent="0.2">
      <c r="A2268"/>
    </row>
    <row r="2269" spans="1:1" ht="15" x14ac:dyDescent="0.2">
      <c r="A2269"/>
    </row>
    <row r="2270" spans="1:1" ht="15" x14ac:dyDescent="0.2">
      <c r="A2270"/>
    </row>
    <row r="2271" spans="1:1" ht="15" x14ac:dyDescent="0.2">
      <c r="A2271"/>
    </row>
    <row r="2272" spans="1:1" ht="15" x14ac:dyDescent="0.2">
      <c r="A2272"/>
    </row>
    <row r="2273" spans="1:1" ht="15" x14ac:dyDescent="0.2">
      <c r="A2273"/>
    </row>
    <row r="2274" spans="1:1" ht="15" x14ac:dyDescent="0.2">
      <c r="A2274"/>
    </row>
    <row r="2275" spans="1:1" ht="15" x14ac:dyDescent="0.2">
      <c r="A2275"/>
    </row>
    <row r="2276" spans="1:1" ht="15" x14ac:dyDescent="0.2">
      <c r="A2276"/>
    </row>
    <row r="2277" spans="1:1" ht="15" x14ac:dyDescent="0.2">
      <c r="A2277"/>
    </row>
    <row r="2278" spans="1:1" ht="15" x14ac:dyDescent="0.2">
      <c r="A2278"/>
    </row>
    <row r="2279" spans="1:1" ht="15" x14ac:dyDescent="0.2">
      <c r="A2279"/>
    </row>
    <row r="2280" spans="1:1" ht="15" x14ac:dyDescent="0.2">
      <c r="A2280"/>
    </row>
    <row r="2281" spans="1:1" ht="15" x14ac:dyDescent="0.2">
      <c r="A2281"/>
    </row>
    <row r="2282" spans="1:1" ht="15" x14ac:dyDescent="0.2">
      <c r="A2282"/>
    </row>
    <row r="2283" spans="1:1" ht="15" x14ac:dyDescent="0.2">
      <c r="A2283"/>
    </row>
    <row r="2284" spans="1:1" ht="15" x14ac:dyDescent="0.2">
      <c r="A2284"/>
    </row>
    <row r="2285" spans="1:1" ht="15" x14ac:dyDescent="0.2">
      <c r="A2285"/>
    </row>
    <row r="2286" spans="1:1" ht="15" x14ac:dyDescent="0.2">
      <c r="A2286"/>
    </row>
    <row r="2287" spans="1:1" ht="15" x14ac:dyDescent="0.2">
      <c r="A2287"/>
    </row>
    <row r="2288" spans="1:1" ht="15" x14ac:dyDescent="0.2">
      <c r="A2288"/>
    </row>
    <row r="2289" spans="1:1" ht="15" x14ac:dyDescent="0.2">
      <c r="A2289"/>
    </row>
    <row r="2290" spans="1:1" ht="15" x14ac:dyDescent="0.2">
      <c r="A2290"/>
    </row>
    <row r="2291" spans="1:1" ht="15" x14ac:dyDescent="0.2">
      <c r="A2291"/>
    </row>
    <row r="2292" spans="1:1" ht="15" x14ac:dyDescent="0.2">
      <c r="A2292"/>
    </row>
    <row r="2293" spans="1:1" ht="15" x14ac:dyDescent="0.2">
      <c r="A2293"/>
    </row>
    <row r="2294" spans="1:1" ht="15" x14ac:dyDescent="0.2">
      <c r="A2294"/>
    </row>
    <row r="2295" spans="1:1" ht="15" x14ac:dyDescent="0.2">
      <c r="A2295"/>
    </row>
    <row r="2296" spans="1:1" ht="15" x14ac:dyDescent="0.2">
      <c r="A2296"/>
    </row>
    <row r="2297" spans="1:1" ht="15" x14ac:dyDescent="0.2">
      <c r="A2297"/>
    </row>
    <row r="2298" spans="1:1" ht="15" x14ac:dyDescent="0.2">
      <c r="A2298"/>
    </row>
    <row r="2299" spans="1:1" ht="15" x14ac:dyDescent="0.2">
      <c r="A2299"/>
    </row>
    <row r="2300" spans="1:1" ht="15" x14ac:dyDescent="0.2">
      <c r="A2300"/>
    </row>
    <row r="2301" spans="1:1" ht="15" x14ac:dyDescent="0.2">
      <c r="A2301"/>
    </row>
    <row r="2302" spans="1:1" ht="15" x14ac:dyDescent="0.2">
      <c r="A2302"/>
    </row>
    <row r="2303" spans="1:1" ht="15" x14ac:dyDescent="0.2">
      <c r="A2303"/>
    </row>
    <row r="2304" spans="1:1" ht="15" x14ac:dyDescent="0.2">
      <c r="A2304"/>
    </row>
    <row r="2305" spans="1:1" ht="15" x14ac:dyDescent="0.2">
      <c r="A2305"/>
    </row>
    <row r="2306" spans="1:1" ht="15" x14ac:dyDescent="0.2">
      <c r="A2306"/>
    </row>
    <row r="2307" spans="1:1" ht="15" x14ac:dyDescent="0.2">
      <c r="A2307"/>
    </row>
    <row r="2308" spans="1:1" ht="15" x14ac:dyDescent="0.2">
      <c r="A2308"/>
    </row>
    <row r="2309" spans="1:1" ht="15" x14ac:dyDescent="0.2">
      <c r="A2309"/>
    </row>
    <row r="2310" spans="1:1" ht="15" x14ac:dyDescent="0.2">
      <c r="A2310"/>
    </row>
    <row r="2311" spans="1:1" ht="15" x14ac:dyDescent="0.2">
      <c r="A2311"/>
    </row>
    <row r="2312" spans="1:1" ht="15" x14ac:dyDescent="0.2">
      <c r="A2312"/>
    </row>
    <row r="2313" spans="1:1" ht="15" x14ac:dyDescent="0.2">
      <c r="A2313"/>
    </row>
    <row r="2314" spans="1:1" ht="15" x14ac:dyDescent="0.2">
      <c r="A2314"/>
    </row>
    <row r="2315" spans="1:1" ht="15" x14ac:dyDescent="0.2">
      <c r="A2315"/>
    </row>
    <row r="2316" spans="1:1" ht="15" x14ac:dyDescent="0.2">
      <c r="A2316"/>
    </row>
    <row r="2317" spans="1:1" ht="15" x14ac:dyDescent="0.2">
      <c r="A2317"/>
    </row>
    <row r="2318" spans="1:1" ht="15" x14ac:dyDescent="0.2">
      <c r="A2318"/>
    </row>
    <row r="2319" spans="1:1" ht="15" x14ac:dyDescent="0.2">
      <c r="A2319"/>
    </row>
    <row r="2320" spans="1:1" ht="15" x14ac:dyDescent="0.2">
      <c r="A2320"/>
    </row>
    <row r="2321" spans="1:1" ht="15" x14ac:dyDescent="0.2">
      <c r="A2321"/>
    </row>
    <row r="2322" spans="1:1" ht="15" x14ac:dyDescent="0.2">
      <c r="A2322"/>
    </row>
    <row r="2323" spans="1:1" ht="15" x14ac:dyDescent="0.2">
      <c r="A2323"/>
    </row>
    <row r="2324" spans="1:1" ht="15" x14ac:dyDescent="0.2">
      <c r="A2324"/>
    </row>
    <row r="2325" spans="1:1" ht="15" x14ac:dyDescent="0.2">
      <c r="A2325"/>
    </row>
    <row r="2326" spans="1:1" ht="15" x14ac:dyDescent="0.2">
      <c r="A2326"/>
    </row>
    <row r="2327" spans="1:1" ht="15" x14ac:dyDescent="0.2">
      <c r="A2327"/>
    </row>
    <row r="2328" spans="1:1" ht="15" x14ac:dyDescent="0.2">
      <c r="A2328"/>
    </row>
    <row r="2329" spans="1:1" ht="15" x14ac:dyDescent="0.2">
      <c r="A2329"/>
    </row>
    <row r="2330" spans="1:1" ht="15" x14ac:dyDescent="0.2">
      <c r="A2330"/>
    </row>
    <row r="2331" spans="1:1" ht="15" x14ac:dyDescent="0.2">
      <c r="A2331"/>
    </row>
    <row r="2332" spans="1:1" ht="15" x14ac:dyDescent="0.2">
      <c r="A2332"/>
    </row>
    <row r="2333" spans="1:1" ht="15" x14ac:dyDescent="0.2">
      <c r="A2333"/>
    </row>
    <row r="2334" spans="1:1" ht="15" x14ac:dyDescent="0.2">
      <c r="A2334"/>
    </row>
    <row r="2335" spans="1:1" ht="15" x14ac:dyDescent="0.2">
      <c r="A2335"/>
    </row>
    <row r="2336" spans="1:1" ht="15" x14ac:dyDescent="0.2">
      <c r="A2336"/>
    </row>
    <row r="2337" spans="1:1" ht="15" x14ac:dyDescent="0.2">
      <c r="A2337"/>
    </row>
    <row r="2338" spans="1:1" ht="15" x14ac:dyDescent="0.2">
      <c r="A2338"/>
    </row>
    <row r="2339" spans="1:1" ht="15" x14ac:dyDescent="0.2">
      <c r="A2339"/>
    </row>
    <row r="2340" spans="1:1" ht="15" x14ac:dyDescent="0.2">
      <c r="A2340"/>
    </row>
    <row r="2341" spans="1:1" ht="15" x14ac:dyDescent="0.2">
      <c r="A2341"/>
    </row>
    <row r="2342" spans="1:1" ht="15" x14ac:dyDescent="0.2">
      <c r="A2342"/>
    </row>
    <row r="2343" spans="1:1" ht="15" x14ac:dyDescent="0.2">
      <c r="A2343"/>
    </row>
    <row r="2344" spans="1:1" ht="15" x14ac:dyDescent="0.2">
      <c r="A2344"/>
    </row>
    <row r="2345" spans="1:1" ht="15" x14ac:dyDescent="0.2">
      <c r="A2345"/>
    </row>
    <row r="2346" spans="1:1" ht="15" x14ac:dyDescent="0.2">
      <c r="A2346"/>
    </row>
    <row r="2347" spans="1:1" ht="15" x14ac:dyDescent="0.2">
      <c r="A2347"/>
    </row>
    <row r="2348" spans="1:1" ht="15" x14ac:dyDescent="0.2">
      <c r="A2348"/>
    </row>
    <row r="2349" spans="1:1" ht="15" x14ac:dyDescent="0.2">
      <c r="A2349"/>
    </row>
    <row r="2350" spans="1:1" ht="15" x14ac:dyDescent="0.2">
      <c r="A2350"/>
    </row>
    <row r="2351" spans="1:1" ht="15" x14ac:dyDescent="0.2">
      <c r="A2351"/>
    </row>
    <row r="2352" spans="1:1" ht="15" x14ac:dyDescent="0.2">
      <c r="A2352"/>
    </row>
    <row r="2353" spans="1:1" ht="15" x14ac:dyDescent="0.2">
      <c r="A2353"/>
    </row>
    <row r="2354" spans="1:1" ht="15" x14ac:dyDescent="0.2">
      <c r="A2354"/>
    </row>
    <row r="2355" spans="1:1" ht="15" x14ac:dyDescent="0.2">
      <c r="A2355"/>
    </row>
    <row r="2356" spans="1:1" ht="15" x14ac:dyDescent="0.2">
      <c r="A2356"/>
    </row>
    <row r="2357" spans="1:1" ht="15" x14ac:dyDescent="0.2">
      <c r="A2357"/>
    </row>
    <row r="2358" spans="1:1" ht="15" x14ac:dyDescent="0.2">
      <c r="A2358"/>
    </row>
    <row r="2359" spans="1:1" ht="15" x14ac:dyDescent="0.2">
      <c r="A2359"/>
    </row>
    <row r="2360" spans="1:1" ht="15" x14ac:dyDescent="0.2">
      <c r="A2360"/>
    </row>
    <row r="2361" spans="1:1" ht="15" x14ac:dyDescent="0.2">
      <c r="A2361"/>
    </row>
    <row r="2362" spans="1:1" ht="15" x14ac:dyDescent="0.2">
      <c r="A2362"/>
    </row>
    <row r="2363" spans="1:1" ht="15" x14ac:dyDescent="0.2">
      <c r="A2363"/>
    </row>
    <row r="2364" spans="1:1" ht="15" x14ac:dyDescent="0.2">
      <c r="A2364"/>
    </row>
    <row r="2365" spans="1:1" ht="15" x14ac:dyDescent="0.2">
      <c r="A2365"/>
    </row>
    <row r="2366" spans="1:1" ht="15" x14ac:dyDescent="0.2">
      <c r="A2366"/>
    </row>
    <row r="2367" spans="1:1" ht="15" x14ac:dyDescent="0.2">
      <c r="A2367"/>
    </row>
    <row r="2368" spans="1:1" ht="15" x14ac:dyDescent="0.2">
      <c r="A2368"/>
    </row>
    <row r="2369" spans="1:1" ht="15" x14ac:dyDescent="0.2">
      <c r="A2369"/>
    </row>
    <row r="2370" spans="1:1" ht="15" x14ac:dyDescent="0.2">
      <c r="A2370"/>
    </row>
    <row r="2371" spans="1:1" ht="15" x14ac:dyDescent="0.2">
      <c r="A2371"/>
    </row>
    <row r="2372" spans="1:1" ht="15" x14ac:dyDescent="0.2">
      <c r="A2372"/>
    </row>
    <row r="2373" spans="1:1" ht="15" x14ac:dyDescent="0.2">
      <c r="A2373"/>
    </row>
    <row r="2374" spans="1:1" ht="15" x14ac:dyDescent="0.2">
      <c r="A2374"/>
    </row>
    <row r="2375" spans="1:1" ht="15" x14ac:dyDescent="0.2">
      <c r="A2375"/>
    </row>
    <row r="2376" spans="1:1" ht="15" x14ac:dyDescent="0.2">
      <c r="A2376"/>
    </row>
    <row r="2377" spans="1:1" ht="15" x14ac:dyDescent="0.2">
      <c r="A2377"/>
    </row>
    <row r="2378" spans="1:1" ht="15" x14ac:dyDescent="0.2">
      <c r="A2378"/>
    </row>
    <row r="2379" spans="1:1" ht="15" x14ac:dyDescent="0.2">
      <c r="A2379"/>
    </row>
    <row r="2380" spans="1:1" ht="15" x14ac:dyDescent="0.2">
      <c r="A2380"/>
    </row>
    <row r="2381" spans="1:1" ht="15" x14ac:dyDescent="0.2">
      <c r="A2381"/>
    </row>
    <row r="2382" spans="1:1" ht="15" x14ac:dyDescent="0.2">
      <c r="A2382"/>
    </row>
    <row r="2383" spans="1:1" ht="15" x14ac:dyDescent="0.2">
      <c r="A2383"/>
    </row>
    <row r="2384" spans="1:1" ht="15" x14ac:dyDescent="0.2">
      <c r="A2384"/>
    </row>
    <row r="2385" spans="1:1" ht="15" x14ac:dyDescent="0.2">
      <c r="A2385"/>
    </row>
    <row r="2386" spans="1:1" ht="15" x14ac:dyDescent="0.2">
      <c r="A2386"/>
    </row>
    <row r="2387" spans="1:1" ht="15" x14ac:dyDescent="0.2">
      <c r="A2387"/>
    </row>
    <row r="2388" spans="1:1" ht="15" x14ac:dyDescent="0.2">
      <c r="A2388"/>
    </row>
    <row r="2389" spans="1:1" ht="15" x14ac:dyDescent="0.2">
      <c r="A2389"/>
    </row>
    <row r="2390" spans="1:1" ht="15" x14ac:dyDescent="0.2">
      <c r="A2390"/>
    </row>
    <row r="2391" spans="1:1" ht="15" x14ac:dyDescent="0.2">
      <c r="A2391"/>
    </row>
    <row r="2392" spans="1:1" ht="15" x14ac:dyDescent="0.2">
      <c r="A2392"/>
    </row>
    <row r="2393" spans="1:1" ht="15" x14ac:dyDescent="0.2">
      <c r="A2393"/>
    </row>
    <row r="2394" spans="1:1" ht="15" x14ac:dyDescent="0.2">
      <c r="A2394"/>
    </row>
    <row r="2395" spans="1:1" ht="15" x14ac:dyDescent="0.2">
      <c r="A2395"/>
    </row>
    <row r="2396" spans="1:1" ht="15" x14ac:dyDescent="0.2">
      <c r="A2396"/>
    </row>
    <row r="2397" spans="1:1" ht="15" x14ac:dyDescent="0.2">
      <c r="A2397"/>
    </row>
    <row r="2398" spans="1:1" ht="15" x14ac:dyDescent="0.2">
      <c r="A2398"/>
    </row>
    <row r="2399" spans="1:1" ht="15" x14ac:dyDescent="0.2">
      <c r="A2399"/>
    </row>
    <row r="2400" spans="1:1" ht="15" x14ac:dyDescent="0.2">
      <c r="A2400"/>
    </row>
    <row r="2401" spans="1:1" ht="15" x14ac:dyDescent="0.2">
      <c r="A2401"/>
    </row>
    <row r="2402" spans="1:1" ht="15" x14ac:dyDescent="0.2">
      <c r="A2402"/>
    </row>
    <row r="2403" spans="1:1" ht="15" x14ac:dyDescent="0.2">
      <c r="A2403"/>
    </row>
    <row r="2404" spans="1:1" ht="15" x14ac:dyDescent="0.2">
      <c r="A2404"/>
    </row>
    <row r="2405" spans="1:1" ht="15" x14ac:dyDescent="0.2">
      <c r="A2405"/>
    </row>
    <row r="2406" spans="1:1" ht="15" x14ac:dyDescent="0.2">
      <c r="A2406"/>
    </row>
    <row r="2407" spans="1:1" ht="15" x14ac:dyDescent="0.2">
      <c r="A2407"/>
    </row>
    <row r="2408" spans="1:1" ht="15" x14ac:dyDescent="0.2">
      <c r="A2408"/>
    </row>
    <row r="2409" spans="1:1" ht="15" x14ac:dyDescent="0.2">
      <c r="A2409"/>
    </row>
    <row r="2410" spans="1:1" ht="15" x14ac:dyDescent="0.2">
      <c r="A2410"/>
    </row>
    <row r="2411" spans="1:1" ht="15" x14ac:dyDescent="0.2">
      <c r="A2411"/>
    </row>
    <row r="2412" spans="1:1" ht="15" x14ac:dyDescent="0.2">
      <c r="A2412"/>
    </row>
    <row r="2413" spans="1:1" ht="15" x14ac:dyDescent="0.2">
      <c r="A2413"/>
    </row>
    <row r="2414" spans="1:1" ht="15" x14ac:dyDescent="0.2">
      <c r="A2414"/>
    </row>
    <row r="2415" spans="1:1" ht="15" x14ac:dyDescent="0.2">
      <c r="A2415"/>
    </row>
    <row r="2416" spans="1:1" ht="15" x14ac:dyDescent="0.2">
      <c r="A2416"/>
    </row>
    <row r="2417" spans="1:1" ht="15" x14ac:dyDescent="0.2">
      <c r="A2417"/>
    </row>
    <row r="2418" spans="1:1" ht="15" x14ac:dyDescent="0.2">
      <c r="A2418"/>
    </row>
    <row r="2419" spans="1:1" ht="15" x14ac:dyDescent="0.2">
      <c r="A2419"/>
    </row>
    <row r="2420" spans="1:1" ht="15" x14ac:dyDescent="0.2">
      <c r="A2420"/>
    </row>
    <row r="2421" spans="1:1" ht="15" x14ac:dyDescent="0.2">
      <c r="A2421"/>
    </row>
    <row r="2422" spans="1:1" ht="15" x14ac:dyDescent="0.2">
      <c r="A2422"/>
    </row>
    <row r="2423" spans="1:1" ht="15" x14ac:dyDescent="0.2">
      <c r="A2423"/>
    </row>
    <row r="2424" spans="1:1" ht="15" x14ac:dyDescent="0.2">
      <c r="A2424"/>
    </row>
    <row r="2425" spans="1:1" ht="15" x14ac:dyDescent="0.2">
      <c r="A2425"/>
    </row>
    <row r="2426" spans="1:1" ht="15" x14ac:dyDescent="0.2">
      <c r="A2426"/>
    </row>
    <row r="2427" spans="1:1" ht="15" x14ac:dyDescent="0.2">
      <c r="A2427"/>
    </row>
    <row r="2428" spans="1:1" ht="15" x14ac:dyDescent="0.2">
      <c r="A2428"/>
    </row>
    <row r="2429" spans="1:1" ht="15" x14ac:dyDescent="0.2">
      <c r="A2429"/>
    </row>
    <row r="2430" spans="1:1" ht="15" x14ac:dyDescent="0.2">
      <c r="A2430"/>
    </row>
    <row r="2431" spans="1:1" ht="15" x14ac:dyDescent="0.2">
      <c r="A2431"/>
    </row>
    <row r="2432" spans="1:1" ht="15" x14ac:dyDescent="0.2">
      <c r="A2432"/>
    </row>
    <row r="2433" spans="1:1" ht="15" x14ac:dyDescent="0.2">
      <c r="A2433"/>
    </row>
    <row r="2434" spans="1:1" ht="15" x14ac:dyDescent="0.2">
      <c r="A2434"/>
    </row>
    <row r="2435" spans="1:1" ht="15" x14ac:dyDescent="0.2">
      <c r="A2435"/>
    </row>
    <row r="2436" spans="1:1" ht="15" x14ac:dyDescent="0.2">
      <c r="A2436"/>
    </row>
    <row r="2437" spans="1:1" ht="15" x14ac:dyDescent="0.2">
      <c r="A2437"/>
    </row>
    <row r="2438" spans="1:1" ht="15" x14ac:dyDescent="0.2">
      <c r="A2438"/>
    </row>
    <row r="2439" spans="1:1" ht="15" x14ac:dyDescent="0.2">
      <c r="A2439"/>
    </row>
    <row r="2440" spans="1:1" ht="15" x14ac:dyDescent="0.2">
      <c r="A2440"/>
    </row>
    <row r="2441" spans="1:1" ht="15" x14ac:dyDescent="0.2">
      <c r="A2441"/>
    </row>
    <row r="2442" spans="1:1" ht="15" x14ac:dyDescent="0.2">
      <c r="A2442"/>
    </row>
    <row r="2443" spans="1:1" ht="15" x14ac:dyDescent="0.2">
      <c r="A2443"/>
    </row>
    <row r="2444" spans="1:1" ht="15" x14ac:dyDescent="0.2">
      <c r="A2444"/>
    </row>
    <row r="2445" spans="1:1" ht="15" x14ac:dyDescent="0.2">
      <c r="A2445"/>
    </row>
    <row r="2446" spans="1:1" ht="15" x14ac:dyDescent="0.2">
      <c r="A2446"/>
    </row>
    <row r="2447" spans="1:1" ht="15" x14ac:dyDescent="0.2">
      <c r="A2447"/>
    </row>
    <row r="2448" spans="1:1" ht="15" x14ac:dyDescent="0.2">
      <c r="A2448"/>
    </row>
    <row r="2449" spans="1:1" ht="15" x14ac:dyDescent="0.2">
      <c r="A2449"/>
    </row>
    <row r="2450" spans="1:1" ht="15" x14ac:dyDescent="0.2">
      <c r="A2450"/>
    </row>
    <row r="2451" spans="1:1" ht="15" x14ac:dyDescent="0.2">
      <c r="A2451"/>
    </row>
    <row r="2452" spans="1:1" ht="15" x14ac:dyDescent="0.2">
      <c r="A2452"/>
    </row>
    <row r="2453" spans="1:1" ht="15" x14ac:dyDescent="0.2">
      <c r="A2453"/>
    </row>
    <row r="2454" spans="1:1" ht="15" x14ac:dyDescent="0.2">
      <c r="A2454"/>
    </row>
    <row r="2455" spans="1:1" ht="15" x14ac:dyDescent="0.2">
      <c r="A2455"/>
    </row>
    <row r="2456" spans="1:1" ht="15" x14ac:dyDescent="0.2">
      <c r="A2456"/>
    </row>
    <row r="2457" spans="1:1" ht="15" x14ac:dyDescent="0.2">
      <c r="A2457"/>
    </row>
    <row r="2458" spans="1:1" ht="15" x14ac:dyDescent="0.2">
      <c r="A2458"/>
    </row>
    <row r="2459" spans="1:1" ht="15" x14ac:dyDescent="0.2">
      <c r="A2459"/>
    </row>
    <row r="2460" spans="1:1" ht="15" x14ac:dyDescent="0.2">
      <c r="A2460"/>
    </row>
    <row r="2461" spans="1:1" ht="15" x14ac:dyDescent="0.2">
      <c r="A2461"/>
    </row>
    <row r="2462" spans="1:1" ht="15" x14ac:dyDescent="0.2">
      <c r="A2462"/>
    </row>
    <row r="2463" spans="1:1" ht="15" x14ac:dyDescent="0.2">
      <c r="A2463"/>
    </row>
    <row r="2464" spans="1:1" ht="15" x14ac:dyDescent="0.2">
      <c r="A2464"/>
    </row>
    <row r="2465" spans="1:1" ht="15" x14ac:dyDescent="0.2">
      <c r="A2465"/>
    </row>
    <row r="2466" spans="1:1" ht="15" x14ac:dyDescent="0.2">
      <c r="A2466"/>
    </row>
    <row r="2467" spans="1:1" ht="15" x14ac:dyDescent="0.2">
      <c r="A2467"/>
    </row>
    <row r="2468" spans="1:1" ht="15" x14ac:dyDescent="0.2">
      <c r="A2468"/>
    </row>
    <row r="2469" spans="1:1" ht="15" x14ac:dyDescent="0.2">
      <c r="A2469"/>
    </row>
    <row r="2470" spans="1:1" ht="15" x14ac:dyDescent="0.2">
      <c r="A2470"/>
    </row>
    <row r="2471" spans="1:1" ht="15" x14ac:dyDescent="0.2">
      <c r="A2471"/>
    </row>
    <row r="2472" spans="1:1" ht="15" x14ac:dyDescent="0.2">
      <c r="A2472"/>
    </row>
    <row r="2473" spans="1:1" ht="15" x14ac:dyDescent="0.2">
      <c r="A2473"/>
    </row>
    <row r="2474" spans="1:1" ht="15" x14ac:dyDescent="0.2">
      <c r="A2474"/>
    </row>
    <row r="2475" spans="1:1" ht="15" x14ac:dyDescent="0.2">
      <c r="A2475"/>
    </row>
    <row r="2476" spans="1:1" ht="15" x14ac:dyDescent="0.2">
      <c r="A2476"/>
    </row>
    <row r="2477" spans="1:1" ht="15" x14ac:dyDescent="0.2">
      <c r="A2477"/>
    </row>
    <row r="2478" spans="1:1" ht="15" x14ac:dyDescent="0.2">
      <c r="A2478"/>
    </row>
    <row r="2479" spans="1:1" ht="15" x14ac:dyDescent="0.2">
      <c r="A2479"/>
    </row>
    <row r="2480" spans="1:1" ht="15" x14ac:dyDescent="0.2">
      <c r="A2480"/>
    </row>
    <row r="2481" spans="1:1" ht="15" x14ac:dyDescent="0.2">
      <c r="A2481"/>
    </row>
    <row r="2482" spans="1:1" ht="15" x14ac:dyDescent="0.2">
      <c r="A2482"/>
    </row>
    <row r="2483" spans="1:1" ht="15" x14ac:dyDescent="0.2">
      <c r="A2483"/>
    </row>
    <row r="2484" spans="1:1" ht="15" x14ac:dyDescent="0.2">
      <c r="A2484"/>
    </row>
    <row r="2485" spans="1:1" ht="15" x14ac:dyDescent="0.2">
      <c r="A2485"/>
    </row>
    <row r="2486" spans="1:1" ht="15" x14ac:dyDescent="0.2">
      <c r="A2486"/>
    </row>
    <row r="2487" spans="1:1" ht="15" x14ac:dyDescent="0.2">
      <c r="A2487"/>
    </row>
    <row r="2488" spans="1:1" ht="15" x14ac:dyDescent="0.2">
      <c r="A2488"/>
    </row>
    <row r="2489" spans="1:1" ht="15" x14ac:dyDescent="0.2">
      <c r="A2489"/>
    </row>
    <row r="2490" spans="1:1" ht="15" x14ac:dyDescent="0.2">
      <c r="A2490"/>
    </row>
    <row r="2491" spans="1:1" ht="15" x14ac:dyDescent="0.2">
      <c r="A2491"/>
    </row>
    <row r="2492" spans="1:1" ht="15" x14ac:dyDescent="0.2">
      <c r="A2492"/>
    </row>
    <row r="2493" spans="1:1" ht="15" x14ac:dyDescent="0.2">
      <c r="A2493"/>
    </row>
    <row r="2494" spans="1:1" ht="15" x14ac:dyDescent="0.2">
      <c r="A2494"/>
    </row>
    <row r="2495" spans="1:1" ht="15" x14ac:dyDescent="0.2">
      <c r="A2495"/>
    </row>
    <row r="2496" spans="1:1" ht="15" x14ac:dyDescent="0.2">
      <c r="A2496"/>
    </row>
    <row r="2497" spans="1:1" ht="15" x14ac:dyDescent="0.2">
      <c r="A2497"/>
    </row>
    <row r="2498" spans="1:1" ht="15" x14ac:dyDescent="0.2">
      <c r="A2498"/>
    </row>
    <row r="2499" spans="1:1" ht="15" x14ac:dyDescent="0.2">
      <c r="A2499"/>
    </row>
    <row r="2500" spans="1:1" ht="15" x14ac:dyDescent="0.2">
      <c r="A2500"/>
    </row>
    <row r="2501" spans="1:1" ht="15" x14ac:dyDescent="0.2">
      <c r="A2501"/>
    </row>
    <row r="2502" spans="1:1" ht="15" x14ac:dyDescent="0.2">
      <c r="A2502"/>
    </row>
    <row r="2503" spans="1:1" ht="15" x14ac:dyDescent="0.2">
      <c r="A2503"/>
    </row>
    <row r="2504" spans="1:1" ht="15" x14ac:dyDescent="0.2">
      <c r="A2504"/>
    </row>
    <row r="2505" spans="1:1" ht="15" x14ac:dyDescent="0.2">
      <c r="A2505"/>
    </row>
    <row r="2506" spans="1:1" ht="15" x14ac:dyDescent="0.2">
      <c r="A2506"/>
    </row>
    <row r="2507" spans="1:1" ht="15" x14ac:dyDescent="0.2">
      <c r="A2507"/>
    </row>
    <row r="2508" spans="1:1" ht="15" x14ac:dyDescent="0.2">
      <c r="A2508"/>
    </row>
    <row r="2509" spans="1:1" ht="15" x14ac:dyDescent="0.2">
      <c r="A2509"/>
    </row>
    <row r="2510" spans="1:1" ht="15" x14ac:dyDescent="0.2">
      <c r="A2510"/>
    </row>
    <row r="2511" spans="1:1" ht="15" x14ac:dyDescent="0.2">
      <c r="A2511"/>
    </row>
    <row r="2512" spans="1:1" ht="15" x14ac:dyDescent="0.2">
      <c r="A2512"/>
    </row>
    <row r="2513" spans="1:1" ht="15" x14ac:dyDescent="0.2">
      <c r="A2513"/>
    </row>
    <row r="2514" spans="1:1" ht="15" x14ac:dyDescent="0.2">
      <c r="A2514"/>
    </row>
    <row r="2515" spans="1:1" ht="15" x14ac:dyDescent="0.2">
      <c r="A2515"/>
    </row>
    <row r="2516" spans="1:1" ht="15" x14ac:dyDescent="0.2">
      <c r="A2516"/>
    </row>
    <row r="2517" spans="1:1" ht="15" x14ac:dyDescent="0.2">
      <c r="A2517"/>
    </row>
    <row r="2518" spans="1:1" ht="15" x14ac:dyDescent="0.2">
      <c r="A2518"/>
    </row>
    <row r="2519" spans="1:1" ht="15" x14ac:dyDescent="0.2">
      <c r="A2519"/>
    </row>
    <row r="2520" spans="1:1" ht="15" x14ac:dyDescent="0.2">
      <c r="A2520"/>
    </row>
    <row r="2521" spans="1:1" ht="15" x14ac:dyDescent="0.2">
      <c r="A2521"/>
    </row>
    <row r="2522" spans="1:1" ht="15" x14ac:dyDescent="0.2">
      <c r="A2522"/>
    </row>
    <row r="2523" spans="1:1" ht="15" x14ac:dyDescent="0.2">
      <c r="A2523"/>
    </row>
    <row r="2524" spans="1:1" ht="15" x14ac:dyDescent="0.2">
      <c r="A2524"/>
    </row>
    <row r="2525" spans="1:1" ht="15" x14ac:dyDescent="0.2">
      <c r="A2525"/>
    </row>
    <row r="2526" spans="1:1" ht="15" x14ac:dyDescent="0.2">
      <c r="A2526"/>
    </row>
    <row r="2527" spans="1:1" ht="15" x14ac:dyDescent="0.2">
      <c r="A2527"/>
    </row>
    <row r="2528" spans="1:1" ht="15" x14ac:dyDescent="0.2">
      <c r="A2528"/>
    </row>
    <row r="2529" spans="1:1" ht="15" x14ac:dyDescent="0.2">
      <c r="A2529"/>
    </row>
    <row r="2530" spans="1:1" ht="15" x14ac:dyDescent="0.2">
      <c r="A2530"/>
    </row>
    <row r="2531" spans="1:1" ht="15" x14ac:dyDescent="0.2">
      <c r="A2531"/>
    </row>
    <row r="2532" spans="1:1" ht="15" x14ac:dyDescent="0.2">
      <c r="A2532"/>
    </row>
    <row r="2533" spans="1:1" ht="15" x14ac:dyDescent="0.2">
      <c r="A2533"/>
    </row>
    <row r="2534" spans="1:1" ht="15" x14ac:dyDescent="0.2">
      <c r="A2534"/>
    </row>
    <row r="2535" spans="1:1" ht="15" x14ac:dyDescent="0.2">
      <c r="A2535"/>
    </row>
    <row r="2536" spans="1:1" ht="15" x14ac:dyDescent="0.2">
      <c r="A2536"/>
    </row>
    <row r="2537" spans="1:1" ht="15" x14ac:dyDescent="0.2">
      <c r="A2537"/>
    </row>
    <row r="2538" spans="1:1" ht="15" x14ac:dyDescent="0.2">
      <c r="A2538"/>
    </row>
    <row r="2539" spans="1:1" ht="15" x14ac:dyDescent="0.2">
      <c r="A2539"/>
    </row>
    <row r="2540" spans="1:1" ht="15" x14ac:dyDescent="0.2">
      <c r="A2540"/>
    </row>
    <row r="2541" spans="1:1" ht="15" x14ac:dyDescent="0.2">
      <c r="A2541"/>
    </row>
    <row r="2542" spans="1:1" ht="15" x14ac:dyDescent="0.2">
      <c r="A2542"/>
    </row>
    <row r="2543" spans="1:1" ht="15" x14ac:dyDescent="0.2">
      <c r="A2543"/>
    </row>
    <row r="2544" spans="1:1" ht="15" x14ac:dyDescent="0.2">
      <c r="A2544"/>
    </row>
    <row r="2545" spans="1:1" ht="15" x14ac:dyDescent="0.2">
      <c r="A2545"/>
    </row>
    <row r="2546" spans="1:1" ht="15" x14ac:dyDescent="0.2">
      <c r="A2546"/>
    </row>
    <row r="2547" spans="1:1" ht="15" x14ac:dyDescent="0.2">
      <c r="A2547"/>
    </row>
    <row r="2548" spans="1:1" ht="15" x14ac:dyDescent="0.2">
      <c r="A2548"/>
    </row>
    <row r="2549" spans="1:1" ht="15" x14ac:dyDescent="0.2">
      <c r="A2549"/>
    </row>
    <row r="2550" spans="1:1" ht="15" x14ac:dyDescent="0.2">
      <c r="A2550"/>
    </row>
    <row r="2551" spans="1:1" ht="15" x14ac:dyDescent="0.2">
      <c r="A2551"/>
    </row>
    <row r="2552" spans="1:1" ht="15" x14ac:dyDescent="0.2">
      <c r="A2552"/>
    </row>
    <row r="2553" spans="1:1" ht="15" x14ac:dyDescent="0.2">
      <c r="A2553"/>
    </row>
    <row r="2554" spans="1:1" ht="15" x14ac:dyDescent="0.2">
      <c r="A2554"/>
    </row>
    <row r="2555" spans="1:1" ht="15" x14ac:dyDescent="0.2">
      <c r="A2555"/>
    </row>
    <row r="2556" spans="1:1" ht="15" x14ac:dyDescent="0.2">
      <c r="A2556"/>
    </row>
    <row r="2557" spans="1:1" ht="15" x14ac:dyDescent="0.2">
      <c r="A2557"/>
    </row>
    <row r="2558" spans="1:1" ht="15" x14ac:dyDescent="0.2">
      <c r="A2558"/>
    </row>
    <row r="2559" spans="1:1" ht="15" x14ac:dyDescent="0.2">
      <c r="A2559"/>
    </row>
    <row r="2560" spans="1:1" ht="15" x14ac:dyDescent="0.2">
      <c r="A2560"/>
    </row>
    <row r="2561" spans="1:1" ht="15" x14ac:dyDescent="0.2">
      <c r="A2561"/>
    </row>
    <row r="2562" spans="1:1" ht="15" x14ac:dyDescent="0.2">
      <c r="A2562"/>
    </row>
    <row r="2563" spans="1:1" ht="15" x14ac:dyDescent="0.2">
      <c r="A2563"/>
    </row>
    <row r="2564" spans="1:1" ht="15" x14ac:dyDescent="0.2">
      <c r="A2564"/>
    </row>
    <row r="2565" spans="1:1" ht="15" x14ac:dyDescent="0.2">
      <c r="A2565"/>
    </row>
    <row r="2566" spans="1:1" ht="15" x14ac:dyDescent="0.2">
      <c r="A2566"/>
    </row>
    <row r="2567" spans="1:1" ht="15" x14ac:dyDescent="0.2">
      <c r="A2567"/>
    </row>
    <row r="2568" spans="1:1" ht="15" x14ac:dyDescent="0.2">
      <c r="A2568"/>
    </row>
    <row r="2569" spans="1:1" ht="15" x14ac:dyDescent="0.2">
      <c r="A2569"/>
    </row>
    <row r="2570" spans="1:1" ht="15" x14ac:dyDescent="0.2">
      <c r="A2570"/>
    </row>
    <row r="2571" spans="1:1" ht="15" x14ac:dyDescent="0.2">
      <c r="A2571"/>
    </row>
    <row r="2572" spans="1:1" ht="15" x14ac:dyDescent="0.2">
      <c r="A2572"/>
    </row>
    <row r="2573" spans="1:1" ht="15" x14ac:dyDescent="0.2">
      <c r="A2573"/>
    </row>
    <row r="2574" spans="1:1" ht="15" x14ac:dyDescent="0.2">
      <c r="A2574"/>
    </row>
    <row r="2575" spans="1:1" ht="15" x14ac:dyDescent="0.2">
      <c r="A2575"/>
    </row>
    <row r="2576" spans="1:1" ht="15" x14ac:dyDescent="0.2">
      <c r="A2576"/>
    </row>
    <row r="2577" spans="1:1" ht="15" x14ac:dyDescent="0.2">
      <c r="A2577"/>
    </row>
    <row r="2578" spans="1:1" ht="15" x14ac:dyDescent="0.2">
      <c r="A2578"/>
    </row>
    <row r="2579" spans="1:1" ht="15" x14ac:dyDescent="0.2">
      <c r="A2579"/>
    </row>
    <row r="2580" spans="1:1" ht="15" x14ac:dyDescent="0.2">
      <c r="A2580"/>
    </row>
    <row r="2581" spans="1:1" ht="15" x14ac:dyDescent="0.2">
      <c r="A2581"/>
    </row>
    <row r="2582" spans="1:1" ht="15" x14ac:dyDescent="0.2">
      <c r="A2582"/>
    </row>
    <row r="2583" spans="1:1" ht="15" x14ac:dyDescent="0.2">
      <c r="A2583"/>
    </row>
    <row r="2584" spans="1:1" ht="15" x14ac:dyDescent="0.2">
      <c r="A2584"/>
    </row>
    <row r="2585" spans="1:1" ht="15" x14ac:dyDescent="0.2">
      <c r="A2585"/>
    </row>
    <row r="2586" spans="1:1" ht="15" x14ac:dyDescent="0.2">
      <c r="A2586"/>
    </row>
    <row r="2587" spans="1:1" ht="15" x14ac:dyDescent="0.2">
      <c r="A2587"/>
    </row>
    <row r="2588" spans="1:1" ht="15" x14ac:dyDescent="0.2">
      <c r="A2588"/>
    </row>
    <row r="2589" spans="1:1" ht="15" x14ac:dyDescent="0.2">
      <c r="A2589"/>
    </row>
    <row r="2590" spans="1:1" ht="15" x14ac:dyDescent="0.2">
      <c r="A2590"/>
    </row>
    <row r="2591" spans="1:1" ht="15" x14ac:dyDescent="0.2">
      <c r="A2591"/>
    </row>
    <row r="2592" spans="1:1" ht="15" x14ac:dyDescent="0.2">
      <c r="A2592"/>
    </row>
    <row r="2593" spans="1:1" ht="15" x14ac:dyDescent="0.2">
      <c r="A2593"/>
    </row>
    <row r="2594" spans="1:1" ht="15" x14ac:dyDescent="0.2">
      <c r="A2594"/>
    </row>
    <row r="2595" spans="1:1" ht="15" x14ac:dyDescent="0.2">
      <c r="A2595"/>
    </row>
    <row r="2596" spans="1:1" ht="15" x14ac:dyDescent="0.2">
      <c r="A2596"/>
    </row>
    <row r="2597" spans="1:1" ht="15" x14ac:dyDescent="0.2">
      <c r="A2597"/>
    </row>
    <row r="2598" spans="1:1" ht="15" x14ac:dyDescent="0.2">
      <c r="A2598"/>
    </row>
    <row r="2599" spans="1:1" ht="15" x14ac:dyDescent="0.2">
      <c r="A2599"/>
    </row>
    <row r="2600" spans="1:1" ht="15" x14ac:dyDescent="0.2">
      <c r="A2600"/>
    </row>
    <row r="2601" spans="1:1" ht="15" x14ac:dyDescent="0.2">
      <c r="A2601"/>
    </row>
    <row r="2602" spans="1:1" ht="15" x14ac:dyDescent="0.2">
      <c r="A2602"/>
    </row>
    <row r="2603" spans="1:1" ht="15" x14ac:dyDescent="0.2">
      <c r="A2603"/>
    </row>
    <row r="2604" spans="1:1" ht="15" x14ac:dyDescent="0.2">
      <c r="A2604"/>
    </row>
    <row r="2605" spans="1:1" ht="15" x14ac:dyDescent="0.2">
      <c r="A2605"/>
    </row>
    <row r="2606" spans="1:1" ht="15" x14ac:dyDescent="0.2">
      <c r="A2606"/>
    </row>
    <row r="2607" spans="1:1" ht="15" x14ac:dyDescent="0.2">
      <c r="A2607"/>
    </row>
    <row r="2608" spans="1:1" ht="15" x14ac:dyDescent="0.2">
      <c r="A2608"/>
    </row>
    <row r="2609" spans="1:1" ht="15" x14ac:dyDescent="0.2">
      <c r="A2609"/>
    </row>
    <row r="2610" spans="1:1" ht="15" x14ac:dyDescent="0.2">
      <c r="A2610"/>
    </row>
    <row r="2611" spans="1:1" ht="15" x14ac:dyDescent="0.2">
      <c r="A2611"/>
    </row>
    <row r="2612" spans="1:1" ht="15" x14ac:dyDescent="0.2">
      <c r="A2612"/>
    </row>
    <row r="2613" spans="1:1" ht="15" x14ac:dyDescent="0.2">
      <c r="A2613"/>
    </row>
    <row r="2614" spans="1:1" ht="15" x14ac:dyDescent="0.2">
      <c r="A2614"/>
    </row>
    <row r="2615" spans="1:1" ht="15" x14ac:dyDescent="0.2">
      <c r="A2615"/>
    </row>
    <row r="2616" spans="1:1" ht="15" x14ac:dyDescent="0.2">
      <c r="A2616"/>
    </row>
    <row r="2617" spans="1:1" ht="15" x14ac:dyDescent="0.2">
      <c r="A2617"/>
    </row>
    <row r="2618" spans="1:1" ht="15" x14ac:dyDescent="0.2">
      <c r="A2618"/>
    </row>
    <row r="2619" spans="1:1" ht="15" x14ac:dyDescent="0.2">
      <c r="A2619"/>
    </row>
    <row r="2620" spans="1:1" ht="15" x14ac:dyDescent="0.2">
      <c r="A2620"/>
    </row>
    <row r="2621" spans="1:1" ht="15" x14ac:dyDescent="0.2">
      <c r="A2621"/>
    </row>
    <row r="2622" spans="1:1" ht="15" x14ac:dyDescent="0.2">
      <c r="A2622"/>
    </row>
    <row r="2623" spans="1:1" ht="15" x14ac:dyDescent="0.2">
      <c r="A2623"/>
    </row>
    <row r="2624" spans="1:1" ht="15" x14ac:dyDescent="0.2">
      <c r="A2624"/>
    </row>
    <row r="2625" spans="1:1" ht="15" x14ac:dyDescent="0.2">
      <c r="A2625"/>
    </row>
    <row r="2626" spans="1:1" ht="15" x14ac:dyDescent="0.2">
      <c r="A2626"/>
    </row>
    <row r="2627" spans="1:1" ht="15" x14ac:dyDescent="0.2">
      <c r="A2627"/>
    </row>
    <row r="2628" spans="1:1" ht="15" x14ac:dyDescent="0.2">
      <c r="A2628"/>
    </row>
    <row r="2629" spans="1:1" ht="15" x14ac:dyDescent="0.2">
      <c r="A2629"/>
    </row>
    <row r="2630" spans="1:1" ht="15" x14ac:dyDescent="0.2">
      <c r="A2630"/>
    </row>
    <row r="2631" spans="1:1" ht="15" x14ac:dyDescent="0.2">
      <c r="A2631"/>
    </row>
    <row r="2632" spans="1:1" ht="15" x14ac:dyDescent="0.2">
      <c r="A2632"/>
    </row>
    <row r="2633" spans="1:1" ht="15" x14ac:dyDescent="0.2">
      <c r="A2633"/>
    </row>
    <row r="2634" spans="1:1" ht="15" x14ac:dyDescent="0.2">
      <c r="A2634"/>
    </row>
    <row r="2635" spans="1:1" ht="15" x14ac:dyDescent="0.2">
      <c r="A2635"/>
    </row>
    <row r="2636" spans="1:1" ht="15" x14ac:dyDescent="0.2">
      <c r="A2636"/>
    </row>
    <row r="2637" spans="1:1" ht="15" x14ac:dyDescent="0.2">
      <c r="A2637"/>
    </row>
    <row r="2638" spans="1:1" ht="15" x14ac:dyDescent="0.2">
      <c r="A2638"/>
    </row>
    <row r="2639" spans="1:1" ht="15" x14ac:dyDescent="0.2">
      <c r="A2639"/>
    </row>
    <row r="2640" spans="1:1" ht="15" x14ac:dyDescent="0.2">
      <c r="A2640"/>
    </row>
    <row r="2641" spans="1:1" ht="15" x14ac:dyDescent="0.2">
      <c r="A2641"/>
    </row>
    <row r="2642" spans="1:1" ht="15" x14ac:dyDescent="0.2">
      <c r="A2642"/>
    </row>
    <row r="2643" spans="1:1" ht="15" x14ac:dyDescent="0.2">
      <c r="A2643"/>
    </row>
    <row r="2644" spans="1:1" ht="15" x14ac:dyDescent="0.2">
      <c r="A2644"/>
    </row>
    <row r="2645" spans="1:1" ht="15" x14ac:dyDescent="0.2">
      <c r="A2645"/>
    </row>
    <row r="2646" spans="1:1" ht="15" x14ac:dyDescent="0.2">
      <c r="A2646"/>
    </row>
    <row r="2647" spans="1:1" ht="15" x14ac:dyDescent="0.2">
      <c r="A2647"/>
    </row>
    <row r="2648" spans="1:1" ht="15" x14ac:dyDescent="0.2">
      <c r="A2648"/>
    </row>
    <row r="2649" spans="1:1" ht="15" x14ac:dyDescent="0.2">
      <c r="A2649"/>
    </row>
    <row r="2650" spans="1:1" ht="15" x14ac:dyDescent="0.2">
      <c r="A2650"/>
    </row>
    <row r="2651" spans="1:1" ht="15" x14ac:dyDescent="0.2">
      <c r="A2651"/>
    </row>
    <row r="2652" spans="1:1" ht="15" x14ac:dyDescent="0.2">
      <c r="A2652"/>
    </row>
    <row r="2653" spans="1:1" ht="15" x14ac:dyDescent="0.2">
      <c r="A2653"/>
    </row>
    <row r="2654" spans="1:1" ht="15" x14ac:dyDescent="0.2">
      <c r="A2654"/>
    </row>
    <row r="2655" spans="1:1" ht="15" x14ac:dyDescent="0.2">
      <c r="A2655"/>
    </row>
    <row r="2656" spans="1:1" ht="15" x14ac:dyDescent="0.2">
      <c r="A2656"/>
    </row>
    <row r="2657" spans="1:1" ht="15" x14ac:dyDescent="0.2">
      <c r="A2657"/>
    </row>
    <row r="2658" spans="1:1" ht="15" x14ac:dyDescent="0.2">
      <c r="A2658"/>
    </row>
    <row r="2659" spans="1:1" ht="15" x14ac:dyDescent="0.2">
      <c r="A2659"/>
    </row>
    <row r="2660" spans="1:1" ht="15" x14ac:dyDescent="0.2">
      <c r="A2660"/>
    </row>
    <row r="2661" spans="1:1" ht="15" x14ac:dyDescent="0.2">
      <c r="A2661"/>
    </row>
    <row r="2662" spans="1:1" ht="15" x14ac:dyDescent="0.2">
      <c r="A2662"/>
    </row>
    <row r="2663" spans="1:1" ht="15" x14ac:dyDescent="0.2">
      <c r="A2663"/>
    </row>
    <row r="2664" spans="1:1" ht="15" x14ac:dyDescent="0.2">
      <c r="A2664"/>
    </row>
    <row r="2665" spans="1:1" ht="15" x14ac:dyDescent="0.2">
      <c r="A2665"/>
    </row>
    <row r="2666" spans="1:1" ht="15" x14ac:dyDescent="0.2">
      <c r="A2666"/>
    </row>
    <row r="2667" spans="1:1" ht="15" x14ac:dyDescent="0.2">
      <c r="A2667"/>
    </row>
    <row r="2668" spans="1:1" ht="15" x14ac:dyDescent="0.2">
      <c r="A2668"/>
    </row>
    <row r="2669" spans="1:1" ht="15" x14ac:dyDescent="0.2">
      <c r="A2669"/>
    </row>
    <row r="2670" spans="1:1" ht="15" x14ac:dyDescent="0.2">
      <c r="A2670"/>
    </row>
    <row r="2671" spans="1:1" ht="15" x14ac:dyDescent="0.2">
      <c r="A2671"/>
    </row>
    <row r="2672" spans="1:1" ht="15" x14ac:dyDescent="0.2">
      <c r="A2672"/>
    </row>
    <row r="2673" spans="1:1" ht="15" x14ac:dyDescent="0.2">
      <c r="A2673"/>
    </row>
    <row r="2674" spans="1:1" ht="15" x14ac:dyDescent="0.2">
      <c r="A2674"/>
    </row>
    <row r="2675" spans="1:1" ht="15" x14ac:dyDescent="0.2">
      <c r="A2675"/>
    </row>
    <row r="2676" spans="1:1" ht="15" x14ac:dyDescent="0.2">
      <c r="A2676"/>
    </row>
    <row r="2677" spans="1:1" ht="15" x14ac:dyDescent="0.2">
      <c r="A2677"/>
    </row>
    <row r="2678" spans="1:1" ht="15" x14ac:dyDescent="0.2">
      <c r="A2678"/>
    </row>
    <row r="2679" spans="1:1" ht="15" x14ac:dyDescent="0.2">
      <c r="A2679"/>
    </row>
    <row r="2680" spans="1:1" ht="15" x14ac:dyDescent="0.2">
      <c r="A2680"/>
    </row>
    <row r="2681" spans="1:1" ht="15" x14ac:dyDescent="0.2">
      <c r="A2681"/>
    </row>
    <row r="2682" spans="1:1" ht="15" x14ac:dyDescent="0.2">
      <c r="A2682"/>
    </row>
    <row r="2683" spans="1:1" ht="15" x14ac:dyDescent="0.2">
      <c r="A2683"/>
    </row>
    <row r="2684" spans="1:1" ht="15" x14ac:dyDescent="0.2">
      <c r="A2684"/>
    </row>
    <row r="2685" spans="1:1" ht="15" x14ac:dyDescent="0.2">
      <c r="A2685"/>
    </row>
    <row r="2686" spans="1:1" ht="15" x14ac:dyDescent="0.2">
      <c r="A2686"/>
    </row>
    <row r="2687" spans="1:1" ht="15" x14ac:dyDescent="0.2">
      <c r="A2687"/>
    </row>
    <row r="2688" spans="1:1" ht="15" x14ac:dyDescent="0.2">
      <c r="A2688"/>
    </row>
    <row r="2689" spans="1:1" ht="15" x14ac:dyDescent="0.2">
      <c r="A2689"/>
    </row>
    <row r="2690" spans="1:1" ht="15" x14ac:dyDescent="0.2">
      <c r="A2690"/>
    </row>
    <row r="2691" spans="1:1" ht="15" x14ac:dyDescent="0.2">
      <c r="A2691"/>
    </row>
    <row r="2692" spans="1:1" ht="15" x14ac:dyDescent="0.2">
      <c r="A2692"/>
    </row>
    <row r="2693" spans="1:1" ht="15" x14ac:dyDescent="0.2">
      <c r="A2693"/>
    </row>
    <row r="2694" spans="1:1" ht="15" x14ac:dyDescent="0.2">
      <c r="A2694"/>
    </row>
    <row r="2695" spans="1:1" ht="15" x14ac:dyDescent="0.2">
      <c r="A2695"/>
    </row>
    <row r="2696" spans="1:1" ht="15" x14ac:dyDescent="0.2">
      <c r="A2696"/>
    </row>
    <row r="2697" spans="1:1" ht="15" x14ac:dyDescent="0.2">
      <c r="A2697"/>
    </row>
    <row r="2698" spans="1:1" ht="15" x14ac:dyDescent="0.2">
      <c r="A2698"/>
    </row>
    <row r="2699" spans="1:1" ht="15" x14ac:dyDescent="0.2">
      <c r="A2699"/>
    </row>
    <row r="2700" spans="1:1" ht="15" x14ac:dyDescent="0.2">
      <c r="A2700"/>
    </row>
    <row r="2701" spans="1:1" ht="15" x14ac:dyDescent="0.2">
      <c r="A2701"/>
    </row>
    <row r="2702" spans="1:1" ht="15" x14ac:dyDescent="0.2">
      <c r="A2702"/>
    </row>
    <row r="2703" spans="1:1" ht="15" x14ac:dyDescent="0.2">
      <c r="A2703"/>
    </row>
    <row r="2704" spans="1:1" ht="15" x14ac:dyDescent="0.2">
      <c r="A2704"/>
    </row>
    <row r="2705" spans="1:1" ht="15" x14ac:dyDescent="0.2">
      <c r="A2705"/>
    </row>
    <row r="2706" spans="1:1" ht="15" x14ac:dyDescent="0.2">
      <c r="A2706"/>
    </row>
    <row r="2707" spans="1:1" ht="15" x14ac:dyDescent="0.2">
      <c r="A2707"/>
    </row>
    <row r="2708" spans="1:1" ht="15" x14ac:dyDescent="0.2">
      <c r="A2708"/>
    </row>
    <row r="2709" spans="1:1" ht="15" x14ac:dyDescent="0.2">
      <c r="A2709"/>
    </row>
    <row r="2710" spans="1:1" ht="15" x14ac:dyDescent="0.2">
      <c r="A2710"/>
    </row>
    <row r="2711" spans="1:1" ht="15" x14ac:dyDescent="0.2">
      <c r="A2711"/>
    </row>
    <row r="2712" spans="1:1" ht="15" x14ac:dyDescent="0.2">
      <c r="A2712"/>
    </row>
    <row r="2713" spans="1:1" ht="15" x14ac:dyDescent="0.2">
      <c r="A2713"/>
    </row>
    <row r="2714" spans="1:1" ht="15" x14ac:dyDescent="0.2">
      <c r="A2714"/>
    </row>
    <row r="2715" spans="1:1" ht="15" x14ac:dyDescent="0.2">
      <c r="A2715"/>
    </row>
    <row r="2716" spans="1:1" ht="15" x14ac:dyDescent="0.2">
      <c r="A2716"/>
    </row>
    <row r="2717" spans="1:1" ht="15" x14ac:dyDescent="0.2">
      <c r="A2717"/>
    </row>
    <row r="2718" spans="1:1" ht="15" x14ac:dyDescent="0.2">
      <c r="A2718"/>
    </row>
    <row r="2719" spans="1:1" ht="15" x14ac:dyDescent="0.2">
      <c r="A2719"/>
    </row>
    <row r="2720" spans="1:1" ht="15" x14ac:dyDescent="0.2">
      <c r="A2720"/>
    </row>
    <row r="2721" spans="1:1" ht="15" x14ac:dyDescent="0.2">
      <c r="A2721"/>
    </row>
    <row r="2722" spans="1:1" ht="15" x14ac:dyDescent="0.2">
      <c r="A2722"/>
    </row>
    <row r="2723" spans="1:1" ht="15" x14ac:dyDescent="0.2">
      <c r="A2723"/>
    </row>
    <row r="2724" spans="1:1" ht="15" x14ac:dyDescent="0.2">
      <c r="A2724"/>
    </row>
    <row r="2725" spans="1:1" ht="15" x14ac:dyDescent="0.2">
      <c r="A2725"/>
    </row>
    <row r="2726" spans="1:1" ht="15" x14ac:dyDescent="0.2">
      <c r="A2726"/>
    </row>
    <row r="2727" spans="1:1" ht="15" x14ac:dyDescent="0.2">
      <c r="A2727"/>
    </row>
    <row r="2728" spans="1:1" ht="15" x14ac:dyDescent="0.2">
      <c r="A2728"/>
    </row>
    <row r="2729" spans="1:1" ht="15" x14ac:dyDescent="0.2">
      <c r="A2729"/>
    </row>
    <row r="2730" spans="1:1" ht="15" x14ac:dyDescent="0.2">
      <c r="A2730"/>
    </row>
    <row r="2731" spans="1:1" ht="15" x14ac:dyDescent="0.2">
      <c r="A2731"/>
    </row>
    <row r="2732" spans="1:1" ht="15" x14ac:dyDescent="0.2">
      <c r="A2732"/>
    </row>
    <row r="2733" spans="1:1" ht="15" x14ac:dyDescent="0.2">
      <c r="A2733"/>
    </row>
    <row r="2734" spans="1:1" ht="15" x14ac:dyDescent="0.2">
      <c r="A2734"/>
    </row>
    <row r="2735" spans="1:1" ht="15" x14ac:dyDescent="0.2">
      <c r="A2735"/>
    </row>
    <row r="2736" spans="1:1" ht="15" x14ac:dyDescent="0.2">
      <c r="A2736"/>
    </row>
    <row r="2737" spans="1:1" ht="15" x14ac:dyDescent="0.2">
      <c r="A2737"/>
    </row>
    <row r="2738" spans="1:1" ht="15" x14ac:dyDescent="0.2">
      <c r="A2738"/>
    </row>
    <row r="2739" spans="1:1" ht="15" x14ac:dyDescent="0.2">
      <c r="A2739"/>
    </row>
    <row r="2740" spans="1:1" ht="15" x14ac:dyDescent="0.2">
      <c r="A2740"/>
    </row>
    <row r="2741" spans="1:1" ht="15" x14ac:dyDescent="0.2">
      <c r="A2741"/>
    </row>
    <row r="2742" spans="1:1" ht="15" x14ac:dyDescent="0.2">
      <c r="A2742"/>
    </row>
    <row r="2743" spans="1:1" ht="15" x14ac:dyDescent="0.2">
      <c r="A2743"/>
    </row>
    <row r="2744" spans="1:1" ht="15" x14ac:dyDescent="0.2">
      <c r="A2744"/>
    </row>
    <row r="2745" spans="1:1" ht="15" x14ac:dyDescent="0.2">
      <c r="A2745"/>
    </row>
    <row r="2746" spans="1:1" ht="15" x14ac:dyDescent="0.2">
      <c r="A2746"/>
    </row>
    <row r="2747" spans="1:1" ht="15" x14ac:dyDescent="0.2">
      <c r="A2747"/>
    </row>
    <row r="2748" spans="1:1" ht="15" x14ac:dyDescent="0.2">
      <c r="A2748"/>
    </row>
    <row r="2749" spans="1:1" ht="15" x14ac:dyDescent="0.2">
      <c r="A2749"/>
    </row>
    <row r="2750" spans="1:1" ht="15" x14ac:dyDescent="0.2">
      <c r="A2750"/>
    </row>
    <row r="2751" spans="1:1" ht="15" x14ac:dyDescent="0.2">
      <c r="A2751"/>
    </row>
    <row r="2752" spans="1:1" ht="15" x14ac:dyDescent="0.2">
      <c r="A2752"/>
    </row>
    <row r="2753" spans="1:1" ht="15" x14ac:dyDescent="0.2">
      <c r="A2753"/>
    </row>
    <row r="2754" spans="1:1" ht="15" x14ac:dyDescent="0.2">
      <c r="A2754"/>
    </row>
    <row r="2755" spans="1:1" ht="15" x14ac:dyDescent="0.2">
      <c r="A2755"/>
    </row>
    <row r="2756" spans="1:1" ht="15" x14ac:dyDescent="0.2">
      <c r="A2756"/>
    </row>
    <row r="2757" spans="1:1" ht="15" x14ac:dyDescent="0.2">
      <c r="A2757"/>
    </row>
    <row r="2758" spans="1:1" ht="15" x14ac:dyDescent="0.2">
      <c r="A2758"/>
    </row>
    <row r="2759" spans="1:1" ht="15" x14ac:dyDescent="0.2">
      <c r="A2759"/>
    </row>
    <row r="2760" spans="1:1" ht="15" x14ac:dyDescent="0.2">
      <c r="A2760"/>
    </row>
    <row r="2761" spans="1:1" ht="15" x14ac:dyDescent="0.2">
      <c r="A2761"/>
    </row>
    <row r="2762" spans="1:1" ht="15" x14ac:dyDescent="0.2">
      <c r="A2762"/>
    </row>
    <row r="2763" spans="1:1" ht="15" x14ac:dyDescent="0.2">
      <c r="A2763"/>
    </row>
    <row r="2764" spans="1:1" ht="15" x14ac:dyDescent="0.2">
      <c r="A2764"/>
    </row>
    <row r="2765" spans="1:1" ht="15" x14ac:dyDescent="0.2">
      <c r="A2765"/>
    </row>
    <row r="2766" spans="1:1" ht="15" x14ac:dyDescent="0.2">
      <c r="A2766"/>
    </row>
    <row r="2767" spans="1:1" ht="15" x14ac:dyDescent="0.2">
      <c r="A2767"/>
    </row>
    <row r="2768" spans="1:1" ht="15" x14ac:dyDescent="0.2">
      <c r="A2768"/>
    </row>
    <row r="2769" spans="1:1" ht="15" x14ac:dyDescent="0.2">
      <c r="A2769"/>
    </row>
    <row r="2770" spans="1:1" ht="15" x14ac:dyDescent="0.2">
      <c r="A2770"/>
    </row>
    <row r="2771" spans="1:1" ht="15" x14ac:dyDescent="0.2">
      <c r="A2771"/>
    </row>
    <row r="2772" spans="1:1" ht="15" x14ac:dyDescent="0.2">
      <c r="A2772"/>
    </row>
    <row r="2773" spans="1:1" ht="15" x14ac:dyDescent="0.2">
      <c r="A2773"/>
    </row>
    <row r="2774" spans="1:1" ht="15" x14ac:dyDescent="0.2">
      <c r="A2774"/>
    </row>
    <row r="2775" spans="1:1" ht="15" x14ac:dyDescent="0.2">
      <c r="A2775"/>
    </row>
    <row r="2776" spans="1:1" ht="15" x14ac:dyDescent="0.2">
      <c r="A2776"/>
    </row>
    <row r="2777" spans="1:1" ht="15" x14ac:dyDescent="0.2">
      <c r="A2777"/>
    </row>
    <row r="2778" spans="1:1" ht="15" x14ac:dyDescent="0.2">
      <c r="A2778"/>
    </row>
    <row r="2779" spans="1:1" ht="15" x14ac:dyDescent="0.2">
      <c r="A2779"/>
    </row>
    <row r="2780" spans="1:1" ht="15" x14ac:dyDescent="0.2">
      <c r="A2780"/>
    </row>
    <row r="2781" spans="1:1" ht="15" x14ac:dyDescent="0.2">
      <c r="A2781"/>
    </row>
    <row r="2782" spans="1:1" ht="15" x14ac:dyDescent="0.2">
      <c r="A2782"/>
    </row>
    <row r="2783" spans="1:1" ht="15" x14ac:dyDescent="0.2">
      <c r="A2783"/>
    </row>
    <row r="2784" spans="1:1" ht="15" x14ac:dyDescent="0.2">
      <c r="A2784"/>
    </row>
    <row r="2785" spans="1:1" ht="15" x14ac:dyDescent="0.2">
      <c r="A2785"/>
    </row>
    <row r="2786" spans="1:1" ht="15" x14ac:dyDescent="0.2">
      <c r="A2786"/>
    </row>
    <row r="2787" spans="1:1" ht="15" x14ac:dyDescent="0.2">
      <c r="A2787"/>
    </row>
    <row r="2788" spans="1:1" ht="15" x14ac:dyDescent="0.2">
      <c r="A2788"/>
    </row>
    <row r="2789" spans="1:1" ht="15" x14ac:dyDescent="0.2">
      <c r="A2789"/>
    </row>
    <row r="2790" spans="1:1" ht="15" x14ac:dyDescent="0.2">
      <c r="A2790"/>
    </row>
    <row r="2791" spans="1:1" ht="15" x14ac:dyDescent="0.2">
      <c r="A2791"/>
    </row>
    <row r="2792" spans="1:1" ht="15" x14ac:dyDescent="0.2">
      <c r="A2792"/>
    </row>
    <row r="2793" spans="1:1" ht="15" x14ac:dyDescent="0.2">
      <c r="A2793"/>
    </row>
    <row r="2794" spans="1:1" ht="15" x14ac:dyDescent="0.2">
      <c r="A2794"/>
    </row>
    <row r="2795" spans="1:1" ht="15" x14ac:dyDescent="0.2">
      <c r="A2795"/>
    </row>
    <row r="2796" spans="1:1" ht="15" x14ac:dyDescent="0.2">
      <c r="A2796"/>
    </row>
    <row r="2797" spans="1:1" ht="15" x14ac:dyDescent="0.2">
      <c r="A2797"/>
    </row>
    <row r="2798" spans="1:1" ht="15" x14ac:dyDescent="0.2">
      <c r="A2798"/>
    </row>
    <row r="2799" spans="1:1" ht="15" x14ac:dyDescent="0.2">
      <c r="A2799"/>
    </row>
    <row r="2800" spans="1:1" ht="15" x14ac:dyDescent="0.2">
      <c r="A2800"/>
    </row>
    <row r="2801" spans="1:1" ht="15" x14ac:dyDescent="0.2">
      <c r="A2801"/>
    </row>
    <row r="2802" spans="1:1" ht="15" x14ac:dyDescent="0.2">
      <c r="A2802"/>
    </row>
    <row r="2803" spans="1:1" ht="15" x14ac:dyDescent="0.2">
      <c r="A2803"/>
    </row>
    <row r="2804" spans="1:1" ht="15" x14ac:dyDescent="0.2">
      <c r="A2804"/>
    </row>
    <row r="2805" spans="1:1" ht="15" x14ac:dyDescent="0.2">
      <c r="A2805"/>
    </row>
    <row r="2806" spans="1:1" ht="15" x14ac:dyDescent="0.2">
      <c r="A2806"/>
    </row>
    <row r="2807" spans="1:1" ht="15" x14ac:dyDescent="0.2">
      <c r="A2807"/>
    </row>
    <row r="2808" spans="1:1" ht="15" x14ac:dyDescent="0.2">
      <c r="A2808"/>
    </row>
    <row r="2809" spans="1:1" ht="15" x14ac:dyDescent="0.2">
      <c r="A2809"/>
    </row>
    <row r="2810" spans="1:1" ht="15" x14ac:dyDescent="0.2">
      <c r="A2810"/>
    </row>
    <row r="2811" spans="1:1" ht="15" x14ac:dyDescent="0.2">
      <c r="A2811"/>
    </row>
    <row r="2812" spans="1:1" ht="15" x14ac:dyDescent="0.2">
      <c r="A2812"/>
    </row>
    <row r="2813" spans="1:1" ht="15" x14ac:dyDescent="0.2">
      <c r="A2813"/>
    </row>
    <row r="2814" spans="1:1" ht="15" x14ac:dyDescent="0.2">
      <c r="A2814"/>
    </row>
    <row r="2815" spans="1:1" ht="15" x14ac:dyDescent="0.2">
      <c r="A2815"/>
    </row>
    <row r="2816" spans="1:1" ht="15" x14ac:dyDescent="0.2">
      <c r="A2816"/>
    </row>
    <row r="2817" spans="1:1" ht="15" x14ac:dyDescent="0.2">
      <c r="A2817"/>
    </row>
    <row r="2818" spans="1:1" ht="15" x14ac:dyDescent="0.2">
      <c r="A2818"/>
    </row>
    <row r="2819" spans="1:1" ht="15" x14ac:dyDescent="0.2">
      <c r="A2819"/>
    </row>
    <row r="2820" spans="1:1" ht="15" x14ac:dyDescent="0.2">
      <c r="A2820"/>
    </row>
    <row r="2821" spans="1:1" ht="15" x14ac:dyDescent="0.2">
      <c r="A2821"/>
    </row>
    <row r="2822" spans="1:1" ht="15" x14ac:dyDescent="0.2">
      <c r="A2822"/>
    </row>
    <row r="2823" spans="1:1" ht="15" x14ac:dyDescent="0.2">
      <c r="A2823"/>
    </row>
    <row r="2824" spans="1:1" ht="15" x14ac:dyDescent="0.2">
      <c r="A2824"/>
    </row>
    <row r="2825" spans="1:1" ht="15" x14ac:dyDescent="0.2">
      <c r="A2825"/>
    </row>
    <row r="2826" spans="1:1" ht="15" x14ac:dyDescent="0.2">
      <c r="A2826"/>
    </row>
    <row r="2827" spans="1:1" ht="15" x14ac:dyDescent="0.2">
      <c r="A2827"/>
    </row>
    <row r="2828" spans="1:1" ht="15" x14ac:dyDescent="0.2">
      <c r="A2828"/>
    </row>
    <row r="2829" spans="1:1" ht="15" x14ac:dyDescent="0.2">
      <c r="A2829"/>
    </row>
    <row r="2830" spans="1:1" ht="15" x14ac:dyDescent="0.2">
      <c r="A2830"/>
    </row>
    <row r="2831" spans="1:1" ht="15" x14ac:dyDescent="0.2">
      <c r="A2831"/>
    </row>
    <row r="2832" spans="1:1" ht="15" x14ac:dyDescent="0.2">
      <c r="A2832"/>
    </row>
    <row r="2833" spans="1:1" ht="15" x14ac:dyDescent="0.2">
      <c r="A2833"/>
    </row>
    <row r="2834" spans="1:1" ht="15" x14ac:dyDescent="0.2">
      <c r="A2834"/>
    </row>
    <row r="2835" spans="1:1" ht="15" x14ac:dyDescent="0.2">
      <c r="A2835"/>
    </row>
    <row r="2836" spans="1:1" ht="15" x14ac:dyDescent="0.2">
      <c r="A2836"/>
    </row>
    <row r="2837" spans="1:1" ht="15" x14ac:dyDescent="0.2">
      <c r="A2837"/>
    </row>
    <row r="2838" spans="1:1" ht="15" x14ac:dyDescent="0.2">
      <c r="A2838"/>
    </row>
    <row r="2839" spans="1:1" ht="15" x14ac:dyDescent="0.2">
      <c r="A2839"/>
    </row>
    <row r="2840" spans="1:1" ht="15" x14ac:dyDescent="0.2">
      <c r="A2840"/>
    </row>
    <row r="2841" spans="1:1" ht="15" x14ac:dyDescent="0.2">
      <c r="A2841"/>
    </row>
    <row r="2842" spans="1:1" ht="15" x14ac:dyDescent="0.2">
      <c r="A2842"/>
    </row>
    <row r="2843" spans="1:1" ht="15" x14ac:dyDescent="0.2">
      <c r="A2843"/>
    </row>
    <row r="2844" spans="1:1" ht="15" x14ac:dyDescent="0.2">
      <c r="A2844"/>
    </row>
    <row r="2845" spans="1:1" ht="15" x14ac:dyDescent="0.2">
      <c r="A2845"/>
    </row>
    <row r="2846" spans="1:1" ht="15" x14ac:dyDescent="0.2">
      <c r="A2846"/>
    </row>
    <row r="2847" spans="1:1" ht="15" x14ac:dyDescent="0.2">
      <c r="A2847"/>
    </row>
    <row r="2848" spans="1:1" ht="15" x14ac:dyDescent="0.2">
      <c r="A2848"/>
    </row>
    <row r="2849" spans="1:1" ht="15" x14ac:dyDescent="0.2">
      <c r="A2849"/>
    </row>
    <row r="2850" spans="1:1" ht="15" x14ac:dyDescent="0.2">
      <c r="A2850"/>
    </row>
    <row r="2851" spans="1:1" ht="15" x14ac:dyDescent="0.2">
      <c r="A2851"/>
    </row>
    <row r="2852" spans="1:1" ht="15" x14ac:dyDescent="0.2">
      <c r="A2852"/>
    </row>
    <row r="2853" spans="1:1" ht="15" x14ac:dyDescent="0.2">
      <c r="A2853"/>
    </row>
    <row r="2854" spans="1:1" ht="15" x14ac:dyDescent="0.2">
      <c r="A2854"/>
    </row>
    <row r="2855" spans="1:1" ht="15" x14ac:dyDescent="0.2">
      <c r="A2855"/>
    </row>
    <row r="2856" spans="1:1" ht="15" x14ac:dyDescent="0.2">
      <c r="A2856"/>
    </row>
    <row r="2857" spans="1:1" ht="15" x14ac:dyDescent="0.2">
      <c r="A2857"/>
    </row>
    <row r="2858" spans="1:1" ht="15" x14ac:dyDescent="0.2">
      <c r="A2858"/>
    </row>
    <row r="2859" spans="1:1" ht="15" x14ac:dyDescent="0.2">
      <c r="A2859"/>
    </row>
    <row r="2860" spans="1:1" ht="15" x14ac:dyDescent="0.2">
      <c r="A2860"/>
    </row>
    <row r="2861" spans="1:1" ht="15" x14ac:dyDescent="0.2">
      <c r="A2861"/>
    </row>
    <row r="2862" spans="1:1" ht="15" x14ac:dyDescent="0.2">
      <c r="A2862"/>
    </row>
    <row r="2863" spans="1:1" ht="15" x14ac:dyDescent="0.2">
      <c r="A2863"/>
    </row>
    <row r="2864" spans="1:1" ht="15" x14ac:dyDescent="0.2">
      <c r="A2864"/>
    </row>
    <row r="2865" spans="1:1" ht="15" x14ac:dyDescent="0.2">
      <c r="A2865"/>
    </row>
    <row r="2866" spans="1:1" ht="15" x14ac:dyDescent="0.2">
      <c r="A2866"/>
    </row>
    <row r="2867" spans="1:1" ht="15" x14ac:dyDescent="0.2">
      <c r="A2867"/>
    </row>
    <row r="2868" spans="1:1" ht="15" x14ac:dyDescent="0.2">
      <c r="A2868"/>
    </row>
    <row r="2869" spans="1:1" ht="15" x14ac:dyDescent="0.2">
      <c r="A2869"/>
    </row>
    <row r="2870" spans="1:1" ht="15" x14ac:dyDescent="0.2">
      <c r="A2870"/>
    </row>
    <row r="2871" spans="1:1" ht="15" x14ac:dyDescent="0.2">
      <c r="A2871"/>
    </row>
    <row r="2872" spans="1:1" ht="15" x14ac:dyDescent="0.2">
      <c r="A2872"/>
    </row>
    <row r="2873" spans="1:1" ht="15" x14ac:dyDescent="0.2">
      <c r="A2873"/>
    </row>
    <row r="2874" spans="1:1" ht="15" x14ac:dyDescent="0.2">
      <c r="A2874"/>
    </row>
    <row r="2875" spans="1:1" ht="15" x14ac:dyDescent="0.2">
      <c r="A2875"/>
    </row>
    <row r="2876" spans="1:1" ht="15" x14ac:dyDescent="0.2">
      <c r="A2876"/>
    </row>
    <row r="2877" spans="1:1" ht="15" x14ac:dyDescent="0.2">
      <c r="A2877"/>
    </row>
    <row r="2878" spans="1:1" ht="15" x14ac:dyDescent="0.2">
      <c r="A2878"/>
    </row>
    <row r="2879" spans="1:1" ht="15" x14ac:dyDescent="0.2">
      <c r="A2879"/>
    </row>
    <row r="2880" spans="1:1" ht="15" x14ac:dyDescent="0.2">
      <c r="A2880"/>
    </row>
    <row r="2881" spans="1:1" ht="15" x14ac:dyDescent="0.2">
      <c r="A2881"/>
    </row>
    <row r="2882" spans="1:1" ht="15" x14ac:dyDescent="0.2">
      <c r="A2882"/>
    </row>
    <row r="2883" spans="1:1" ht="15" x14ac:dyDescent="0.2">
      <c r="A2883"/>
    </row>
    <row r="2884" spans="1:1" ht="15" x14ac:dyDescent="0.2">
      <c r="A2884"/>
    </row>
    <row r="2885" spans="1:1" ht="15" x14ac:dyDescent="0.2">
      <c r="A2885"/>
    </row>
    <row r="2886" spans="1:1" ht="15" x14ac:dyDescent="0.2">
      <c r="A2886"/>
    </row>
    <row r="2887" spans="1:1" ht="15" x14ac:dyDescent="0.2">
      <c r="A2887"/>
    </row>
    <row r="2888" spans="1:1" ht="15" x14ac:dyDescent="0.2">
      <c r="A2888"/>
    </row>
    <row r="2889" spans="1:1" ht="15" x14ac:dyDescent="0.2">
      <c r="A2889"/>
    </row>
    <row r="2890" spans="1:1" ht="15" x14ac:dyDescent="0.2">
      <c r="A2890"/>
    </row>
    <row r="2891" spans="1:1" ht="15" x14ac:dyDescent="0.2">
      <c r="A2891"/>
    </row>
    <row r="2892" spans="1:1" ht="15" x14ac:dyDescent="0.2">
      <c r="A2892"/>
    </row>
    <row r="2893" spans="1:1" ht="15" x14ac:dyDescent="0.2">
      <c r="A2893"/>
    </row>
    <row r="2894" spans="1:1" ht="15" x14ac:dyDescent="0.2">
      <c r="A2894"/>
    </row>
    <row r="2895" spans="1:1" ht="15" x14ac:dyDescent="0.2">
      <c r="A2895"/>
    </row>
    <row r="2896" spans="1:1" ht="15" x14ac:dyDescent="0.2">
      <c r="A2896"/>
    </row>
    <row r="2897" spans="1:1" ht="15" x14ac:dyDescent="0.2">
      <c r="A2897"/>
    </row>
    <row r="2898" spans="1:1" ht="15" x14ac:dyDescent="0.2">
      <c r="A2898"/>
    </row>
    <row r="2899" spans="1:1" ht="15" x14ac:dyDescent="0.2">
      <c r="A2899"/>
    </row>
    <row r="2900" spans="1:1" ht="15" x14ac:dyDescent="0.2">
      <c r="A2900"/>
    </row>
    <row r="2901" spans="1:1" ht="15" x14ac:dyDescent="0.2">
      <c r="A2901"/>
    </row>
    <row r="2902" spans="1:1" ht="15" x14ac:dyDescent="0.2">
      <c r="A2902"/>
    </row>
    <row r="2903" spans="1:1" ht="15" x14ac:dyDescent="0.2">
      <c r="A2903"/>
    </row>
    <row r="2904" spans="1:1" ht="15" x14ac:dyDescent="0.2">
      <c r="A2904"/>
    </row>
    <row r="2905" spans="1:1" ht="15" x14ac:dyDescent="0.2">
      <c r="A2905"/>
    </row>
    <row r="2906" spans="1:1" ht="15" x14ac:dyDescent="0.2">
      <c r="A2906"/>
    </row>
    <row r="2907" spans="1:1" ht="15" x14ac:dyDescent="0.2">
      <c r="A2907"/>
    </row>
    <row r="2908" spans="1:1" ht="15" x14ac:dyDescent="0.2">
      <c r="A2908"/>
    </row>
    <row r="2909" spans="1:1" ht="15" x14ac:dyDescent="0.2">
      <c r="A2909"/>
    </row>
    <row r="2910" spans="1:1" ht="15" x14ac:dyDescent="0.2">
      <c r="A2910"/>
    </row>
    <row r="2911" spans="1:1" ht="15" x14ac:dyDescent="0.2">
      <c r="A2911"/>
    </row>
    <row r="2912" spans="1:1" ht="15" x14ac:dyDescent="0.2">
      <c r="A2912"/>
    </row>
    <row r="2913" spans="1:1" ht="15" x14ac:dyDescent="0.2">
      <c r="A2913"/>
    </row>
    <row r="2914" spans="1:1" ht="15" x14ac:dyDescent="0.2">
      <c r="A2914"/>
    </row>
    <row r="2915" spans="1:1" ht="15" x14ac:dyDescent="0.2">
      <c r="A2915"/>
    </row>
    <row r="2916" spans="1:1" ht="15" x14ac:dyDescent="0.2">
      <c r="A2916"/>
    </row>
    <row r="2917" spans="1:1" ht="15" x14ac:dyDescent="0.2">
      <c r="A2917"/>
    </row>
    <row r="2918" spans="1:1" ht="15" x14ac:dyDescent="0.2">
      <c r="A2918"/>
    </row>
    <row r="2919" spans="1:1" ht="15" x14ac:dyDescent="0.2">
      <c r="A2919"/>
    </row>
    <row r="2920" spans="1:1" ht="15" x14ac:dyDescent="0.2">
      <c r="A2920"/>
    </row>
    <row r="2921" spans="1:1" ht="15" x14ac:dyDescent="0.2">
      <c r="A2921"/>
    </row>
    <row r="2922" spans="1:1" ht="15" x14ac:dyDescent="0.2">
      <c r="A2922"/>
    </row>
    <row r="2923" spans="1:1" ht="15" x14ac:dyDescent="0.2">
      <c r="A2923"/>
    </row>
    <row r="2924" spans="1:1" ht="15" x14ac:dyDescent="0.2">
      <c r="A2924"/>
    </row>
    <row r="2925" spans="1:1" ht="15" x14ac:dyDescent="0.2">
      <c r="A2925"/>
    </row>
    <row r="2926" spans="1:1" ht="15" x14ac:dyDescent="0.2">
      <c r="A2926"/>
    </row>
    <row r="2927" spans="1:1" ht="15" x14ac:dyDescent="0.2">
      <c r="A2927"/>
    </row>
    <row r="2928" spans="1:1" ht="15" x14ac:dyDescent="0.2">
      <c r="A2928"/>
    </row>
    <row r="2929" spans="1:1" ht="15" x14ac:dyDescent="0.2">
      <c r="A2929"/>
    </row>
    <row r="2930" spans="1:1" ht="15" x14ac:dyDescent="0.2">
      <c r="A2930"/>
    </row>
    <row r="2931" spans="1:1" ht="15" x14ac:dyDescent="0.2">
      <c r="A2931"/>
    </row>
    <row r="2932" spans="1:1" ht="15" x14ac:dyDescent="0.2">
      <c r="A2932"/>
    </row>
    <row r="2933" spans="1:1" ht="15" x14ac:dyDescent="0.2">
      <c r="A2933"/>
    </row>
    <row r="2934" spans="1:1" ht="15" x14ac:dyDescent="0.2">
      <c r="A2934"/>
    </row>
    <row r="2935" spans="1:1" ht="15" x14ac:dyDescent="0.2">
      <c r="A2935"/>
    </row>
    <row r="2936" spans="1:1" ht="15" x14ac:dyDescent="0.2">
      <c r="A2936"/>
    </row>
    <row r="2937" spans="1:1" ht="15" x14ac:dyDescent="0.2">
      <c r="A2937"/>
    </row>
    <row r="2938" spans="1:1" ht="15" x14ac:dyDescent="0.2">
      <c r="A2938"/>
    </row>
    <row r="2939" spans="1:1" ht="15" x14ac:dyDescent="0.2">
      <c r="A2939"/>
    </row>
    <row r="2940" spans="1:1" ht="15" x14ac:dyDescent="0.2">
      <c r="A2940"/>
    </row>
    <row r="2941" spans="1:1" ht="15" x14ac:dyDescent="0.2">
      <c r="A2941"/>
    </row>
    <row r="2942" spans="1:1" ht="15" x14ac:dyDescent="0.2">
      <c r="A2942"/>
    </row>
    <row r="2943" spans="1:1" ht="15" x14ac:dyDescent="0.2">
      <c r="A2943"/>
    </row>
    <row r="2944" spans="1:1" ht="15" x14ac:dyDescent="0.2">
      <c r="A2944"/>
    </row>
    <row r="2945" spans="1:1" ht="15" x14ac:dyDescent="0.2">
      <c r="A2945"/>
    </row>
    <row r="2946" spans="1:1" ht="15" x14ac:dyDescent="0.2">
      <c r="A2946"/>
    </row>
    <row r="2947" spans="1:1" ht="15" x14ac:dyDescent="0.2">
      <c r="A2947"/>
    </row>
    <row r="2948" spans="1:1" ht="15" x14ac:dyDescent="0.2">
      <c r="A2948"/>
    </row>
    <row r="2949" spans="1:1" ht="15" x14ac:dyDescent="0.2">
      <c r="A2949"/>
    </row>
    <row r="2950" spans="1:1" ht="15" x14ac:dyDescent="0.2">
      <c r="A2950"/>
    </row>
    <row r="2951" spans="1:1" ht="15" x14ac:dyDescent="0.2">
      <c r="A2951"/>
    </row>
    <row r="2952" spans="1:1" ht="15" x14ac:dyDescent="0.2">
      <c r="A2952"/>
    </row>
    <row r="2953" spans="1:1" ht="15" x14ac:dyDescent="0.2">
      <c r="A2953"/>
    </row>
    <row r="2954" spans="1:1" ht="15" x14ac:dyDescent="0.2">
      <c r="A2954"/>
    </row>
    <row r="2955" spans="1:1" ht="15" x14ac:dyDescent="0.2">
      <c r="A2955"/>
    </row>
    <row r="2956" spans="1:1" ht="15" x14ac:dyDescent="0.2">
      <c r="A2956"/>
    </row>
    <row r="2957" spans="1:1" ht="15" x14ac:dyDescent="0.2">
      <c r="A2957"/>
    </row>
    <row r="2958" spans="1:1" ht="15" x14ac:dyDescent="0.2">
      <c r="A2958"/>
    </row>
    <row r="2959" spans="1:1" ht="15" x14ac:dyDescent="0.2">
      <c r="A2959"/>
    </row>
    <row r="2960" spans="1:1" ht="15" x14ac:dyDescent="0.2">
      <c r="A2960"/>
    </row>
    <row r="2961" spans="1:1" ht="15" x14ac:dyDescent="0.2">
      <c r="A2961"/>
    </row>
    <row r="2962" spans="1:1" ht="15" x14ac:dyDescent="0.2">
      <c r="A2962"/>
    </row>
    <row r="2963" spans="1:1" ht="15" x14ac:dyDescent="0.2">
      <c r="A2963"/>
    </row>
    <row r="2964" spans="1:1" ht="15" x14ac:dyDescent="0.2">
      <c r="A2964"/>
    </row>
    <row r="2965" spans="1:1" ht="15" x14ac:dyDescent="0.2">
      <c r="A2965"/>
    </row>
    <row r="2966" spans="1:1" ht="15" x14ac:dyDescent="0.2">
      <c r="A2966"/>
    </row>
    <row r="2967" spans="1:1" ht="15" x14ac:dyDescent="0.2">
      <c r="A2967"/>
    </row>
    <row r="2968" spans="1:1" ht="15" x14ac:dyDescent="0.2">
      <c r="A2968"/>
    </row>
    <row r="2969" spans="1:1" ht="15" x14ac:dyDescent="0.2">
      <c r="A2969"/>
    </row>
    <row r="2970" spans="1:1" ht="15" x14ac:dyDescent="0.2">
      <c r="A2970"/>
    </row>
    <row r="2971" spans="1:1" ht="15" x14ac:dyDescent="0.2">
      <c r="A2971"/>
    </row>
    <row r="2972" spans="1:1" ht="15" x14ac:dyDescent="0.2">
      <c r="A2972"/>
    </row>
    <row r="2973" spans="1:1" ht="15" x14ac:dyDescent="0.2">
      <c r="A2973"/>
    </row>
    <row r="2974" spans="1:1" ht="15" x14ac:dyDescent="0.2">
      <c r="A2974"/>
    </row>
    <row r="2975" spans="1:1" ht="15" x14ac:dyDescent="0.2">
      <c r="A2975"/>
    </row>
    <row r="2976" spans="1:1" ht="15" x14ac:dyDescent="0.2">
      <c r="A2976"/>
    </row>
    <row r="2977" spans="1:1" ht="15" x14ac:dyDescent="0.2">
      <c r="A2977"/>
    </row>
    <row r="2978" spans="1:1" ht="15" x14ac:dyDescent="0.2">
      <c r="A2978"/>
    </row>
    <row r="2979" spans="1:1" ht="15" x14ac:dyDescent="0.2">
      <c r="A2979"/>
    </row>
    <row r="2980" spans="1:1" ht="15" x14ac:dyDescent="0.2">
      <c r="A2980"/>
    </row>
    <row r="2981" spans="1:1" ht="15" x14ac:dyDescent="0.2">
      <c r="A2981"/>
    </row>
    <row r="2982" spans="1:1" ht="15" x14ac:dyDescent="0.2">
      <c r="A2982"/>
    </row>
    <row r="2983" spans="1:1" ht="15" x14ac:dyDescent="0.2">
      <c r="A2983"/>
    </row>
    <row r="2984" spans="1:1" ht="15" x14ac:dyDescent="0.2">
      <c r="A2984"/>
    </row>
    <row r="2985" spans="1:1" ht="15" x14ac:dyDescent="0.2">
      <c r="A2985"/>
    </row>
    <row r="2986" spans="1:1" ht="15" x14ac:dyDescent="0.2">
      <c r="A2986"/>
    </row>
    <row r="2987" spans="1:1" ht="15" x14ac:dyDescent="0.2">
      <c r="A2987"/>
    </row>
    <row r="2988" spans="1:1" ht="15" x14ac:dyDescent="0.2">
      <c r="A2988"/>
    </row>
    <row r="2989" spans="1:1" ht="15" x14ac:dyDescent="0.2">
      <c r="A2989"/>
    </row>
    <row r="2990" spans="1:1" ht="15" x14ac:dyDescent="0.2">
      <c r="A2990"/>
    </row>
    <row r="2991" spans="1:1" ht="15" x14ac:dyDescent="0.2">
      <c r="A2991"/>
    </row>
    <row r="2992" spans="1:1" ht="15" x14ac:dyDescent="0.2">
      <c r="A2992"/>
    </row>
    <row r="2993" spans="1:1" ht="15" x14ac:dyDescent="0.2">
      <c r="A2993"/>
    </row>
    <row r="2994" spans="1:1" ht="15" x14ac:dyDescent="0.2">
      <c r="A2994"/>
    </row>
    <row r="2995" spans="1:1" ht="15" x14ac:dyDescent="0.2">
      <c r="A2995"/>
    </row>
    <row r="2996" spans="1:1" ht="15" x14ac:dyDescent="0.2">
      <c r="A2996"/>
    </row>
    <row r="2997" spans="1:1" ht="15" x14ac:dyDescent="0.2">
      <c r="A2997"/>
    </row>
    <row r="2998" spans="1:1" ht="15" x14ac:dyDescent="0.2">
      <c r="A2998"/>
    </row>
    <row r="2999" spans="1:1" ht="15" x14ac:dyDescent="0.2">
      <c r="A2999"/>
    </row>
    <row r="3000" spans="1:1" ht="15" x14ac:dyDescent="0.2">
      <c r="A3000"/>
    </row>
    <row r="3001" spans="1:1" ht="15" x14ac:dyDescent="0.2">
      <c r="A3001"/>
    </row>
    <row r="3002" spans="1:1" ht="15" x14ac:dyDescent="0.2">
      <c r="A3002"/>
    </row>
    <row r="3003" spans="1:1" ht="15" x14ac:dyDescent="0.2">
      <c r="A3003"/>
    </row>
    <row r="3004" spans="1:1" ht="15" x14ac:dyDescent="0.2">
      <c r="A3004"/>
    </row>
    <row r="3005" spans="1:1" ht="15" x14ac:dyDescent="0.2">
      <c r="A3005"/>
    </row>
    <row r="3006" spans="1:1" ht="15" x14ac:dyDescent="0.2">
      <c r="A3006"/>
    </row>
    <row r="3007" spans="1:1" ht="15" x14ac:dyDescent="0.2">
      <c r="A3007"/>
    </row>
    <row r="3008" spans="1:1" ht="15" x14ac:dyDescent="0.2">
      <c r="A3008"/>
    </row>
    <row r="3009" spans="1:1" ht="15" x14ac:dyDescent="0.2">
      <c r="A3009"/>
    </row>
    <row r="3010" spans="1:1" ht="15" x14ac:dyDescent="0.2">
      <c r="A3010"/>
    </row>
    <row r="3011" spans="1:1" ht="15" x14ac:dyDescent="0.2">
      <c r="A3011"/>
    </row>
    <row r="3012" spans="1:1" ht="15" x14ac:dyDescent="0.2">
      <c r="A3012"/>
    </row>
    <row r="3013" spans="1:1" ht="15" x14ac:dyDescent="0.2">
      <c r="A3013"/>
    </row>
    <row r="3014" spans="1:1" ht="15" x14ac:dyDescent="0.2">
      <c r="A3014"/>
    </row>
    <row r="3015" spans="1:1" ht="15" x14ac:dyDescent="0.2">
      <c r="A3015"/>
    </row>
    <row r="3016" spans="1:1" ht="15" x14ac:dyDescent="0.2">
      <c r="A3016"/>
    </row>
    <row r="3017" spans="1:1" ht="15" x14ac:dyDescent="0.2">
      <c r="A3017"/>
    </row>
    <row r="3018" spans="1:1" ht="15" x14ac:dyDescent="0.2">
      <c r="A3018"/>
    </row>
    <row r="3019" spans="1:1" ht="15" x14ac:dyDescent="0.2">
      <c r="A3019"/>
    </row>
    <row r="3020" spans="1:1" ht="15" x14ac:dyDescent="0.2">
      <c r="A3020"/>
    </row>
    <row r="3021" spans="1:1" ht="15" x14ac:dyDescent="0.2">
      <c r="A3021"/>
    </row>
    <row r="3022" spans="1:1" ht="15" x14ac:dyDescent="0.2">
      <c r="A3022"/>
    </row>
    <row r="3023" spans="1:1" ht="15" x14ac:dyDescent="0.2">
      <c r="A3023"/>
    </row>
    <row r="3024" spans="1:1" ht="15" x14ac:dyDescent="0.2">
      <c r="A3024"/>
    </row>
    <row r="3025" spans="1:1" ht="15" x14ac:dyDescent="0.2">
      <c r="A3025"/>
    </row>
    <row r="3026" spans="1:1" ht="15" x14ac:dyDescent="0.2">
      <c r="A3026"/>
    </row>
    <row r="3027" spans="1:1" ht="15" x14ac:dyDescent="0.2">
      <c r="A3027"/>
    </row>
    <row r="3028" spans="1:1" ht="15" x14ac:dyDescent="0.2">
      <c r="A3028"/>
    </row>
    <row r="3029" spans="1:1" ht="15" x14ac:dyDescent="0.2">
      <c r="A3029"/>
    </row>
    <row r="3030" spans="1:1" ht="15" x14ac:dyDescent="0.2">
      <c r="A3030"/>
    </row>
    <row r="3031" spans="1:1" ht="15" x14ac:dyDescent="0.2">
      <c r="A3031"/>
    </row>
    <row r="3032" spans="1:1" ht="15" x14ac:dyDescent="0.2">
      <c r="A3032"/>
    </row>
    <row r="3033" spans="1:1" ht="15" x14ac:dyDescent="0.2">
      <c r="A3033"/>
    </row>
    <row r="3034" spans="1:1" ht="15" x14ac:dyDescent="0.2">
      <c r="A3034"/>
    </row>
    <row r="3035" spans="1:1" ht="15" x14ac:dyDescent="0.2">
      <c r="A3035"/>
    </row>
    <row r="3036" spans="1:1" ht="15" x14ac:dyDescent="0.2">
      <c r="A3036"/>
    </row>
    <row r="3037" spans="1:1" ht="15" x14ac:dyDescent="0.2">
      <c r="A3037"/>
    </row>
    <row r="3038" spans="1:1" ht="15" x14ac:dyDescent="0.2">
      <c r="A3038"/>
    </row>
    <row r="3039" spans="1:1" ht="15" x14ac:dyDescent="0.2">
      <c r="A3039"/>
    </row>
    <row r="3040" spans="1:1" ht="15" x14ac:dyDescent="0.2">
      <c r="A3040"/>
    </row>
    <row r="3041" spans="1:1" ht="15" x14ac:dyDescent="0.2">
      <c r="A3041"/>
    </row>
    <row r="3042" spans="1:1" ht="15" x14ac:dyDescent="0.2">
      <c r="A3042"/>
    </row>
    <row r="3043" spans="1:1" ht="15" x14ac:dyDescent="0.2">
      <c r="A3043"/>
    </row>
    <row r="3044" spans="1:1" ht="15" x14ac:dyDescent="0.2">
      <c r="A3044"/>
    </row>
    <row r="3045" spans="1:1" ht="15" x14ac:dyDescent="0.2">
      <c r="A3045"/>
    </row>
    <row r="3046" spans="1:1" ht="15" x14ac:dyDescent="0.2">
      <c r="A3046"/>
    </row>
    <row r="3047" spans="1:1" ht="15" x14ac:dyDescent="0.2">
      <c r="A3047"/>
    </row>
    <row r="3048" spans="1:1" ht="15" x14ac:dyDescent="0.2">
      <c r="A3048"/>
    </row>
    <row r="3049" spans="1:1" ht="15" x14ac:dyDescent="0.2">
      <c r="A3049"/>
    </row>
    <row r="3050" spans="1:1" ht="15" x14ac:dyDescent="0.2">
      <c r="A3050"/>
    </row>
    <row r="3051" spans="1:1" ht="15" x14ac:dyDescent="0.2">
      <c r="A3051"/>
    </row>
    <row r="3052" spans="1:1" ht="15" x14ac:dyDescent="0.2">
      <c r="A3052"/>
    </row>
    <row r="3053" spans="1:1" ht="15" x14ac:dyDescent="0.2">
      <c r="A3053"/>
    </row>
    <row r="3054" spans="1:1" ht="15" x14ac:dyDescent="0.2">
      <c r="A3054"/>
    </row>
    <row r="3055" spans="1:1" ht="15" x14ac:dyDescent="0.2">
      <c r="A3055"/>
    </row>
    <row r="3056" spans="1:1" ht="15" x14ac:dyDescent="0.2">
      <c r="A3056"/>
    </row>
    <row r="3057" spans="1:1" ht="15" x14ac:dyDescent="0.2">
      <c r="A3057"/>
    </row>
    <row r="3058" spans="1:1" ht="15" x14ac:dyDescent="0.2">
      <c r="A3058"/>
    </row>
    <row r="3059" spans="1:1" ht="15" x14ac:dyDescent="0.2">
      <c r="A3059"/>
    </row>
    <row r="3060" spans="1:1" ht="15" x14ac:dyDescent="0.2">
      <c r="A3060"/>
    </row>
    <row r="3061" spans="1:1" ht="15" x14ac:dyDescent="0.2">
      <c r="A3061"/>
    </row>
    <row r="3062" spans="1:1" ht="15" x14ac:dyDescent="0.2">
      <c r="A3062"/>
    </row>
    <row r="3063" spans="1:1" ht="15" x14ac:dyDescent="0.2">
      <c r="A3063"/>
    </row>
    <row r="3064" spans="1:1" ht="15" x14ac:dyDescent="0.2">
      <c r="A3064"/>
    </row>
    <row r="3065" spans="1:1" ht="15" x14ac:dyDescent="0.2">
      <c r="A3065"/>
    </row>
    <row r="3066" spans="1:1" ht="15" x14ac:dyDescent="0.2">
      <c r="A3066"/>
    </row>
    <row r="3067" spans="1:1" ht="15" x14ac:dyDescent="0.2">
      <c r="A3067"/>
    </row>
    <row r="3068" spans="1:1" ht="15" x14ac:dyDescent="0.2">
      <c r="A3068"/>
    </row>
    <row r="3069" spans="1:1" ht="15" x14ac:dyDescent="0.2">
      <c r="A3069"/>
    </row>
    <row r="3070" spans="1:1" ht="15" x14ac:dyDescent="0.2">
      <c r="A3070"/>
    </row>
    <row r="3071" spans="1:1" ht="15" x14ac:dyDescent="0.2">
      <c r="A3071"/>
    </row>
    <row r="3072" spans="1:1" ht="15" x14ac:dyDescent="0.2">
      <c r="A3072"/>
    </row>
    <row r="3073" spans="1:1" ht="15" x14ac:dyDescent="0.2">
      <c r="A3073"/>
    </row>
    <row r="3074" spans="1:1" ht="15" x14ac:dyDescent="0.2">
      <c r="A3074"/>
    </row>
    <row r="3075" spans="1:1" ht="15" x14ac:dyDescent="0.2">
      <c r="A3075"/>
    </row>
    <row r="3076" spans="1:1" ht="15" x14ac:dyDescent="0.2">
      <c r="A3076"/>
    </row>
    <row r="3077" spans="1:1" ht="15" x14ac:dyDescent="0.2">
      <c r="A3077"/>
    </row>
    <row r="3078" spans="1:1" ht="15" x14ac:dyDescent="0.2">
      <c r="A3078"/>
    </row>
    <row r="3079" spans="1:1" ht="15" x14ac:dyDescent="0.2">
      <c r="A3079"/>
    </row>
    <row r="3080" spans="1:1" ht="15" x14ac:dyDescent="0.2">
      <c r="A3080"/>
    </row>
    <row r="3081" spans="1:1" ht="15" x14ac:dyDescent="0.2">
      <c r="A3081"/>
    </row>
    <row r="3082" spans="1:1" ht="15" x14ac:dyDescent="0.2">
      <c r="A3082"/>
    </row>
    <row r="3083" spans="1:1" ht="15" x14ac:dyDescent="0.2">
      <c r="A3083"/>
    </row>
    <row r="3084" spans="1:1" ht="15" x14ac:dyDescent="0.2">
      <c r="A3084"/>
    </row>
    <row r="3085" spans="1:1" ht="15" x14ac:dyDescent="0.2">
      <c r="A3085"/>
    </row>
    <row r="3086" spans="1:1" ht="15" x14ac:dyDescent="0.2">
      <c r="A3086"/>
    </row>
    <row r="3087" spans="1:1" ht="15" x14ac:dyDescent="0.2">
      <c r="A3087"/>
    </row>
    <row r="3088" spans="1:1" ht="15" x14ac:dyDescent="0.2">
      <c r="A3088"/>
    </row>
    <row r="3089" spans="1:1" ht="15" x14ac:dyDescent="0.2">
      <c r="A3089"/>
    </row>
    <row r="3090" spans="1:1" ht="15" x14ac:dyDescent="0.2">
      <c r="A3090"/>
    </row>
    <row r="3091" spans="1:1" ht="15" x14ac:dyDescent="0.2">
      <c r="A3091"/>
    </row>
    <row r="3092" spans="1:1" ht="15" x14ac:dyDescent="0.2">
      <c r="A3092"/>
    </row>
    <row r="3093" spans="1:1" ht="15" x14ac:dyDescent="0.2">
      <c r="A3093"/>
    </row>
    <row r="3094" spans="1:1" ht="15" x14ac:dyDescent="0.2">
      <c r="A3094"/>
    </row>
    <row r="3095" spans="1:1" ht="15" x14ac:dyDescent="0.2">
      <c r="A3095"/>
    </row>
    <row r="3096" spans="1:1" ht="15" x14ac:dyDescent="0.2">
      <c r="A3096"/>
    </row>
    <row r="3097" spans="1:1" ht="15" x14ac:dyDescent="0.2">
      <c r="A3097"/>
    </row>
    <row r="3098" spans="1:1" ht="15" x14ac:dyDescent="0.2">
      <c r="A3098"/>
    </row>
    <row r="3099" spans="1:1" ht="15" x14ac:dyDescent="0.2">
      <c r="A3099"/>
    </row>
    <row r="3100" spans="1:1" ht="15" x14ac:dyDescent="0.2">
      <c r="A3100"/>
    </row>
    <row r="3101" spans="1:1" ht="15" x14ac:dyDescent="0.2">
      <c r="A3101"/>
    </row>
    <row r="3102" spans="1:1" ht="15" x14ac:dyDescent="0.2">
      <c r="A3102"/>
    </row>
    <row r="3103" spans="1:1" ht="15" x14ac:dyDescent="0.2">
      <c r="A3103"/>
    </row>
    <row r="3104" spans="1:1" ht="15" x14ac:dyDescent="0.2">
      <c r="A3104"/>
    </row>
    <row r="3105" spans="1:1" ht="15" x14ac:dyDescent="0.2">
      <c r="A3105"/>
    </row>
    <row r="3106" spans="1:1" ht="15" x14ac:dyDescent="0.2">
      <c r="A3106"/>
    </row>
    <row r="3107" spans="1:1" ht="15" x14ac:dyDescent="0.2">
      <c r="A3107"/>
    </row>
    <row r="3108" spans="1:1" ht="15" x14ac:dyDescent="0.2">
      <c r="A3108"/>
    </row>
    <row r="3109" spans="1:1" ht="15" x14ac:dyDescent="0.2">
      <c r="A3109"/>
    </row>
    <row r="3110" spans="1:1" ht="15" x14ac:dyDescent="0.2">
      <c r="A3110"/>
    </row>
    <row r="3111" spans="1:1" ht="15" x14ac:dyDescent="0.2">
      <c r="A3111"/>
    </row>
    <row r="3112" spans="1:1" ht="15" x14ac:dyDescent="0.2">
      <c r="A3112"/>
    </row>
    <row r="3113" spans="1:1" ht="15" x14ac:dyDescent="0.2">
      <c r="A3113"/>
    </row>
    <row r="3114" spans="1:1" ht="15" x14ac:dyDescent="0.2">
      <c r="A3114"/>
    </row>
    <row r="3115" spans="1:1" ht="15" x14ac:dyDescent="0.2">
      <c r="A3115"/>
    </row>
    <row r="3116" spans="1:1" ht="15" x14ac:dyDescent="0.2">
      <c r="A3116"/>
    </row>
    <row r="3117" spans="1:1" ht="15" x14ac:dyDescent="0.2">
      <c r="A3117"/>
    </row>
    <row r="3118" spans="1:1" ht="15" x14ac:dyDescent="0.2">
      <c r="A3118"/>
    </row>
    <row r="3119" spans="1:1" ht="15" x14ac:dyDescent="0.2">
      <c r="A3119"/>
    </row>
    <row r="3120" spans="1:1" ht="15" x14ac:dyDescent="0.2">
      <c r="A3120"/>
    </row>
    <row r="3121" spans="1:1" ht="15" x14ac:dyDescent="0.2">
      <c r="A3121"/>
    </row>
    <row r="3122" spans="1:1" ht="15" x14ac:dyDescent="0.2">
      <c r="A3122"/>
    </row>
    <row r="3123" spans="1:1" ht="15" x14ac:dyDescent="0.2">
      <c r="A3123"/>
    </row>
    <row r="3124" spans="1:1" ht="15" x14ac:dyDescent="0.2">
      <c r="A3124"/>
    </row>
    <row r="3125" spans="1:1" ht="15" x14ac:dyDescent="0.2">
      <c r="A3125"/>
    </row>
    <row r="3126" spans="1:1" ht="15" x14ac:dyDescent="0.2">
      <c r="A3126"/>
    </row>
    <row r="3127" spans="1:1" ht="15" x14ac:dyDescent="0.2">
      <c r="A3127"/>
    </row>
    <row r="3128" spans="1:1" ht="15" x14ac:dyDescent="0.2">
      <c r="A3128"/>
    </row>
    <row r="3129" spans="1:1" ht="15" x14ac:dyDescent="0.2">
      <c r="A3129"/>
    </row>
    <row r="3130" spans="1:1" ht="15" x14ac:dyDescent="0.2">
      <c r="A3130"/>
    </row>
    <row r="3131" spans="1:1" ht="15" x14ac:dyDescent="0.2">
      <c r="A3131"/>
    </row>
    <row r="3132" spans="1:1" ht="15" x14ac:dyDescent="0.2">
      <c r="A3132"/>
    </row>
    <row r="3133" spans="1:1" ht="15" x14ac:dyDescent="0.2">
      <c r="A3133"/>
    </row>
    <row r="3134" spans="1:1" ht="15" x14ac:dyDescent="0.2">
      <c r="A3134"/>
    </row>
    <row r="3135" spans="1:1" ht="15" x14ac:dyDescent="0.2">
      <c r="A3135"/>
    </row>
    <row r="3136" spans="1:1" ht="15" x14ac:dyDescent="0.2">
      <c r="A3136"/>
    </row>
    <row r="3137" spans="1:1" ht="15" x14ac:dyDescent="0.2">
      <c r="A3137"/>
    </row>
    <row r="3138" spans="1:1" ht="15" x14ac:dyDescent="0.2">
      <c r="A3138"/>
    </row>
    <row r="3139" spans="1:1" ht="15" x14ac:dyDescent="0.2">
      <c r="A3139"/>
    </row>
    <row r="3140" spans="1:1" ht="15" x14ac:dyDescent="0.2">
      <c r="A3140"/>
    </row>
    <row r="3141" spans="1:1" ht="15" x14ac:dyDescent="0.2">
      <c r="A3141"/>
    </row>
    <row r="3142" spans="1:1" ht="15" x14ac:dyDescent="0.2">
      <c r="A3142"/>
    </row>
    <row r="3143" spans="1:1" ht="15" x14ac:dyDescent="0.2">
      <c r="A3143"/>
    </row>
    <row r="3144" spans="1:1" ht="15" x14ac:dyDescent="0.2">
      <c r="A3144"/>
    </row>
    <row r="3145" spans="1:1" ht="15" x14ac:dyDescent="0.2">
      <c r="A3145"/>
    </row>
    <row r="3146" spans="1:1" ht="15" x14ac:dyDescent="0.2">
      <c r="A3146"/>
    </row>
    <row r="3147" spans="1:1" ht="15" x14ac:dyDescent="0.2">
      <c r="A3147"/>
    </row>
    <row r="3148" spans="1:1" ht="15" x14ac:dyDescent="0.2">
      <c r="A3148"/>
    </row>
    <row r="3149" spans="1:1" ht="15" x14ac:dyDescent="0.2">
      <c r="A3149"/>
    </row>
    <row r="3150" spans="1:1" ht="15" x14ac:dyDescent="0.2">
      <c r="A3150"/>
    </row>
    <row r="3151" spans="1:1" ht="15" x14ac:dyDescent="0.2">
      <c r="A3151"/>
    </row>
    <row r="3152" spans="1:1" ht="15" x14ac:dyDescent="0.2">
      <c r="A3152"/>
    </row>
    <row r="3153" spans="1:1" ht="15" x14ac:dyDescent="0.2">
      <c r="A3153"/>
    </row>
    <row r="3154" spans="1:1" ht="15" x14ac:dyDescent="0.2">
      <c r="A3154"/>
    </row>
    <row r="3155" spans="1:1" ht="15" x14ac:dyDescent="0.2">
      <c r="A3155"/>
    </row>
    <row r="3156" spans="1:1" ht="15" x14ac:dyDescent="0.2">
      <c r="A3156"/>
    </row>
    <row r="3157" spans="1:1" ht="15" x14ac:dyDescent="0.2">
      <c r="A3157"/>
    </row>
    <row r="3158" spans="1:1" ht="15" x14ac:dyDescent="0.2">
      <c r="A3158"/>
    </row>
    <row r="3159" spans="1:1" ht="15" x14ac:dyDescent="0.2">
      <c r="A3159"/>
    </row>
    <row r="3160" spans="1:1" ht="15" x14ac:dyDescent="0.2">
      <c r="A3160"/>
    </row>
    <row r="3161" spans="1:1" ht="15" x14ac:dyDescent="0.2">
      <c r="A3161"/>
    </row>
    <row r="3162" spans="1:1" ht="15" x14ac:dyDescent="0.2">
      <c r="A3162"/>
    </row>
    <row r="3163" spans="1:1" ht="15" x14ac:dyDescent="0.2">
      <c r="A3163"/>
    </row>
    <row r="3164" spans="1:1" ht="15" x14ac:dyDescent="0.2">
      <c r="A3164"/>
    </row>
    <row r="3165" spans="1:1" ht="15" x14ac:dyDescent="0.2">
      <c r="A3165"/>
    </row>
    <row r="3166" spans="1:1" ht="15" x14ac:dyDescent="0.2">
      <c r="A3166"/>
    </row>
    <row r="3167" spans="1:1" ht="15" x14ac:dyDescent="0.2">
      <c r="A3167"/>
    </row>
    <row r="3168" spans="1:1" ht="15" x14ac:dyDescent="0.2">
      <c r="A3168"/>
    </row>
    <row r="3169" spans="1:1" ht="15" x14ac:dyDescent="0.2">
      <c r="A3169"/>
    </row>
    <row r="3170" spans="1:1" ht="15" x14ac:dyDescent="0.2">
      <c r="A3170"/>
    </row>
    <row r="3171" spans="1:1" ht="15" x14ac:dyDescent="0.2">
      <c r="A3171"/>
    </row>
    <row r="3172" spans="1:1" ht="15" x14ac:dyDescent="0.2">
      <c r="A3172"/>
    </row>
    <row r="3173" spans="1:1" ht="15" x14ac:dyDescent="0.2">
      <c r="A3173"/>
    </row>
    <row r="3174" spans="1:1" ht="15" x14ac:dyDescent="0.2">
      <c r="A3174"/>
    </row>
    <row r="3175" spans="1:1" ht="15" x14ac:dyDescent="0.2">
      <c r="A3175"/>
    </row>
    <row r="3176" spans="1:1" ht="15" x14ac:dyDescent="0.2">
      <c r="A3176"/>
    </row>
    <row r="3177" spans="1:1" ht="15" x14ac:dyDescent="0.2">
      <c r="A3177"/>
    </row>
    <row r="3178" spans="1:1" ht="15" x14ac:dyDescent="0.2">
      <c r="A3178"/>
    </row>
    <row r="3179" spans="1:1" ht="15" x14ac:dyDescent="0.2">
      <c r="A3179"/>
    </row>
    <row r="3180" spans="1:1" ht="15" x14ac:dyDescent="0.2">
      <c r="A3180"/>
    </row>
    <row r="3181" spans="1:1" ht="15" x14ac:dyDescent="0.2">
      <c r="A3181"/>
    </row>
    <row r="3182" spans="1:1" ht="15" x14ac:dyDescent="0.2">
      <c r="A3182"/>
    </row>
    <row r="3183" spans="1:1" ht="15" x14ac:dyDescent="0.2">
      <c r="A3183"/>
    </row>
    <row r="3184" spans="1:1" ht="15" x14ac:dyDescent="0.2">
      <c r="A3184"/>
    </row>
    <row r="3185" spans="1:1" ht="15" x14ac:dyDescent="0.2">
      <c r="A3185"/>
    </row>
    <row r="3186" spans="1:1" ht="15" x14ac:dyDescent="0.2">
      <c r="A3186"/>
    </row>
    <row r="3187" spans="1:1" ht="15" x14ac:dyDescent="0.2">
      <c r="A3187"/>
    </row>
    <row r="3188" spans="1:1" ht="15" x14ac:dyDescent="0.2">
      <c r="A3188"/>
    </row>
    <row r="3189" spans="1:1" ht="15" x14ac:dyDescent="0.2">
      <c r="A3189"/>
    </row>
    <row r="3190" spans="1:1" ht="15" x14ac:dyDescent="0.2">
      <c r="A3190"/>
    </row>
    <row r="3191" spans="1:1" ht="15" x14ac:dyDescent="0.2">
      <c r="A3191"/>
    </row>
    <row r="3192" spans="1:1" ht="15" x14ac:dyDescent="0.2">
      <c r="A3192"/>
    </row>
    <row r="3193" spans="1:1" ht="15" x14ac:dyDescent="0.2">
      <c r="A3193"/>
    </row>
    <row r="3194" spans="1:1" ht="15" x14ac:dyDescent="0.2">
      <c r="A3194"/>
    </row>
    <row r="3195" spans="1:1" ht="15" x14ac:dyDescent="0.2">
      <c r="A3195"/>
    </row>
    <row r="3196" spans="1:1" ht="15" x14ac:dyDescent="0.2">
      <c r="A3196"/>
    </row>
    <row r="3197" spans="1:1" ht="15" x14ac:dyDescent="0.2">
      <c r="A3197"/>
    </row>
    <row r="3198" spans="1:1" ht="15" x14ac:dyDescent="0.2">
      <c r="A3198"/>
    </row>
    <row r="3199" spans="1:1" ht="15" x14ac:dyDescent="0.2">
      <c r="A3199"/>
    </row>
    <row r="3200" spans="1:1" ht="15" x14ac:dyDescent="0.2">
      <c r="A3200"/>
    </row>
    <row r="3201" spans="1:1" ht="15" x14ac:dyDescent="0.2">
      <c r="A3201"/>
    </row>
    <row r="3202" spans="1:1" ht="15" x14ac:dyDescent="0.2">
      <c r="A3202"/>
    </row>
    <row r="3203" spans="1:1" ht="15" x14ac:dyDescent="0.2">
      <c r="A3203"/>
    </row>
    <row r="3204" spans="1:1" ht="15" x14ac:dyDescent="0.2">
      <c r="A3204"/>
    </row>
    <row r="3205" spans="1:1" ht="15" x14ac:dyDescent="0.2">
      <c r="A3205"/>
    </row>
    <row r="3206" spans="1:1" ht="15" x14ac:dyDescent="0.2">
      <c r="A3206"/>
    </row>
    <row r="3207" spans="1:1" ht="15" x14ac:dyDescent="0.2">
      <c r="A3207"/>
    </row>
    <row r="3208" spans="1:1" ht="15" x14ac:dyDescent="0.2">
      <c r="A3208"/>
    </row>
    <row r="3209" spans="1:1" ht="15" x14ac:dyDescent="0.2">
      <c r="A3209"/>
    </row>
    <row r="3210" spans="1:1" ht="15" x14ac:dyDescent="0.2">
      <c r="A3210"/>
    </row>
    <row r="3211" spans="1:1" ht="15" x14ac:dyDescent="0.2">
      <c r="A3211"/>
    </row>
    <row r="3212" spans="1:1" ht="15" x14ac:dyDescent="0.2">
      <c r="A3212"/>
    </row>
    <row r="3213" spans="1:1" ht="15" x14ac:dyDescent="0.2">
      <c r="A3213"/>
    </row>
    <row r="3214" spans="1:1" ht="15" x14ac:dyDescent="0.2">
      <c r="A3214"/>
    </row>
    <row r="3215" spans="1:1" ht="15" x14ac:dyDescent="0.2">
      <c r="A3215"/>
    </row>
    <row r="3216" spans="1:1" ht="15" x14ac:dyDescent="0.2">
      <c r="A3216"/>
    </row>
    <row r="3217" spans="1:1" ht="15" x14ac:dyDescent="0.2">
      <c r="A3217"/>
    </row>
    <row r="3218" spans="1:1" ht="15" x14ac:dyDescent="0.2">
      <c r="A3218"/>
    </row>
    <row r="3219" spans="1:1" ht="15" x14ac:dyDescent="0.2">
      <c r="A3219"/>
    </row>
    <row r="3220" spans="1:1" ht="15" x14ac:dyDescent="0.2">
      <c r="A3220"/>
    </row>
    <row r="3221" spans="1:1" ht="15" x14ac:dyDescent="0.2">
      <c r="A3221"/>
    </row>
    <row r="3222" spans="1:1" ht="15" x14ac:dyDescent="0.2">
      <c r="A3222"/>
    </row>
    <row r="3223" spans="1:1" ht="15" x14ac:dyDescent="0.2">
      <c r="A3223"/>
    </row>
    <row r="3224" spans="1:1" ht="15" x14ac:dyDescent="0.2">
      <c r="A3224"/>
    </row>
    <row r="3225" spans="1:1" ht="15" x14ac:dyDescent="0.2">
      <c r="A3225"/>
    </row>
    <row r="3226" spans="1:1" ht="15" x14ac:dyDescent="0.2">
      <c r="A3226"/>
    </row>
    <row r="3227" spans="1:1" ht="15" x14ac:dyDescent="0.2">
      <c r="A3227"/>
    </row>
    <row r="3228" spans="1:1" ht="15" x14ac:dyDescent="0.2">
      <c r="A3228"/>
    </row>
    <row r="3229" spans="1:1" ht="15" x14ac:dyDescent="0.2">
      <c r="A3229"/>
    </row>
    <row r="3230" spans="1:1" ht="15" x14ac:dyDescent="0.2">
      <c r="A3230"/>
    </row>
    <row r="3231" spans="1:1" ht="15" x14ac:dyDescent="0.2">
      <c r="A3231"/>
    </row>
    <row r="3232" spans="1:1" ht="15" x14ac:dyDescent="0.2">
      <c r="A3232"/>
    </row>
    <row r="3233" spans="1:1" ht="15" x14ac:dyDescent="0.2">
      <c r="A3233"/>
    </row>
    <row r="3234" spans="1:1" ht="15" x14ac:dyDescent="0.2">
      <c r="A3234"/>
    </row>
    <row r="3235" spans="1:1" ht="15" x14ac:dyDescent="0.2">
      <c r="A3235"/>
    </row>
    <row r="3236" spans="1:1" ht="15" x14ac:dyDescent="0.2">
      <c r="A3236"/>
    </row>
    <row r="3237" spans="1:1" ht="15" x14ac:dyDescent="0.2">
      <c r="A3237"/>
    </row>
    <row r="3238" spans="1:1" ht="15" x14ac:dyDescent="0.2">
      <c r="A3238"/>
    </row>
    <row r="3239" spans="1:1" ht="15" x14ac:dyDescent="0.2">
      <c r="A3239"/>
    </row>
    <row r="3240" spans="1:1" ht="15" x14ac:dyDescent="0.2">
      <c r="A3240"/>
    </row>
    <row r="3241" spans="1:1" ht="15" x14ac:dyDescent="0.2">
      <c r="A3241"/>
    </row>
    <row r="3242" spans="1:1" ht="15" x14ac:dyDescent="0.2">
      <c r="A3242"/>
    </row>
    <row r="3243" spans="1:1" ht="15" x14ac:dyDescent="0.2">
      <c r="A3243"/>
    </row>
    <row r="3244" spans="1:1" ht="15" x14ac:dyDescent="0.2">
      <c r="A3244"/>
    </row>
    <row r="3245" spans="1:1" ht="15" x14ac:dyDescent="0.2">
      <c r="A3245"/>
    </row>
    <row r="3246" spans="1:1" ht="15" x14ac:dyDescent="0.2">
      <c r="A3246"/>
    </row>
    <row r="3247" spans="1:1" ht="15" x14ac:dyDescent="0.2">
      <c r="A3247"/>
    </row>
    <row r="3248" spans="1:1" ht="15" x14ac:dyDescent="0.2">
      <c r="A3248"/>
    </row>
    <row r="3249" spans="1:1" ht="15" x14ac:dyDescent="0.2">
      <c r="A3249"/>
    </row>
    <row r="3250" spans="1:1" ht="15" x14ac:dyDescent="0.2">
      <c r="A3250"/>
    </row>
    <row r="3251" spans="1:1" ht="15" x14ac:dyDescent="0.2">
      <c r="A3251"/>
    </row>
    <row r="3252" spans="1:1" ht="15" x14ac:dyDescent="0.2">
      <c r="A3252"/>
    </row>
    <row r="3253" spans="1:1" ht="15" x14ac:dyDescent="0.2">
      <c r="A3253"/>
    </row>
    <row r="3254" spans="1:1" ht="15" x14ac:dyDescent="0.2">
      <c r="A3254"/>
    </row>
    <row r="3255" spans="1:1" ht="15" x14ac:dyDescent="0.2">
      <c r="A3255"/>
    </row>
    <row r="3256" spans="1:1" ht="15" x14ac:dyDescent="0.2">
      <c r="A3256"/>
    </row>
    <row r="3257" spans="1:1" ht="15" x14ac:dyDescent="0.2">
      <c r="A3257"/>
    </row>
    <row r="3258" spans="1:1" ht="15" x14ac:dyDescent="0.2">
      <c r="A3258"/>
    </row>
    <row r="3259" spans="1:1" ht="15" x14ac:dyDescent="0.2">
      <c r="A3259"/>
    </row>
    <row r="3260" spans="1:1" ht="15" x14ac:dyDescent="0.2">
      <c r="A3260"/>
    </row>
    <row r="3261" spans="1:1" ht="15" x14ac:dyDescent="0.2">
      <c r="A3261"/>
    </row>
    <row r="3262" spans="1:1" ht="15" x14ac:dyDescent="0.2">
      <c r="A3262"/>
    </row>
    <row r="3263" spans="1:1" ht="15" x14ac:dyDescent="0.2">
      <c r="A3263"/>
    </row>
    <row r="3264" spans="1:1" ht="15" x14ac:dyDescent="0.2">
      <c r="A3264"/>
    </row>
    <row r="3265" spans="1:1" ht="15" x14ac:dyDescent="0.2">
      <c r="A3265"/>
    </row>
    <row r="3266" spans="1:1" ht="15" x14ac:dyDescent="0.2">
      <c r="A3266"/>
    </row>
    <row r="3267" spans="1:1" ht="15" x14ac:dyDescent="0.2">
      <c r="A3267"/>
    </row>
    <row r="3268" spans="1:1" ht="15" x14ac:dyDescent="0.2">
      <c r="A3268"/>
    </row>
    <row r="3269" spans="1:1" ht="15" x14ac:dyDescent="0.2">
      <c r="A3269"/>
    </row>
    <row r="3270" spans="1:1" ht="15" x14ac:dyDescent="0.2">
      <c r="A3270"/>
    </row>
    <row r="3271" spans="1:1" ht="15" x14ac:dyDescent="0.2">
      <c r="A3271"/>
    </row>
    <row r="3272" spans="1:1" ht="15" x14ac:dyDescent="0.2">
      <c r="A3272"/>
    </row>
    <row r="3273" spans="1:1" ht="15" x14ac:dyDescent="0.2">
      <c r="A3273"/>
    </row>
    <row r="3274" spans="1:1" ht="15" x14ac:dyDescent="0.2">
      <c r="A3274"/>
    </row>
    <row r="3275" spans="1:1" ht="15" x14ac:dyDescent="0.2">
      <c r="A3275"/>
    </row>
    <row r="3276" spans="1:1" ht="15" x14ac:dyDescent="0.2">
      <c r="A3276"/>
    </row>
    <row r="3277" spans="1:1" ht="15" x14ac:dyDescent="0.2">
      <c r="A3277"/>
    </row>
    <row r="3278" spans="1:1" ht="15" x14ac:dyDescent="0.2">
      <c r="A3278"/>
    </row>
    <row r="3279" spans="1:1" ht="15" x14ac:dyDescent="0.2">
      <c r="A3279"/>
    </row>
    <row r="3280" spans="1:1" ht="15" x14ac:dyDescent="0.2">
      <c r="A3280"/>
    </row>
    <row r="3281" spans="1:1" ht="15" x14ac:dyDescent="0.2">
      <c r="A3281"/>
    </row>
    <row r="3282" spans="1:1" ht="15" x14ac:dyDescent="0.2">
      <c r="A3282"/>
    </row>
    <row r="3283" spans="1:1" ht="15" x14ac:dyDescent="0.2">
      <c r="A3283"/>
    </row>
    <row r="3284" spans="1:1" ht="15" x14ac:dyDescent="0.2">
      <c r="A3284"/>
    </row>
    <row r="3285" spans="1:1" ht="15" x14ac:dyDescent="0.2">
      <c r="A3285"/>
    </row>
    <row r="3286" spans="1:1" ht="15" x14ac:dyDescent="0.2">
      <c r="A3286"/>
    </row>
    <row r="3287" spans="1:1" ht="15" x14ac:dyDescent="0.2">
      <c r="A3287"/>
    </row>
    <row r="3288" spans="1:1" ht="15" x14ac:dyDescent="0.2">
      <c r="A3288"/>
    </row>
    <row r="3289" spans="1:1" ht="15" x14ac:dyDescent="0.2">
      <c r="A3289"/>
    </row>
    <row r="3290" spans="1:1" ht="15" x14ac:dyDescent="0.2">
      <c r="A3290"/>
    </row>
    <row r="3291" spans="1:1" ht="15" x14ac:dyDescent="0.2">
      <c r="A3291"/>
    </row>
    <row r="3292" spans="1:1" ht="15" x14ac:dyDescent="0.2">
      <c r="A3292"/>
    </row>
    <row r="3293" spans="1:1" ht="15" x14ac:dyDescent="0.2">
      <c r="A3293"/>
    </row>
    <row r="3294" spans="1:1" ht="15" x14ac:dyDescent="0.2">
      <c r="A3294"/>
    </row>
    <row r="3295" spans="1:1" ht="15" x14ac:dyDescent="0.2">
      <c r="A3295"/>
    </row>
    <row r="3296" spans="1:1" ht="15" x14ac:dyDescent="0.2">
      <c r="A3296"/>
    </row>
    <row r="3297" spans="1:1" ht="15" x14ac:dyDescent="0.2">
      <c r="A3297"/>
    </row>
    <row r="3298" spans="1:1" ht="15" x14ac:dyDescent="0.2">
      <c r="A3298"/>
    </row>
    <row r="3299" spans="1:1" ht="15" x14ac:dyDescent="0.2">
      <c r="A3299"/>
    </row>
    <row r="3300" spans="1:1" ht="15" x14ac:dyDescent="0.2">
      <c r="A3300"/>
    </row>
    <row r="3301" spans="1:1" ht="15" x14ac:dyDescent="0.2">
      <c r="A3301"/>
    </row>
    <row r="3302" spans="1:1" ht="15" x14ac:dyDescent="0.2">
      <c r="A3302"/>
    </row>
    <row r="3303" spans="1:1" ht="15" x14ac:dyDescent="0.2">
      <c r="A3303"/>
    </row>
    <row r="3304" spans="1:1" ht="15" x14ac:dyDescent="0.2">
      <c r="A3304"/>
    </row>
    <row r="3305" spans="1:1" ht="15" x14ac:dyDescent="0.2">
      <c r="A3305"/>
    </row>
    <row r="3306" spans="1:1" ht="15" x14ac:dyDescent="0.2">
      <c r="A3306"/>
    </row>
    <row r="3307" spans="1:1" ht="15" x14ac:dyDescent="0.2">
      <c r="A3307"/>
    </row>
    <row r="3308" spans="1:1" ht="15" x14ac:dyDescent="0.2">
      <c r="A3308"/>
    </row>
    <row r="3309" spans="1:1" ht="15" x14ac:dyDescent="0.2">
      <c r="A3309"/>
    </row>
    <row r="3310" spans="1:1" ht="15" x14ac:dyDescent="0.2">
      <c r="A3310"/>
    </row>
    <row r="3311" spans="1:1" ht="15" x14ac:dyDescent="0.2">
      <c r="A3311"/>
    </row>
    <row r="3312" spans="1:1" ht="15" x14ac:dyDescent="0.2">
      <c r="A3312"/>
    </row>
    <row r="3313" spans="1:1" ht="15" x14ac:dyDescent="0.2">
      <c r="A3313"/>
    </row>
    <row r="3314" spans="1:1" ht="15" x14ac:dyDescent="0.2">
      <c r="A3314"/>
    </row>
    <row r="3315" spans="1:1" ht="15" x14ac:dyDescent="0.2">
      <c r="A3315"/>
    </row>
    <row r="3316" spans="1:1" ht="15" x14ac:dyDescent="0.2">
      <c r="A3316"/>
    </row>
    <row r="3317" spans="1:1" ht="15" x14ac:dyDescent="0.2">
      <c r="A3317"/>
    </row>
    <row r="3318" spans="1:1" ht="15" x14ac:dyDescent="0.2">
      <c r="A3318"/>
    </row>
    <row r="3319" spans="1:1" ht="15" x14ac:dyDescent="0.2">
      <c r="A3319"/>
    </row>
    <row r="3320" spans="1:1" ht="15" x14ac:dyDescent="0.2">
      <c r="A3320"/>
    </row>
    <row r="3321" spans="1:1" ht="15" x14ac:dyDescent="0.2">
      <c r="A3321"/>
    </row>
    <row r="3322" spans="1:1" ht="15" x14ac:dyDescent="0.2">
      <c r="A3322"/>
    </row>
    <row r="3323" spans="1:1" ht="15" x14ac:dyDescent="0.2">
      <c r="A3323"/>
    </row>
    <row r="3324" spans="1:1" ht="15" x14ac:dyDescent="0.2">
      <c r="A3324"/>
    </row>
    <row r="3325" spans="1:1" ht="15" x14ac:dyDescent="0.2">
      <c r="A3325"/>
    </row>
    <row r="3326" spans="1:1" ht="15" x14ac:dyDescent="0.2">
      <c r="A3326"/>
    </row>
    <row r="3327" spans="1:1" ht="15" x14ac:dyDescent="0.2">
      <c r="A3327"/>
    </row>
    <row r="3328" spans="1:1" ht="15" x14ac:dyDescent="0.2">
      <c r="A3328"/>
    </row>
    <row r="3329" spans="1:1" ht="15" x14ac:dyDescent="0.2">
      <c r="A3329"/>
    </row>
    <row r="3330" spans="1:1" ht="15" x14ac:dyDescent="0.2">
      <c r="A3330"/>
    </row>
    <row r="3331" spans="1:1" ht="15" x14ac:dyDescent="0.2">
      <c r="A3331"/>
    </row>
    <row r="3332" spans="1:1" ht="15" x14ac:dyDescent="0.2">
      <c r="A3332"/>
    </row>
    <row r="3333" spans="1:1" ht="15" x14ac:dyDescent="0.2">
      <c r="A3333"/>
    </row>
    <row r="3334" spans="1:1" ht="15" x14ac:dyDescent="0.2">
      <c r="A3334"/>
    </row>
    <row r="3335" spans="1:1" ht="15" x14ac:dyDescent="0.2">
      <c r="A3335"/>
    </row>
    <row r="3336" spans="1:1" ht="15" x14ac:dyDescent="0.2">
      <c r="A3336"/>
    </row>
    <row r="3337" spans="1:1" ht="15" x14ac:dyDescent="0.2">
      <c r="A3337"/>
    </row>
    <row r="3338" spans="1:1" ht="15" x14ac:dyDescent="0.2">
      <c r="A3338"/>
    </row>
    <row r="3339" spans="1:1" ht="15" x14ac:dyDescent="0.2">
      <c r="A3339"/>
    </row>
    <row r="3340" spans="1:1" ht="15" x14ac:dyDescent="0.2">
      <c r="A3340"/>
    </row>
    <row r="3341" spans="1:1" ht="15" x14ac:dyDescent="0.2">
      <c r="A3341"/>
    </row>
    <row r="3342" spans="1:1" ht="15" x14ac:dyDescent="0.2">
      <c r="A3342"/>
    </row>
    <row r="3343" spans="1:1" ht="15" x14ac:dyDescent="0.2">
      <c r="A3343"/>
    </row>
    <row r="3344" spans="1:1" ht="15" x14ac:dyDescent="0.2">
      <c r="A3344"/>
    </row>
    <row r="3345" spans="1:1" ht="15" x14ac:dyDescent="0.2">
      <c r="A3345"/>
    </row>
    <row r="3346" spans="1:1" ht="15" x14ac:dyDescent="0.2">
      <c r="A3346"/>
    </row>
    <row r="3347" spans="1:1" ht="15" x14ac:dyDescent="0.2">
      <c r="A3347"/>
    </row>
    <row r="3348" spans="1:1" ht="15" x14ac:dyDescent="0.2">
      <c r="A3348"/>
    </row>
    <row r="3349" spans="1:1" ht="15" x14ac:dyDescent="0.2">
      <c r="A3349"/>
    </row>
    <row r="3350" spans="1:1" ht="15" x14ac:dyDescent="0.2">
      <c r="A3350"/>
    </row>
    <row r="3351" spans="1:1" ht="15" x14ac:dyDescent="0.2">
      <c r="A3351"/>
    </row>
    <row r="3352" spans="1:1" ht="15" x14ac:dyDescent="0.2">
      <c r="A3352"/>
    </row>
    <row r="3353" spans="1:1" ht="15" x14ac:dyDescent="0.2">
      <c r="A3353"/>
    </row>
    <row r="3354" spans="1:1" ht="15" x14ac:dyDescent="0.2">
      <c r="A3354"/>
    </row>
    <row r="3355" spans="1:1" ht="15" x14ac:dyDescent="0.2">
      <c r="A3355"/>
    </row>
    <row r="3356" spans="1:1" ht="15" x14ac:dyDescent="0.2">
      <c r="A3356"/>
    </row>
    <row r="3357" spans="1:1" ht="15" x14ac:dyDescent="0.2">
      <c r="A3357"/>
    </row>
    <row r="3358" spans="1:1" ht="15" x14ac:dyDescent="0.2">
      <c r="A3358"/>
    </row>
    <row r="3359" spans="1:1" ht="15" x14ac:dyDescent="0.2">
      <c r="A3359"/>
    </row>
    <row r="3360" spans="1:1" ht="15" x14ac:dyDescent="0.2">
      <c r="A3360"/>
    </row>
    <row r="3361" spans="1:1" ht="15" x14ac:dyDescent="0.2">
      <c r="A3361"/>
    </row>
    <row r="3362" spans="1:1" ht="15" x14ac:dyDescent="0.2">
      <c r="A3362"/>
    </row>
    <row r="3363" spans="1:1" ht="15" x14ac:dyDescent="0.2">
      <c r="A3363"/>
    </row>
    <row r="3364" spans="1:1" ht="15" x14ac:dyDescent="0.2">
      <c r="A3364"/>
    </row>
    <row r="3365" spans="1:1" ht="15" x14ac:dyDescent="0.2">
      <c r="A3365"/>
    </row>
    <row r="3366" spans="1:1" ht="15" x14ac:dyDescent="0.2">
      <c r="A3366"/>
    </row>
    <row r="3367" spans="1:1" ht="15" x14ac:dyDescent="0.2">
      <c r="A3367"/>
    </row>
    <row r="3368" spans="1:1" ht="15" x14ac:dyDescent="0.2">
      <c r="A3368"/>
    </row>
    <row r="3369" spans="1:1" ht="15" x14ac:dyDescent="0.2">
      <c r="A3369"/>
    </row>
    <row r="3370" spans="1:1" ht="15" x14ac:dyDescent="0.2">
      <c r="A3370"/>
    </row>
    <row r="3371" spans="1:1" ht="15" x14ac:dyDescent="0.2">
      <c r="A3371"/>
    </row>
    <row r="3372" spans="1:1" ht="15" x14ac:dyDescent="0.2">
      <c r="A3372"/>
    </row>
    <row r="3373" spans="1:1" ht="15" x14ac:dyDescent="0.2">
      <c r="A3373"/>
    </row>
    <row r="3374" spans="1:1" ht="15" x14ac:dyDescent="0.2">
      <c r="A3374"/>
    </row>
    <row r="3375" spans="1:1" ht="15" x14ac:dyDescent="0.2">
      <c r="A3375"/>
    </row>
    <row r="3376" spans="1:1" ht="15" x14ac:dyDescent="0.2">
      <c r="A3376"/>
    </row>
    <row r="3377" spans="1:1" ht="15" x14ac:dyDescent="0.2">
      <c r="A3377"/>
    </row>
    <row r="3378" spans="1:1" ht="15" x14ac:dyDescent="0.2">
      <c r="A3378"/>
    </row>
    <row r="3379" spans="1:1" ht="15" x14ac:dyDescent="0.2">
      <c r="A3379"/>
    </row>
    <row r="3380" spans="1:1" ht="15" x14ac:dyDescent="0.2">
      <c r="A3380"/>
    </row>
    <row r="3381" spans="1:1" ht="15" x14ac:dyDescent="0.2">
      <c r="A3381"/>
    </row>
    <row r="3382" spans="1:1" ht="15" x14ac:dyDescent="0.2">
      <c r="A3382"/>
    </row>
    <row r="3383" spans="1:1" ht="15" x14ac:dyDescent="0.2">
      <c r="A3383"/>
    </row>
    <row r="3384" spans="1:1" ht="15" x14ac:dyDescent="0.2">
      <c r="A3384"/>
    </row>
    <row r="3385" spans="1:1" ht="15" x14ac:dyDescent="0.2">
      <c r="A3385"/>
    </row>
    <row r="3386" spans="1:1" ht="15" x14ac:dyDescent="0.2">
      <c r="A3386"/>
    </row>
    <row r="3387" spans="1:1" ht="15" x14ac:dyDescent="0.2">
      <c r="A3387"/>
    </row>
    <row r="3388" spans="1:1" ht="15" x14ac:dyDescent="0.2">
      <c r="A3388"/>
    </row>
    <row r="3389" spans="1:1" ht="15" x14ac:dyDescent="0.2">
      <c r="A3389"/>
    </row>
    <row r="3390" spans="1:1" ht="15" x14ac:dyDescent="0.2">
      <c r="A3390"/>
    </row>
    <row r="3391" spans="1:1" ht="15" x14ac:dyDescent="0.2">
      <c r="A3391"/>
    </row>
    <row r="3392" spans="1:1" ht="15" x14ac:dyDescent="0.2">
      <c r="A3392"/>
    </row>
    <row r="3393" spans="1:1" ht="15" x14ac:dyDescent="0.2">
      <c r="A3393"/>
    </row>
    <row r="3394" spans="1:1" ht="15" x14ac:dyDescent="0.2">
      <c r="A3394"/>
    </row>
    <row r="3395" spans="1:1" ht="15" x14ac:dyDescent="0.2">
      <c r="A3395"/>
    </row>
    <row r="3396" spans="1:1" ht="15" x14ac:dyDescent="0.2">
      <c r="A3396"/>
    </row>
    <row r="3397" spans="1:1" ht="15" x14ac:dyDescent="0.2">
      <c r="A3397"/>
    </row>
    <row r="3398" spans="1:1" ht="15" x14ac:dyDescent="0.2">
      <c r="A3398"/>
    </row>
    <row r="3399" spans="1:1" ht="15" x14ac:dyDescent="0.2">
      <c r="A3399"/>
    </row>
    <row r="3400" spans="1:1" ht="15" x14ac:dyDescent="0.2">
      <c r="A3400"/>
    </row>
    <row r="3401" spans="1:1" ht="15" x14ac:dyDescent="0.2">
      <c r="A3401"/>
    </row>
    <row r="3402" spans="1:1" ht="15" x14ac:dyDescent="0.2">
      <c r="A3402"/>
    </row>
    <row r="3403" spans="1:1" ht="15" x14ac:dyDescent="0.2">
      <c r="A3403"/>
    </row>
    <row r="3404" spans="1:1" ht="15" x14ac:dyDescent="0.2">
      <c r="A3404"/>
    </row>
    <row r="3405" spans="1:1" ht="15" x14ac:dyDescent="0.2">
      <c r="A3405"/>
    </row>
    <row r="3406" spans="1:1" ht="15" x14ac:dyDescent="0.2">
      <c r="A3406"/>
    </row>
    <row r="3407" spans="1:1" ht="15" x14ac:dyDescent="0.2">
      <c r="A3407"/>
    </row>
    <row r="3408" spans="1:1" ht="15" x14ac:dyDescent="0.2">
      <c r="A3408"/>
    </row>
    <row r="3409" spans="1:1" ht="15" x14ac:dyDescent="0.2">
      <c r="A3409"/>
    </row>
    <row r="3410" spans="1:1" ht="15" x14ac:dyDescent="0.2">
      <c r="A3410"/>
    </row>
    <row r="3411" spans="1:1" ht="15" x14ac:dyDescent="0.2">
      <c r="A3411"/>
    </row>
    <row r="3412" spans="1:1" ht="15" x14ac:dyDescent="0.2">
      <c r="A3412"/>
    </row>
    <row r="3413" spans="1:1" ht="15" x14ac:dyDescent="0.2">
      <c r="A3413"/>
    </row>
    <row r="3414" spans="1:1" ht="15" x14ac:dyDescent="0.2">
      <c r="A3414"/>
    </row>
    <row r="3415" spans="1:1" ht="15" x14ac:dyDescent="0.2">
      <c r="A3415"/>
    </row>
    <row r="3416" spans="1:1" ht="15" x14ac:dyDescent="0.2">
      <c r="A3416"/>
    </row>
    <row r="3417" spans="1:1" ht="15" x14ac:dyDescent="0.2">
      <c r="A3417"/>
    </row>
    <row r="3418" spans="1:1" ht="15" x14ac:dyDescent="0.2">
      <c r="A3418"/>
    </row>
    <row r="3419" spans="1:1" ht="15" x14ac:dyDescent="0.2">
      <c r="A3419"/>
    </row>
    <row r="3420" spans="1:1" ht="15" x14ac:dyDescent="0.2">
      <c r="A3420"/>
    </row>
    <row r="3421" spans="1:1" ht="15" x14ac:dyDescent="0.2">
      <c r="A3421"/>
    </row>
    <row r="3422" spans="1:1" ht="15" x14ac:dyDescent="0.2">
      <c r="A3422"/>
    </row>
    <row r="3423" spans="1:1" ht="15" x14ac:dyDescent="0.2">
      <c r="A3423"/>
    </row>
    <row r="3424" spans="1:1" ht="15" x14ac:dyDescent="0.2">
      <c r="A3424"/>
    </row>
    <row r="3425" spans="1:1" ht="15" x14ac:dyDescent="0.2">
      <c r="A3425"/>
    </row>
    <row r="3426" spans="1:1" ht="15" x14ac:dyDescent="0.2">
      <c r="A3426"/>
    </row>
    <row r="3427" spans="1:1" ht="15" x14ac:dyDescent="0.2">
      <c r="A3427"/>
    </row>
    <row r="3428" spans="1:1" ht="15" x14ac:dyDescent="0.2">
      <c r="A3428"/>
    </row>
    <row r="3429" spans="1:1" ht="15" x14ac:dyDescent="0.2">
      <c r="A3429"/>
    </row>
    <row r="3430" spans="1:1" ht="15" x14ac:dyDescent="0.2">
      <c r="A3430"/>
    </row>
    <row r="3431" spans="1:1" ht="15" x14ac:dyDescent="0.2">
      <c r="A3431"/>
    </row>
    <row r="3432" spans="1:1" ht="15" x14ac:dyDescent="0.2">
      <c r="A3432"/>
    </row>
    <row r="3433" spans="1:1" ht="15" x14ac:dyDescent="0.2">
      <c r="A3433"/>
    </row>
    <row r="3434" spans="1:1" ht="15" x14ac:dyDescent="0.2">
      <c r="A3434"/>
    </row>
    <row r="3435" spans="1:1" ht="15" x14ac:dyDescent="0.2">
      <c r="A3435"/>
    </row>
    <row r="3436" spans="1:1" ht="15" x14ac:dyDescent="0.2">
      <c r="A3436"/>
    </row>
    <row r="3437" spans="1:1" ht="15" x14ac:dyDescent="0.2">
      <c r="A3437"/>
    </row>
    <row r="3438" spans="1:1" ht="15" x14ac:dyDescent="0.2">
      <c r="A3438"/>
    </row>
    <row r="3439" spans="1:1" ht="15" x14ac:dyDescent="0.2">
      <c r="A3439"/>
    </row>
    <row r="3440" spans="1:1" ht="15" x14ac:dyDescent="0.2">
      <c r="A3440"/>
    </row>
    <row r="3441" spans="1:1" ht="15" x14ac:dyDescent="0.2">
      <c r="A3441"/>
    </row>
    <row r="3442" spans="1:1" ht="15" x14ac:dyDescent="0.2">
      <c r="A3442"/>
    </row>
    <row r="3443" spans="1:1" ht="15" x14ac:dyDescent="0.2">
      <c r="A3443"/>
    </row>
    <row r="3444" spans="1:1" ht="15" x14ac:dyDescent="0.2">
      <c r="A3444"/>
    </row>
    <row r="3445" spans="1:1" ht="15" x14ac:dyDescent="0.2">
      <c r="A3445"/>
    </row>
    <row r="3446" spans="1:1" ht="15" x14ac:dyDescent="0.2">
      <c r="A3446"/>
    </row>
    <row r="3447" spans="1:1" ht="15" x14ac:dyDescent="0.2">
      <c r="A3447"/>
    </row>
    <row r="3448" spans="1:1" ht="15" x14ac:dyDescent="0.2">
      <c r="A3448"/>
    </row>
    <row r="3449" spans="1:1" ht="15" x14ac:dyDescent="0.2">
      <c r="A3449"/>
    </row>
    <row r="3450" spans="1:1" ht="15" x14ac:dyDescent="0.2">
      <c r="A3450"/>
    </row>
    <row r="3451" spans="1:1" ht="15" x14ac:dyDescent="0.2">
      <c r="A3451"/>
    </row>
    <row r="3452" spans="1:1" ht="15" x14ac:dyDescent="0.2">
      <c r="A3452"/>
    </row>
    <row r="3453" spans="1:1" ht="15" x14ac:dyDescent="0.2">
      <c r="A3453"/>
    </row>
    <row r="3454" spans="1:1" ht="15" x14ac:dyDescent="0.2">
      <c r="A3454"/>
    </row>
    <row r="3455" spans="1:1" ht="15" x14ac:dyDescent="0.2">
      <c r="A3455"/>
    </row>
    <row r="3456" spans="1:1" ht="15" x14ac:dyDescent="0.2">
      <c r="A3456"/>
    </row>
    <row r="3457" spans="1:1" ht="15" x14ac:dyDescent="0.2">
      <c r="A3457"/>
    </row>
    <row r="3458" spans="1:1" ht="15" x14ac:dyDescent="0.2">
      <c r="A3458"/>
    </row>
    <row r="3459" spans="1:1" ht="15" x14ac:dyDescent="0.2">
      <c r="A3459"/>
    </row>
    <row r="3460" spans="1:1" ht="15" x14ac:dyDescent="0.2">
      <c r="A3460"/>
    </row>
    <row r="3461" spans="1:1" ht="15" x14ac:dyDescent="0.2">
      <c r="A3461"/>
    </row>
    <row r="3462" spans="1:1" ht="15" x14ac:dyDescent="0.2">
      <c r="A3462"/>
    </row>
    <row r="3463" spans="1:1" ht="15" x14ac:dyDescent="0.2">
      <c r="A3463"/>
    </row>
    <row r="3464" spans="1:1" ht="15" x14ac:dyDescent="0.2">
      <c r="A3464"/>
    </row>
    <row r="3465" spans="1:1" ht="15" x14ac:dyDescent="0.2">
      <c r="A3465"/>
    </row>
    <row r="3466" spans="1:1" ht="15" x14ac:dyDescent="0.2">
      <c r="A3466"/>
    </row>
    <row r="3467" spans="1:1" ht="15" x14ac:dyDescent="0.2">
      <c r="A3467"/>
    </row>
    <row r="3468" spans="1:1" ht="15" x14ac:dyDescent="0.2">
      <c r="A3468"/>
    </row>
    <row r="3469" spans="1:1" ht="15" x14ac:dyDescent="0.2">
      <c r="A3469"/>
    </row>
    <row r="3470" spans="1:1" ht="15" x14ac:dyDescent="0.2">
      <c r="A3470"/>
    </row>
    <row r="3471" spans="1:1" ht="15" x14ac:dyDescent="0.2">
      <c r="A3471"/>
    </row>
    <row r="3472" spans="1:1" ht="15" x14ac:dyDescent="0.2">
      <c r="A3472"/>
    </row>
    <row r="3473" spans="1:1" ht="15" x14ac:dyDescent="0.2">
      <c r="A3473"/>
    </row>
    <row r="3474" spans="1:1" ht="15" x14ac:dyDescent="0.2">
      <c r="A3474"/>
    </row>
    <row r="3475" spans="1:1" ht="15" x14ac:dyDescent="0.2">
      <c r="A3475"/>
    </row>
    <row r="3476" spans="1:1" ht="15" x14ac:dyDescent="0.2">
      <c r="A3476"/>
    </row>
    <row r="3477" spans="1:1" ht="15" x14ac:dyDescent="0.2">
      <c r="A3477"/>
    </row>
    <row r="3478" spans="1:1" ht="15" x14ac:dyDescent="0.2">
      <c r="A3478"/>
    </row>
    <row r="3479" spans="1:1" ht="15" x14ac:dyDescent="0.2">
      <c r="A3479"/>
    </row>
    <row r="3480" spans="1:1" ht="15" x14ac:dyDescent="0.2">
      <c r="A3480"/>
    </row>
    <row r="3481" spans="1:1" ht="15" x14ac:dyDescent="0.2">
      <c r="A3481"/>
    </row>
    <row r="3482" spans="1:1" ht="15" x14ac:dyDescent="0.2">
      <c r="A3482"/>
    </row>
    <row r="3483" spans="1:1" ht="15" x14ac:dyDescent="0.2">
      <c r="A3483"/>
    </row>
    <row r="3484" spans="1:1" ht="15" x14ac:dyDescent="0.2">
      <c r="A3484"/>
    </row>
    <row r="3485" spans="1:1" ht="15" x14ac:dyDescent="0.2">
      <c r="A3485"/>
    </row>
    <row r="3486" spans="1:1" ht="15" x14ac:dyDescent="0.2">
      <c r="A3486"/>
    </row>
    <row r="3487" spans="1:1" ht="15" x14ac:dyDescent="0.2">
      <c r="A3487"/>
    </row>
    <row r="3488" spans="1:1" ht="15" x14ac:dyDescent="0.2">
      <c r="A3488"/>
    </row>
    <row r="3489" spans="1:1" ht="15" x14ac:dyDescent="0.2">
      <c r="A3489"/>
    </row>
    <row r="3490" spans="1:1" ht="15" x14ac:dyDescent="0.2">
      <c r="A3490"/>
    </row>
    <row r="3491" spans="1:1" ht="15" x14ac:dyDescent="0.2">
      <c r="A3491"/>
    </row>
    <row r="3492" spans="1:1" ht="15" x14ac:dyDescent="0.2">
      <c r="A3492"/>
    </row>
    <row r="3493" spans="1:1" ht="15" x14ac:dyDescent="0.2">
      <c r="A3493"/>
    </row>
    <row r="3494" spans="1:1" ht="15" x14ac:dyDescent="0.2">
      <c r="A3494"/>
    </row>
    <row r="3495" spans="1:1" ht="15" x14ac:dyDescent="0.2">
      <c r="A3495"/>
    </row>
    <row r="3496" spans="1:1" ht="15" x14ac:dyDescent="0.2">
      <c r="A3496"/>
    </row>
    <row r="3497" spans="1:1" ht="15" x14ac:dyDescent="0.2">
      <c r="A3497"/>
    </row>
    <row r="3498" spans="1:1" ht="15" x14ac:dyDescent="0.2">
      <c r="A3498"/>
    </row>
    <row r="3499" spans="1:1" ht="15" x14ac:dyDescent="0.2">
      <c r="A3499"/>
    </row>
    <row r="3500" spans="1:1" ht="15" x14ac:dyDescent="0.2">
      <c r="A3500"/>
    </row>
    <row r="3501" spans="1:1" ht="15" x14ac:dyDescent="0.2">
      <c r="A3501"/>
    </row>
    <row r="3502" spans="1:1" ht="15" x14ac:dyDescent="0.2">
      <c r="A3502"/>
    </row>
    <row r="3503" spans="1:1" ht="15" x14ac:dyDescent="0.2">
      <c r="A3503"/>
    </row>
    <row r="3504" spans="1:1" ht="15" x14ac:dyDescent="0.2">
      <c r="A3504"/>
    </row>
    <row r="3505" spans="1:1" ht="15" x14ac:dyDescent="0.2">
      <c r="A3505"/>
    </row>
    <row r="3506" spans="1:1" ht="15" x14ac:dyDescent="0.2">
      <c r="A3506"/>
    </row>
    <row r="3507" spans="1:1" ht="15" x14ac:dyDescent="0.2">
      <c r="A3507"/>
    </row>
    <row r="3508" spans="1:1" ht="15" x14ac:dyDescent="0.2">
      <c r="A3508"/>
    </row>
    <row r="3509" spans="1:1" ht="15" x14ac:dyDescent="0.2">
      <c r="A3509"/>
    </row>
    <row r="3510" spans="1:1" ht="15" x14ac:dyDescent="0.2">
      <c r="A3510"/>
    </row>
    <row r="3511" spans="1:1" ht="15" x14ac:dyDescent="0.2">
      <c r="A3511"/>
    </row>
    <row r="3512" spans="1:1" ht="15" x14ac:dyDescent="0.2">
      <c r="A3512"/>
    </row>
    <row r="3513" spans="1:1" ht="15" x14ac:dyDescent="0.2">
      <c r="A3513"/>
    </row>
    <row r="3514" spans="1:1" ht="15" x14ac:dyDescent="0.2">
      <c r="A3514"/>
    </row>
    <row r="3515" spans="1:1" ht="15" x14ac:dyDescent="0.2">
      <c r="A3515"/>
    </row>
    <row r="3516" spans="1:1" ht="15" x14ac:dyDescent="0.2">
      <c r="A3516"/>
    </row>
    <row r="3517" spans="1:1" ht="15" x14ac:dyDescent="0.2">
      <c r="A3517"/>
    </row>
    <row r="3518" spans="1:1" ht="15" x14ac:dyDescent="0.2">
      <c r="A3518"/>
    </row>
    <row r="3519" spans="1:1" ht="15" x14ac:dyDescent="0.2">
      <c r="A3519"/>
    </row>
    <row r="3520" spans="1:1" ht="15" x14ac:dyDescent="0.2">
      <c r="A3520"/>
    </row>
    <row r="3521" spans="1:1" ht="15" x14ac:dyDescent="0.2">
      <c r="A3521"/>
    </row>
    <row r="3522" spans="1:1" ht="15" x14ac:dyDescent="0.2">
      <c r="A3522"/>
    </row>
    <row r="3523" spans="1:1" ht="15" x14ac:dyDescent="0.2">
      <c r="A3523"/>
    </row>
    <row r="3524" spans="1:1" ht="15" x14ac:dyDescent="0.2">
      <c r="A3524"/>
    </row>
    <row r="3525" spans="1:1" ht="15" x14ac:dyDescent="0.2">
      <c r="A3525"/>
    </row>
    <row r="3526" spans="1:1" ht="15" x14ac:dyDescent="0.2">
      <c r="A3526"/>
    </row>
    <row r="3527" spans="1:1" ht="15" x14ac:dyDescent="0.2">
      <c r="A3527"/>
    </row>
    <row r="3528" spans="1:1" ht="15" x14ac:dyDescent="0.2">
      <c r="A3528"/>
    </row>
    <row r="3529" spans="1:1" ht="15" x14ac:dyDescent="0.2">
      <c r="A3529"/>
    </row>
    <row r="3530" spans="1:1" ht="15" x14ac:dyDescent="0.2">
      <c r="A3530"/>
    </row>
    <row r="3531" spans="1:1" ht="15" x14ac:dyDescent="0.2">
      <c r="A3531"/>
    </row>
    <row r="3532" spans="1:1" ht="15" x14ac:dyDescent="0.2">
      <c r="A3532"/>
    </row>
    <row r="3533" spans="1:1" ht="15" x14ac:dyDescent="0.2">
      <c r="A3533"/>
    </row>
    <row r="3534" spans="1:1" ht="15" x14ac:dyDescent="0.2">
      <c r="A3534"/>
    </row>
    <row r="3535" spans="1:1" ht="15" x14ac:dyDescent="0.2">
      <c r="A3535"/>
    </row>
    <row r="3536" spans="1:1" ht="15" x14ac:dyDescent="0.2">
      <c r="A3536"/>
    </row>
    <row r="3537" spans="1:1" ht="15" x14ac:dyDescent="0.2">
      <c r="A3537"/>
    </row>
    <row r="3538" spans="1:1" ht="15" x14ac:dyDescent="0.2">
      <c r="A3538"/>
    </row>
    <row r="3539" spans="1:1" ht="15" x14ac:dyDescent="0.2">
      <c r="A3539"/>
    </row>
    <row r="3540" spans="1:1" ht="15" x14ac:dyDescent="0.2">
      <c r="A3540"/>
    </row>
    <row r="3541" spans="1:1" ht="15" x14ac:dyDescent="0.2">
      <c r="A3541"/>
    </row>
    <row r="3542" spans="1:1" ht="15" x14ac:dyDescent="0.2">
      <c r="A3542"/>
    </row>
    <row r="3543" spans="1:1" ht="15" x14ac:dyDescent="0.2">
      <c r="A3543"/>
    </row>
    <row r="3544" spans="1:1" ht="15" x14ac:dyDescent="0.2">
      <c r="A3544"/>
    </row>
    <row r="3545" spans="1:1" ht="15" x14ac:dyDescent="0.2">
      <c r="A3545"/>
    </row>
    <row r="3546" spans="1:1" ht="15" x14ac:dyDescent="0.2">
      <c r="A3546"/>
    </row>
    <row r="3547" spans="1:1" ht="15" x14ac:dyDescent="0.2">
      <c r="A3547"/>
    </row>
    <row r="3548" spans="1:1" ht="15" x14ac:dyDescent="0.2">
      <c r="A3548"/>
    </row>
    <row r="3549" spans="1:1" ht="15" x14ac:dyDescent="0.2">
      <c r="A3549"/>
    </row>
    <row r="3550" spans="1:1" ht="15" x14ac:dyDescent="0.2">
      <c r="A3550"/>
    </row>
    <row r="3551" spans="1:1" ht="15" x14ac:dyDescent="0.2">
      <c r="A3551"/>
    </row>
    <row r="3552" spans="1:1" ht="15" x14ac:dyDescent="0.2">
      <c r="A3552"/>
    </row>
    <row r="3553" spans="1:1" ht="15" x14ac:dyDescent="0.2">
      <c r="A3553"/>
    </row>
    <row r="3554" spans="1:1" ht="15" x14ac:dyDescent="0.2">
      <c r="A3554"/>
    </row>
    <row r="3555" spans="1:1" ht="15" x14ac:dyDescent="0.2">
      <c r="A3555"/>
    </row>
    <row r="3556" spans="1:1" ht="15" x14ac:dyDescent="0.2">
      <c r="A3556"/>
    </row>
    <row r="3557" spans="1:1" ht="15" x14ac:dyDescent="0.2">
      <c r="A3557"/>
    </row>
    <row r="3558" spans="1:1" ht="15" x14ac:dyDescent="0.2">
      <c r="A3558"/>
    </row>
    <row r="3559" spans="1:1" ht="15" x14ac:dyDescent="0.2">
      <c r="A3559"/>
    </row>
    <row r="3560" spans="1:1" ht="15" x14ac:dyDescent="0.2">
      <c r="A3560"/>
    </row>
    <row r="3561" spans="1:1" ht="15" x14ac:dyDescent="0.2">
      <c r="A3561"/>
    </row>
    <row r="3562" spans="1:1" ht="15" x14ac:dyDescent="0.2">
      <c r="A3562"/>
    </row>
    <row r="3563" spans="1:1" ht="15" x14ac:dyDescent="0.2">
      <c r="A3563"/>
    </row>
    <row r="3564" spans="1:1" ht="15" x14ac:dyDescent="0.2">
      <c r="A3564"/>
    </row>
    <row r="3565" spans="1:1" ht="15" x14ac:dyDescent="0.2">
      <c r="A3565"/>
    </row>
    <row r="3566" spans="1:1" ht="15" x14ac:dyDescent="0.2">
      <c r="A3566"/>
    </row>
    <row r="3567" spans="1:1" ht="15" x14ac:dyDescent="0.2">
      <c r="A3567"/>
    </row>
    <row r="3568" spans="1:1" ht="15" x14ac:dyDescent="0.2">
      <c r="A3568"/>
    </row>
    <row r="3569" spans="1:1" ht="15" x14ac:dyDescent="0.2">
      <c r="A3569"/>
    </row>
    <row r="3570" spans="1:1" ht="15" x14ac:dyDescent="0.2">
      <c r="A3570"/>
    </row>
    <row r="3571" spans="1:1" ht="15" x14ac:dyDescent="0.2">
      <c r="A3571"/>
    </row>
    <row r="3572" spans="1:1" ht="15" x14ac:dyDescent="0.2">
      <c r="A3572"/>
    </row>
    <row r="3573" spans="1:1" ht="15" x14ac:dyDescent="0.2">
      <c r="A3573"/>
    </row>
    <row r="3574" spans="1:1" ht="15" x14ac:dyDescent="0.2">
      <c r="A3574"/>
    </row>
    <row r="3575" spans="1:1" ht="15" x14ac:dyDescent="0.2">
      <c r="A3575"/>
    </row>
    <row r="3576" spans="1:1" ht="15" x14ac:dyDescent="0.2">
      <c r="A3576"/>
    </row>
    <row r="3577" spans="1:1" ht="15" x14ac:dyDescent="0.2">
      <c r="A3577"/>
    </row>
    <row r="3578" spans="1:1" ht="15" x14ac:dyDescent="0.2">
      <c r="A3578"/>
    </row>
    <row r="3579" spans="1:1" ht="15" x14ac:dyDescent="0.2">
      <c r="A3579"/>
    </row>
    <row r="3580" spans="1:1" ht="15" x14ac:dyDescent="0.2">
      <c r="A3580"/>
    </row>
    <row r="3581" spans="1:1" ht="15" x14ac:dyDescent="0.2">
      <c r="A3581"/>
    </row>
    <row r="3582" spans="1:1" ht="15" x14ac:dyDescent="0.2">
      <c r="A3582"/>
    </row>
    <row r="3583" spans="1:1" ht="15" x14ac:dyDescent="0.2">
      <c r="A3583"/>
    </row>
    <row r="3584" spans="1:1" ht="15" x14ac:dyDescent="0.2">
      <c r="A3584"/>
    </row>
    <row r="3585" spans="1:1" ht="15" x14ac:dyDescent="0.2">
      <c r="A3585"/>
    </row>
    <row r="3586" spans="1:1" ht="15" x14ac:dyDescent="0.2">
      <c r="A3586"/>
    </row>
    <row r="3587" spans="1:1" ht="15" x14ac:dyDescent="0.2">
      <c r="A3587"/>
    </row>
    <row r="3588" spans="1:1" ht="15" x14ac:dyDescent="0.2">
      <c r="A3588"/>
    </row>
    <row r="3589" spans="1:1" ht="15" x14ac:dyDescent="0.2">
      <c r="A3589"/>
    </row>
    <row r="3590" spans="1:1" ht="15" x14ac:dyDescent="0.2">
      <c r="A3590"/>
    </row>
    <row r="3591" spans="1:1" ht="15" x14ac:dyDescent="0.2">
      <c r="A3591"/>
    </row>
    <row r="3592" spans="1:1" ht="15" x14ac:dyDescent="0.2">
      <c r="A3592"/>
    </row>
    <row r="3593" spans="1:1" ht="15" x14ac:dyDescent="0.2">
      <c r="A3593"/>
    </row>
    <row r="3594" spans="1:1" ht="15" x14ac:dyDescent="0.2">
      <c r="A3594"/>
    </row>
    <row r="3595" spans="1:1" ht="15" x14ac:dyDescent="0.2">
      <c r="A3595"/>
    </row>
    <row r="3596" spans="1:1" ht="15" x14ac:dyDescent="0.2">
      <c r="A3596"/>
    </row>
    <row r="3597" spans="1:1" ht="15" x14ac:dyDescent="0.2">
      <c r="A3597"/>
    </row>
    <row r="3598" spans="1:1" ht="15" x14ac:dyDescent="0.2">
      <c r="A3598"/>
    </row>
    <row r="3599" spans="1:1" ht="15" x14ac:dyDescent="0.2">
      <c r="A3599"/>
    </row>
    <row r="3600" spans="1:1" ht="15" x14ac:dyDescent="0.2">
      <c r="A3600"/>
    </row>
    <row r="3601" spans="1:1" ht="15" x14ac:dyDescent="0.2">
      <c r="A3601"/>
    </row>
    <row r="3602" spans="1:1" ht="15" x14ac:dyDescent="0.2">
      <c r="A3602"/>
    </row>
    <row r="3603" spans="1:1" ht="15" x14ac:dyDescent="0.2">
      <c r="A3603"/>
    </row>
    <row r="3604" spans="1:1" ht="15" x14ac:dyDescent="0.2">
      <c r="A3604"/>
    </row>
    <row r="3605" spans="1:1" ht="15" x14ac:dyDescent="0.2">
      <c r="A3605"/>
    </row>
    <row r="3606" spans="1:1" ht="15" x14ac:dyDescent="0.2">
      <c r="A3606"/>
    </row>
    <row r="3607" spans="1:1" ht="15" x14ac:dyDescent="0.2">
      <c r="A3607"/>
    </row>
    <row r="3608" spans="1:1" ht="15" x14ac:dyDescent="0.2">
      <c r="A3608"/>
    </row>
    <row r="3609" spans="1:1" ht="15" x14ac:dyDescent="0.2">
      <c r="A3609"/>
    </row>
    <row r="3610" spans="1:1" ht="15" x14ac:dyDescent="0.2">
      <c r="A3610"/>
    </row>
    <row r="3611" spans="1:1" ht="15" x14ac:dyDescent="0.2">
      <c r="A3611"/>
    </row>
    <row r="3612" spans="1:1" ht="15" x14ac:dyDescent="0.2">
      <c r="A3612"/>
    </row>
    <row r="3613" spans="1:1" ht="15" x14ac:dyDescent="0.2">
      <c r="A3613"/>
    </row>
    <row r="3614" spans="1:1" ht="15" x14ac:dyDescent="0.2">
      <c r="A3614"/>
    </row>
    <row r="3615" spans="1:1" ht="15" x14ac:dyDescent="0.2">
      <c r="A3615"/>
    </row>
    <row r="3616" spans="1:1" ht="15" x14ac:dyDescent="0.2">
      <c r="A3616"/>
    </row>
    <row r="3617" spans="1:1" ht="15" x14ac:dyDescent="0.2">
      <c r="A3617"/>
    </row>
    <row r="3618" spans="1:1" ht="15" x14ac:dyDescent="0.2">
      <c r="A3618"/>
    </row>
    <row r="3619" spans="1:1" ht="15" x14ac:dyDescent="0.2">
      <c r="A3619"/>
    </row>
    <row r="3620" spans="1:1" ht="15" x14ac:dyDescent="0.2">
      <c r="A3620"/>
    </row>
    <row r="3621" spans="1:1" ht="15" x14ac:dyDescent="0.2">
      <c r="A3621"/>
    </row>
    <row r="3622" spans="1:1" ht="15" x14ac:dyDescent="0.2">
      <c r="A3622"/>
    </row>
    <row r="3623" spans="1:1" ht="15" x14ac:dyDescent="0.2">
      <c r="A3623"/>
    </row>
    <row r="3624" spans="1:1" ht="15" x14ac:dyDescent="0.2">
      <c r="A3624"/>
    </row>
    <row r="3625" spans="1:1" ht="15" x14ac:dyDescent="0.2">
      <c r="A3625"/>
    </row>
    <row r="3626" spans="1:1" ht="15" x14ac:dyDescent="0.2">
      <c r="A3626"/>
    </row>
    <row r="3627" spans="1:1" ht="15" x14ac:dyDescent="0.2">
      <c r="A3627"/>
    </row>
    <row r="3628" spans="1:1" ht="15" x14ac:dyDescent="0.2">
      <c r="A3628"/>
    </row>
    <row r="3629" spans="1:1" ht="15" x14ac:dyDescent="0.2">
      <c r="A3629"/>
    </row>
    <row r="3630" spans="1:1" ht="15" x14ac:dyDescent="0.2">
      <c r="A3630"/>
    </row>
    <row r="3631" spans="1:1" ht="15" x14ac:dyDescent="0.2">
      <c r="A3631"/>
    </row>
    <row r="3632" spans="1:1" ht="15" x14ac:dyDescent="0.2">
      <c r="A3632"/>
    </row>
    <row r="3633" spans="1:1" ht="15" x14ac:dyDescent="0.2">
      <c r="A3633"/>
    </row>
    <row r="3634" spans="1:1" ht="15" x14ac:dyDescent="0.2">
      <c r="A3634"/>
    </row>
    <row r="3635" spans="1:1" ht="15" x14ac:dyDescent="0.2">
      <c r="A3635"/>
    </row>
    <row r="3636" spans="1:1" ht="15" x14ac:dyDescent="0.2">
      <c r="A3636"/>
    </row>
    <row r="3637" spans="1:1" ht="15" x14ac:dyDescent="0.2">
      <c r="A3637"/>
    </row>
    <row r="3638" spans="1:1" ht="15" x14ac:dyDescent="0.2">
      <c r="A3638"/>
    </row>
    <row r="3639" spans="1:1" ht="15" x14ac:dyDescent="0.2">
      <c r="A3639"/>
    </row>
    <row r="3640" spans="1:1" ht="15" x14ac:dyDescent="0.2">
      <c r="A3640"/>
    </row>
    <row r="3641" spans="1:1" ht="15" x14ac:dyDescent="0.2">
      <c r="A3641"/>
    </row>
    <row r="3642" spans="1:1" ht="15" x14ac:dyDescent="0.2">
      <c r="A3642"/>
    </row>
    <row r="3643" spans="1:1" ht="15" x14ac:dyDescent="0.2">
      <c r="A3643"/>
    </row>
    <row r="3644" spans="1:1" ht="15" x14ac:dyDescent="0.2">
      <c r="A3644"/>
    </row>
    <row r="3645" spans="1:1" ht="15" x14ac:dyDescent="0.2">
      <c r="A3645"/>
    </row>
    <row r="3646" spans="1:1" ht="15" x14ac:dyDescent="0.2">
      <c r="A3646"/>
    </row>
    <row r="3647" spans="1:1" ht="15" x14ac:dyDescent="0.2">
      <c r="A3647"/>
    </row>
    <row r="3648" spans="1:1" ht="15" x14ac:dyDescent="0.2">
      <c r="A3648"/>
    </row>
    <row r="3649" spans="1:1" ht="15" x14ac:dyDescent="0.2">
      <c r="A3649"/>
    </row>
    <row r="3650" spans="1:1" ht="15" x14ac:dyDescent="0.2">
      <c r="A3650"/>
    </row>
    <row r="3651" spans="1:1" ht="15" x14ac:dyDescent="0.2">
      <c r="A3651"/>
    </row>
    <row r="3652" spans="1:1" ht="15" x14ac:dyDescent="0.2">
      <c r="A3652"/>
    </row>
    <row r="3653" spans="1:1" ht="15" x14ac:dyDescent="0.2">
      <c r="A3653"/>
    </row>
    <row r="3654" spans="1:1" ht="15" x14ac:dyDescent="0.2">
      <c r="A3654"/>
    </row>
    <row r="3655" spans="1:1" ht="15" x14ac:dyDescent="0.2">
      <c r="A3655"/>
    </row>
    <row r="3656" spans="1:1" ht="15" x14ac:dyDescent="0.2">
      <c r="A3656"/>
    </row>
    <row r="3657" spans="1:1" ht="15" x14ac:dyDescent="0.2">
      <c r="A3657"/>
    </row>
    <row r="3658" spans="1:1" ht="15" x14ac:dyDescent="0.2">
      <c r="A3658"/>
    </row>
    <row r="3659" spans="1:1" ht="15" x14ac:dyDescent="0.2">
      <c r="A3659"/>
    </row>
    <row r="3660" spans="1:1" ht="15" x14ac:dyDescent="0.2">
      <c r="A3660"/>
    </row>
    <row r="3661" spans="1:1" ht="15" x14ac:dyDescent="0.2">
      <c r="A3661"/>
    </row>
    <row r="3662" spans="1:1" ht="15" x14ac:dyDescent="0.2">
      <c r="A3662"/>
    </row>
    <row r="3663" spans="1:1" ht="15" x14ac:dyDescent="0.2">
      <c r="A3663"/>
    </row>
    <row r="3664" spans="1:1" ht="15" x14ac:dyDescent="0.2">
      <c r="A3664"/>
    </row>
    <row r="3665" spans="1:1" ht="15" x14ac:dyDescent="0.2">
      <c r="A3665"/>
    </row>
    <row r="3666" spans="1:1" ht="15" x14ac:dyDescent="0.2">
      <c r="A3666"/>
    </row>
    <row r="3667" spans="1:1" ht="15" x14ac:dyDescent="0.2">
      <c r="A3667"/>
    </row>
    <row r="3668" spans="1:1" ht="15" x14ac:dyDescent="0.2">
      <c r="A3668"/>
    </row>
    <row r="3669" spans="1:1" ht="15" x14ac:dyDescent="0.2">
      <c r="A3669"/>
    </row>
    <row r="3670" spans="1:1" ht="15" x14ac:dyDescent="0.2">
      <c r="A3670"/>
    </row>
    <row r="3671" spans="1:1" ht="15" x14ac:dyDescent="0.2">
      <c r="A3671"/>
    </row>
    <row r="3672" spans="1:1" ht="15" x14ac:dyDescent="0.2">
      <c r="A3672"/>
    </row>
    <row r="3673" spans="1:1" ht="15" x14ac:dyDescent="0.2">
      <c r="A3673"/>
    </row>
    <row r="3674" spans="1:1" ht="15" x14ac:dyDescent="0.2">
      <c r="A3674"/>
    </row>
    <row r="3675" spans="1:1" ht="15" x14ac:dyDescent="0.2">
      <c r="A3675"/>
    </row>
    <row r="3676" spans="1:1" ht="15" x14ac:dyDescent="0.2">
      <c r="A3676"/>
    </row>
    <row r="3677" spans="1:1" ht="15" x14ac:dyDescent="0.2">
      <c r="A3677"/>
    </row>
    <row r="3678" spans="1:1" ht="15" x14ac:dyDescent="0.2">
      <c r="A3678"/>
    </row>
    <row r="3679" spans="1:1" ht="15" x14ac:dyDescent="0.2">
      <c r="A3679"/>
    </row>
    <row r="3680" spans="1:1" ht="15" x14ac:dyDescent="0.2">
      <c r="A3680"/>
    </row>
    <row r="3681" spans="1:1" ht="15" x14ac:dyDescent="0.2">
      <c r="A3681"/>
    </row>
    <row r="3682" spans="1:1" ht="15" x14ac:dyDescent="0.2">
      <c r="A3682"/>
    </row>
    <row r="3683" spans="1:1" ht="15" x14ac:dyDescent="0.2">
      <c r="A3683"/>
    </row>
    <row r="3684" spans="1:1" ht="15" x14ac:dyDescent="0.2">
      <c r="A3684"/>
    </row>
    <row r="3685" spans="1:1" ht="15" x14ac:dyDescent="0.2">
      <c r="A3685"/>
    </row>
    <row r="3686" spans="1:1" ht="15" x14ac:dyDescent="0.2">
      <c r="A3686"/>
    </row>
    <row r="3687" spans="1:1" ht="15" x14ac:dyDescent="0.2">
      <c r="A3687"/>
    </row>
    <row r="3688" spans="1:1" ht="15" x14ac:dyDescent="0.2">
      <c r="A3688"/>
    </row>
    <row r="3689" spans="1:1" ht="15" x14ac:dyDescent="0.2">
      <c r="A3689"/>
    </row>
    <row r="3690" spans="1:1" ht="15" x14ac:dyDescent="0.2">
      <c r="A3690"/>
    </row>
    <row r="3691" spans="1:1" ht="15" x14ac:dyDescent="0.2">
      <c r="A3691"/>
    </row>
    <row r="3692" spans="1:1" ht="15" x14ac:dyDescent="0.2">
      <c r="A3692"/>
    </row>
    <row r="3693" spans="1:1" ht="15" x14ac:dyDescent="0.2">
      <c r="A3693"/>
    </row>
    <row r="3694" spans="1:1" ht="15" x14ac:dyDescent="0.2">
      <c r="A3694"/>
    </row>
    <row r="3695" spans="1:1" ht="15" x14ac:dyDescent="0.2">
      <c r="A3695"/>
    </row>
    <row r="3696" spans="1:1" ht="15" x14ac:dyDescent="0.2">
      <c r="A3696"/>
    </row>
    <row r="3697" spans="1:1" ht="15" x14ac:dyDescent="0.2">
      <c r="A3697"/>
    </row>
    <row r="3698" spans="1:1" ht="15" x14ac:dyDescent="0.2">
      <c r="A3698"/>
    </row>
    <row r="3699" spans="1:1" ht="15" x14ac:dyDescent="0.2">
      <c r="A3699"/>
    </row>
    <row r="3700" spans="1:1" ht="15" x14ac:dyDescent="0.2">
      <c r="A3700"/>
    </row>
    <row r="3701" spans="1:1" ht="15" x14ac:dyDescent="0.2">
      <c r="A3701"/>
    </row>
    <row r="3702" spans="1:1" ht="15" x14ac:dyDescent="0.2">
      <c r="A3702"/>
    </row>
    <row r="3703" spans="1:1" ht="15" x14ac:dyDescent="0.2">
      <c r="A3703"/>
    </row>
    <row r="3704" spans="1:1" ht="15" x14ac:dyDescent="0.2">
      <c r="A3704"/>
    </row>
    <row r="3705" spans="1:1" ht="15" x14ac:dyDescent="0.2">
      <c r="A3705"/>
    </row>
    <row r="3706" spans="1:1" ht="15" x14ac:dyDescent="0.2">
      <c r="A3706"/>
    </row>
    <row r="3707" spans="1:1" ht="15" x14ac:dyDescent="0.2">
      <c r="A3707"/>
    </row>
    <row r="3708" spans="1:1" ht="15" x14ac:dyDescent="0.2">
      <c r="A3708"/>
    </row>
    <row r="3709" spans="1:1" ht="15" x14ac:dyDescent="0.2">
      <c r="A3709"/>
    </row>
    <row r="3710" spans="1:1" ht="15" x14ac:dyDescent="0.2">
      <c r="A3710"/>
    </row>
    <row r="3711" spans="1:1" ht="15" x14ac:dyDescent="0.2">
      <c r="A3711"/>
    </row>
    <row r="3712" spans="1:1" ht="15" x14ac:dyDescent="0.2">
      <c r="A3712"/>
    </row>
    <row r="3713" spans="1:1" ht="15" x14ac:dyDescent="0.2">
      <c r="A3713"/>
    </row>
    <row r="3714" spans="1:1" ht="15" x14ac:dyDescent="0.2">
      <c r="A3714"/>
    </row>
    <row r="3715" spans="1:1" ht="15" x14ac:dyDescent="0.2">
      <c r="A3715"/>
    </row>
    <row r="3716" spans="1:1" ht="15" x14ac:dyDescent="0.2">
      <c r="A3716"/>
    </row>
    <row r="3717" spans="1:1" ht="15" x14ac:dyDescent="0.2">
      <c r="A3717"/>
    </row>
    <row r="3718" spans="1:1" ht="15" x14ac:dyDescent="0.2">
      <c r="A3718"/>
    </row>
    <row r="3719" spans="1:1" ht="15" x14ac:dyDescent="0.2">
      <c r="A3719"/>
    </row>
    <row r="3720" spans="1:1" ht="15" x14ac:dyDescent="0.2">
      <c r="A3720"/>
    </row>
    <row r="3721" spans="1:1" ht="15" x14ac:dyDescent="0.2">
      <c r="A3721"/>
    </row>
    <row r="3722" spans="1:1" ht="15" x14ac:dyDescent="0.2">
      <c r="A3722"/>
    </row>
    <row r="3723" spans="1:1" ht="15" x14ac:dyDescent="0.2">
      <c r="A3723"/>
    </row>
    <row r="3724" spans="1:1" ht="15" x14ac:dyDescent="0.2">
      <c r="A3724"/>
    </row>
    <row r="3725" spans="1:1" ht="15" x14ac:dyDescent="0.2">
      <c r="A3725"/>
    </row>
    <row r="3726" spans="1:1" ht="15" x14ac:dyDescent="0.2">
      <c r="A3726"/>
    </row>
    <row r="3727" spans="1:1" ht="15" x14ac:dyDescent="0.2">
      <c r="A3727"/>
    </row>
    <row r="3728" spans="1:1" ht="15" x14ac:dyDescent="0.2">
      <c r="A3728"/>
    </row>
    <row r="3729" spans="1:1" ht="15" x14ac:dyDescent="0.2">
      <c r="A3729"/>
    </row>
    <row r="3730" spans="1:1" ht="15" x14ac:dyDescent="0.2">
      <c r="A3730"/>
    </row>
    <row r="3731" spans="1:1" ht="15" x14ac:dyDescent="0.2">
      <c r="A3731"/>
    </row>
    <row r="3732" spans="1:1" ht="15" x14ac:dyDescent="0.2">
      <c r="A3732"/>
    </row>
    <row r="3733" spans="1:1" ht="15" x14ac:dyDescent="0.2">
      <c r="A3733"/>
    </row>
    <row r="3734" spans="1:1" ht="15" x14ac:dyDescent="0.2">
      <c r="A3734"/>
    </row>
    <row r="3735" spans="1:1" ht="15" x14ac:dyDescent="0.2">
      <c r="A3735"/>
    </row>
    <row r="3736" spans="1:1" ht="15" x14ac:dyDescent="0.2">
      <c r="A3736"/>
    </row>
    <row r="3737" spans="1:1" ht="15" x14ac:dyDescent="0.2">
      <c r="A3737"/>
    </row>
    <row r="3738" spans="1:1" ht="15" x14ac:dyDescent="0.2">
      <c r="A3738"/>
    </row>
    <row r="3739" spans="1:1" ht="15" x14ac:dyDescent="0.2">
      <c r="A3739"/>
    </row>
    <row r="3740" spans="1:1" ht="15" x14ac:dyDescent="0.2">
      <c r="A3740"/>
    </row>
    <row r="3741" spans="1:1" ht="15" x14ac:dyDescent="0.2">
      <c r="A3741"/>
    </row>
    <row r="3742" spans="1:1" ht="15" x14ac:dyDescent="0.2">
      <c r="A3742"/>
    </row>
    <row r="3743" spans="1:1" ht="15" x14ac:dyDescent="0.2">
      <c r="A3743"/>
    </row>
    <row r="3744" spans="1:1" ht="15" x14ac:dyDescent="0.2">
      <c r="A3744"/>
    </row>
    <row r="3745" spans="1:1" ht="15" x14ac:dyDescent="0.2">
      <c r="A3745"/>
    </row>
    <row r="3746" spans="1:1" ht="15" x14ac:dyDescent="0.2">
      <c r="A3746"/>
    </row>
    <row r="3747" spans="1:1" ht="15" x14ac:dyDescent="0.2">
      <c r="A3747"/>
    </row>
    <row r="3748" spans="1:1" ht="15" x14ac:dyDescent="0.2">
      <c r="A3748"/>
    </row>
    <row r="3749" spans="1:1" ht="15" x14ac:dyDescent="0.2">
      <c r="A3749"/>
    </row>
    <row r="3750" spans="1:1" ht="15" x14ac:dyDescent="0.2">
      <c r="A3750"/>
    </row>
    <row r="3751" spans="1:1" ht="15" x14ac:dyDescent="0.2">
      <c r="A3751"/>
    </row>
    <row r="3752" spans="1:1" ht="15" x14ac:dyDescent="0.2">
      <c r="A3752"/>
    </row>
    <row r="3753" spans="1:1" ht="15" x14ac:dyDescent="0.2">
      <c r="A3753"/>
    </row>
    <row r="3754" spans="1:1" ht="15" x14ac:dyDescent="0.2">
      <c r="A3754"/>
    </row>
    <row r="3755" spans="1:1" ht="15" x14ac:dyDescent="0.2">
      <c r="A3755"/>
    </row>
    <row r="3756" spans="1:1" ht="15" x14ac:dyDescent="0.2">
      <c r="A3756"/>
    </row>
    <row r="3757" spans="1:1" ht="15" x14ac:dyDescent="0.2">
      <c r="A3757"/>
    </row>
    <row r="3758" spans="1:1" ht="15" x14ac:dyDescent="0.2">
      <c r="A3758"/>
    </row>
    <row r="3759" spans="1:1" ht="15" x14ac:dyDescent="0.2">
      <c r="A3759"/>
    </row>
    <row r="3760" spans="1:1" ht="15" x14ac:dyDescent="0.2">
      <c r="A3760"/>
    </row>
    <row r="3761" spans="1:1" ht="15" x14ac:dyDescent="0.2">
      <c r="A3761"/>
    </row>
    <row r="3762" spans="1:1" ht="15" x14ac:dyDescent="0.2">
      <c r="A3762"/>
    </row>
    <row r="3763" spans="1:1" ht="15" x14ac:dyDescent="0.2">
      <c r="A3763"/>
    </row>
    <row r="3764" spans="1:1" ht="15" x14ac:dyDescent="0.2">
      <c r="A3764"/>
    </row>
    <row r="3765" spans="1:1" ht="15" x14ac:dyDescent="0.2">
      <c r="A3765"/>
    </row>
    <row r="3766" spans="1:1" ht="15" x14ac:dyDescent="0.2">
      <c r="A3766"/>
    </row>
    <row r="3767" spans="1:1" ht="15" x14ac:dyDescent="0.2">
      <c r="A3767"/>
    </row>
    <row r="3768" spans="1:1" ht="15" x14ac:dyDescent="0.2">
      <c r="A3768"/>
    </row>
    <row r="3769" spans="1:1" ht="15" x14ac:dyDescent="0.2">
      <c r="A3769"/>
    </row>
    <row r="3770" spans="1:1" ht="15" x14ac:dyDescent="0.2">
      <c r="A3770"/>
    </row>
    <row r="3771" spans="1:1" ht="15" x14ac:dyDescent="0.2">
      <c r="A3771"/>
    </row>
    <row r="3772" spans="1:1" ht="15" x14ac:dyDescent="0.2">
      <c r="A3772"/>
    </row>
    <row r="3773" spans="1:1" ht="15" x14ac:dyDescent="0.2">
      <c r="A3773"/>
    </row>
    <row r="3774" spans="1:1" ht="15" x14ac:dyDescent="0.2">
      <c r="A3774"/>
    </row>
    <row r="3775" spans="1:1" ht="15" x14ac:dyDescent="0.2">
      <c r="A3775"/>
    </row>
    <row r="3776" spans="1:1" ht="15" x14ac:dyDescent="0.2">
      <c r="A3776"/>
    </row>
    <row r="3777" spans="1:1" ht="15" x14ac:dyDescent="0.2">
      <c r="A3777"/>
    </row>
    <row r="3778" spans="1:1" ht="15" x14ac:dyDescent="0.2">
      <c r="A3778"/>
    </row>
    <row r="3779" spans="1:1" ht="15" x14ac:dyDescent="0.2">
      <c r="A3779"/>
    </row>
    <row r="3780" spans="1:1" ht="15" x14ac:dyDescent="0.2">
      <c r="A3780"/>
    </row>
    <row r="3781" spans="1:1" ht="15" x14ac:dyDescent="0.2">
      <c r="A3781"/>
    </row>
    <row r="3782" spans="1:1" ht="15" x14ac:dyDescent="0.2">
      <c r="A3782"/>
    </row>
    <row r="3783" spans="1:1" ht="15" x14ac:dyDescent="0.2">
      <c r="A3783"/>
    </row>
    <row r="3784" spans="1:1" ht="15" x14ac:dyDescent="0.2">
      <c r="A3784"/>
    </row>
    <row r="3785" spans="1:1" ht="15" x14ac:dyDescent="0.2">
      <c r="A3785"/>
    </row>
    <row r="3786" spans="1:1" ht="15" x14ac:dyDescent="0.2">
      <c r="A3786"/>
    </row>
    <row r="3787" spans="1:1" ht="15" x14ac:dyDescent="0.2">
      <c r="A3787"/>
    </row>
    <row r="3788" spans="1:1" ht="15" x14ac:dyDescent="0.2">
      <c r="A3788"/>
    </row>
    <row r="3789" spans="1:1" ht="15" x14ac:dyDescent="0.2">
      <c r="A3789"/>
    </row>
    <row r="3790" spans="1:1" ht="15" x14ac:dyDescent="0.2">
      <c r="A3790"/>
    </row>
    <row r="3791" spans="1:1" ht="15" x14ac:dyDescent="0.2">
      <c r="A3791"/>
    </row>
    <row r="3792" spans="1:1" ht="15" x14ac:dyDescent="0.2">
      <c r="A3792"/>
    </row>
    <row r="3793" spans="1:1" ht="15" x14ac:dyDescent="0.2">
      <c r="A3793"/>
    </row>
    <row r="3794" spans="1:1" ht="15" x14ac:dyDescent="0.2">
      <c r="A3794"/>
    </row>
    <row r="3795" spans="1:1" ht="15" x14ac:dyDescent="0.2">
      <c r="A3795"/>
    </row>
    <row r="3796" spans="1:1" ht="15" x14ac:dyDescent="0.2">
      <c r="A3796"/>
    </row>
    <row r="3797" spans="1:1" ht="15" x14ac:dyDescent="0.2">
      <c r="A3797"/>
    </row>
    <row r="3798" spans="1:1" ht="15" x14ac:dyDescent="0.2">
      <c r="A3798"/>
    </row>
    <row r="3799" spans="1:1" ht="15" x14ac:dyDescent="0.2">
      <c r="A3799"/>
    </row>
    <row r="3800" spans="1:1" ht="15" x14ac:dyDescent="0.2">
      <c r="A3800"/>
    </row>
    <row r="3801" spans="1:1" ht="15" x14ac:dyDescent="0.2">
      <c r="A3801"/>
    </row>
    <row r="3802" spans="1:1" ht="15" x14ac:dyDescent="0.2">
      <c r="A3802"/>
    </row>
    <row r="3803" spans="1:1" ht="15" x14ac:dyDescent="0.2">
      <c r="A3803"/>
    </row>
    <row r="3804" spans="1:1" ht="15" x14ac:dyDescent="0.2">
      <c r="A3804"/>
    </row>
    <row r="3805" spans="1:1" ht="15" x14ac:dyDescent="0.2">
      <c r="A3805"/>
    </row>
    <row r="3806" spans="1:1" ht="15" x14ac:dyDescent="0.2">
      <c r="A3806"/>
    </row>
    <row r="3807" spans="1:1" ht="15" x14ac:dyDescent="0.2">
      <c r="A3807"/>
    </row>
    <row r="3808" spans="1:1" ht="15" x14ac:dyDescent="0.2">
      <c r="A3808"/>
    </row>
    <row r="3809" spans="1:1" ht="15" x14ac:dyDescent="0.2">
      <c r="A3809"/>
    </row>
    <row r="3810" spans="1:1" ht="15" x14ac:dyDescent="0.2">
      <c r="A3810"/>
    </row>
    <row r="3811" spans="1:1" ht="15" x14ac:dyDescent="0.2">
      <c r="A3811"/>
    </row>
    <row r="3812" spans="1:1" ht="15" x14ac:dyDescent="0.2">
      <c r="A3812"/>
    </row>
    <row r="3813" spans="1:1" ht="15" x14ac:dyDescent="0.2">
      <c r="A3813"/>
    </row>
    <row r="3814" spans="1:1" ht="15" x14ac:dyDescent="0.2">
      <c r="A3814"/>
    </row>
    <row r="3815" spans="1:1" ht="15" x14ac:dyDescent="0.2">
      <c r="A3815"/>
    </row>
    <row r="3816" spans="1:1" ht="15" x14ac:dyDescent="0.2">
      <c r="A3816"/>
    </row>
    <row r="3817" spans="1:1" ht="15" x14ac:dyDescent="0.2">
      <c r="A3817"/>
    </row>
    <row r="3818" spans="1:1" ht="15" x14ac:dyDescent="0.2">
      <c r="A3818"/>
    </row>
    <row r="3819" spans="1:1" ht="15" x14ac:dyDescent="0.2">
      <c r="A3819"/>
    </row>
    <row r="3820" spans="1:1" ht="15" x14ac:dyDescent="0.2">
      <c r="A3820"/>
    </row>
    <row r="3821" spans="1:1" ht="15" x14ac:dyDescent="0.2">
      <c r="A3821"/>
    </row>
    <row r="3822" spans="1:1" ht="15" x14ac:dyDescent="0.2">
      <c r="A3822"/>
    </row>
    <row r="3823" spans="1:1" ht="15" x14ac:dyDescent="0.2">
      <c r="A3823"/>
    </row>
    <row r="3824" spans="1:1" ht="15" x14ac:dyDescent="0.2">
      <c r="A3824"/>
    </row>
    <row r="3825" spans="1:1" ht="15" x14ac:dyDescent="0.2">
      <c r="A3825"/>
    </row>
    <row r="3826" spans="1:1" ht="15" x14ac:dyDescent="0.2">
      <c r="A3826"/>
    </row>
    <row r="3827" spans="1:1" ht="15" x14ac:dyDescent="0.2">
      <c r="A3827"/>
    </row>
    <row r="3828" spans="1:1" ht="15" x14ac:dyDescent="0.2">
      <c r="A3828"/>
    </row>
    <row r="3829" spans="1:1" ht="15" x14ac:dyDescent="0.2">
      <c r="A3829"/>
    </row>
    <row r="3830" spans="1:1" ht="15" x14ac:dyDescent="0.2">
      <c r="A3830"/>
    </row>
    <row r="3831" spans="1:1" ht="15" x14ac:dyDescent="0.2">
      <c r="A3831"/>
    </row>
    <row r="3832" spans="1:1" ht="15" x14ac:dyDescent="0.2">
      <c r="A3832"/>
    </row>
    <row r="3833" spans="1:1" ht="15" x14ac:dyDescent="0.2">
      <c r="A3833"/>
    </row>
    <row r="3834" spans="1:1" ht="15" x14ac:dyDescent="0.2">
      <c r="A3834"/>
    </row>
    <row r="3835" spans="1:1" ht="15" x14ac:dyDescent="0.2">
      <c r="A3835"/>
    </row>
    <row r="3836" spans="1:1" ht="15" x14ac:dyDescent="0.2">
      <c r="A3836"/>
    </row>
    <row r="3837" spans="1:1" ht="15" x14ac:dyDescent="0.2">
      <c r="A3837"/>
    </row>
    <row r="3838" spans="1:1" ht="15" x14ac:dyDescent="0.2">
      <c r="A3838"/>
    </row>
    <row r="3839" spans="1:1" ht="15" x14ac:dyDescent="0.2">
      <c r="A3839"/>
    </row>
    <row r="3840" spans="1:1" ht="15" x14ac:dyDescent="0.2">
      <c r="A3840"/>
    </row>
    <row r="3841" spans="1:1" ht="15" x14ac:dyDescent="0.2">
      <c r="A3841"/>
    </row>
    <row r="3842" spans="1:1" ht="15" x14ac:dyDescent="0.2">
      <c r="A3842"/>
    </row>
    <row r="3843" spans="1:1" ht="15" x14ac:dyDescent="0.2">
      <c r="A3843"/>
    </row>
    <row r="3844" spans="1:1" ht="15" x14ac:dyDescent="0.2">
      <c r="A3844"/>
    </row>
    <row r="3845" spans="1:1" ht="15" x14ac:dyDescent="0.2">
      <c r="A3845"/>
    </row>
    <row r="3846" spans="1:1" ht="15" x14ac:dyDescent="0.2">
      <c r="A3846"/>
    </row>
    <row r="3847" spans="1:1" ht="15" x14ac:dyDescent="0.2">
      <c r="A3847"/>
    </row>
    <row r="3848" spans="1:1" ht="15" x14ac:dyDescent="0.2">
      <c r="A3848"/>
    </row>
    <row r="3849" spans="1:1" ht="15" x14ac:dyDescent="0.2">
      <c r="A3849"/>
    </row>
    <row r="3850" spans="1:1" ht="15" x14ac:dyDescent="0.2">
      <c r="A3850"/>
    </row>
    <row r="3851" spans="1:1" ht="15" x14ac:dyDescent="0.2">
      <c r="A3851"/>
    </row>
    <row r="3852" spans="1:1" ht="15" x14ac:dyDescent="0.2">
      <c r="A3852"/>
    </row>
    <row r="3853" spans="1:1" ht="15" x14ac:dyDescent="0.2">
      <c r="A3853"/>
    </row>
    <row r="3854" spans="1:1" ht="15" x14ac:dyDescent="0.2">
      <c r="A3854"/>
    </row>
    <row r="3855" spans="1:1" ht="15" x14ac:dyDescent="0.2">
      <c r="A3855"/>
    </row>
    <row r="3856" spans="1:1" ht="15" x14ac:dyDescent="0.2">
      <c r="A3856"/>
    </row>
    <row r="3857" spans="1:1" ht="15" x14ac:dyDescent="0.2">
      <c r="A3857"/>
    </row>
    <row r="3858" spans="1:1" ht="15" x14ac:dyDescent="0.2">
      <c r="A3858"/>
    </row>
    <row r="3859" spans="1:1" ht="15" x14ac:dyDescent="0.2">
      <c r="A3859"/>
    </row>
    <row r="3860" spans="1:1" ht="15" x14ac:dyDescent="0.2">
      <c r="A3860"/>
    </row>
    <row r="3861" spans="1:1" ht="15" x14ac:dyDescent="0.2">
      <c r="A3861"/>
    </row>
    <row r="3862" spans="1:1" ht="15" x14ac:dyDescent="0.2">
      <c r="A3862"/>
    </row>
    <row r="3863" spans="1:1" ht="15" x14ac:dyDescent="0.2">
      <c r="A3863"/>
    </row>
    <row r="3864" spans="1:1" ht="15" x14ac:dyDescent="0.2">
      <c r="A3864"/>
    </row>
    <row r="3865" spans="1:1" ht="15" x14ac:dyDescent="0.2">
      <c r="A3865"/>
    </row>
    <row r="3866" spans="1:1" ht="15" x14ac:dyDescent="0.2">
      <c r="A3866"/>
    </row>
    <row r="3867" spans="1:1" ht="15" x14ac:dyDescent="0.2">
      <c r="A3867"/>
    </row>
    <row r="3868" spans="1:1" ht="15" x14ac:dyDescent="0.2">
      <c r="A3868"/>
    </row>
    <row r="3869" spans="1:1" ht="15" x14ac:dyDescent="0.2">
      <c r="A3869"/>
    </row>
    <row r="3870" spans="1:1" ht="15" x14ac:dyDescent="0.2">
      <c r="A3870"/>
    </row>
    <row r="3871" spans="1:1" ht="15" x14ac:dyDescent="0.2">
      <c r="A3871"/>
    </row>
    <row r="3872" spans="1:1" ht="15" x14ac:dyDescent="0.2">
      <c r="A3872"/>
    </row>
    <row r="3873" spans="1:1" ht="15" x14ac:dyDescent="0.2">
      <c r="A3873"/>
    </row>
    <row r="3874" spans="1:1" ht="15" x14ac:dyDescent="0.2">
      <c r="A3874"/>
    </row>
    <row r="3875" spans="1:1" ht="15" x14ac:dyDescent="0.2">
      <c r="A3875"/>
    </row>
    <row r="3876" spans="1:1" ht="15" x14ac:dyDescent="0.2">
      <c r="A3876"/>
    </row>
    <row r="3877" spans="1:1" ht="15" x14ac:dyDescent="0.2">
      <c r="A3877"/>
    </row>
    <row r="3878" spans="1:1" ht="15" x14ac:dyDescent="0.2">
      <c r="A3878"/>
    </row>
    <row r="3879" spans="1:1" ht="15" x14ac:dyDescent="0.2">
      <c r="A3879"/>
    </row>
    <row r="3880" spans="1:1" ht="15" x14ac:dyDescent="0.2">
      <c r="A3880"/>
    </row>
    <row r="3881" spans="1:1" ht="15" x14ac:dyDescent="0.2">
      <c r="A3881"/>
    </row>
    <row r="3882" spans="1:1" ht="15" x14ac:dyDescent="0.2">
      <c r="A3882"/>
    </row>
    <row r="3883" spans="1:1" ht="15" x14ac:dyDescent="0.2">
      <c r="A3883"/>
    </row>
    <row r="3884" spans="1:1" ht="15" x14ac:dyDescent="0.2">
      <c r="A3884"/>
    </row>
    <row r="3885" spans="1:1" ht="15" x14ac:dyDescent="0.2">
      <c r="A3885"/>
    </row>
    <row r="3886" spans="1:1" ht="15" x14ac:dyDescent="0.2">
      <c r="A3886"/>
    </row>
    <row r="3887" spans="1:1" ht="15" x14ac:dyDescent="0.2">
      <c r="A3887"/>
    </row>
    <row r="3888" spans="1:1" ht="15" x14ac:dyDescent="0.2">
      <c r="A3888"/>
    </row>
    <row r="3889" spans="1:1" ht="15" x14ac:dyDescent="0.2">
      <c r="A3889"/>
    </row>
    <row r="3890" spans="1:1" ht="15" x14ac:dyDescent="0.2">
      <c r="A3890"/>
    </row>
    <row r="3891" spans="1:1" ht="15" x14ac:dyDescent="0.2">
      <c r="A3891"/>
    </row>
    <row r="3892" spans="1:1" ht="15" x14ac:dyDescent="0.2">
      <c r="A3892"/>
    </row>
    <row r="3893" spans="1:1" ht="15" x14ac:dyDescent="0.2">
      <c r="A3893"/>
    </row>
    <row r="3894" spans="1:1" ht="15" x14ac:dyDescent="0.2">
      <c r="A3894"/>
    </row>
    <row r="3895" spans="1:1" ht="15" x14ac:dyDescent="0.2">
      <c r="A3895"/>
    </row>
    <row r="3896" spans="1:1" ht="15" x14ac:dyDescent="0.2">
      <c r="A3896"/>
    </row>
    <row r="3897" spans="1:1" ht="15" x14ac:dyDescent="0.2">
      <c r="A3897"/>
    </row>
    <row r="3898" spans="1:1" ht="15" x14ac:dyDescent="0.2">
      <c r="A3898"/>
    </row>
    <row r="3899" spans="1:1" ht="15" x14ac:dyDescent="0.2">
      <c r="A3899"/>
    </row>
    <row r="3900" spans="1:1" ht="15" x14ac:dyDescent="0.2">
      <c r="A3900"/>
    </row>
    <row r="3901" spans="1:1" ht="15" x14ac:dyDescent="0.2">
      <c r="A3901"/>
    </row>
    <row r="3902" spans="1:1" ht="15" x14ac:dyDescent="0.2">
      <c r="A3902"/>
    </row>
    <row r="3903" spans="1:1" ht="15" x14ac:dyDescent="0.2">
      <c r="A3903"/>
    </row>
    <row r="3904" spans="1:1" ht="15" x14ac:dyDescent="0.2">
      <c r="A3904"/>
    </row>
    <row r="3905" spans="1:1" ht="15" x14ac:dyDescent="0.2">
      <c r="A3905"/>
    </row>
    <row r="3906" spans="1:1" ht="15" x14ac:dyDescent="0.2">
      <c r="A3906"/>
    </row>
    <row r="3907" spans="1:1" ht="15" x14ac:dyDescent="0.2">
      <c r="A3907"/>
    </row>
    <row r="3908" spans="1:1" ht="15" x14ac:dyDescent="0.2">
      <c r="A3908"/>
    </row>
    <row r="3909" spans="1:1" ht="15" x14ac:dyDescent="0.2">
      <c r="A3909"/>
    </row>
    <row r="3910" spans="1:1" ht="15" x14ac:dyDescent="0.2">
      <c r="A3910"/>
    </row>
    <row r="3911" spans="1:1" ht="15" x14ac:dyDescent="0.2">
      <c r="A3911"/>
    </row>
    <row r="3912" spans="1:1" ht="15" x14ac:dyDescent="0.2">
      <c r="A3912"/>
    </row>
    <row r="3913" spans="1:1" ht="15" x14ac:dyDescent="0.2">
      <c r="A3913"/>
    </row>
    <row r="3914" spans="1:1" ht="15" x14ac:dyDescent="0.2">
      <c r="A3914"/>
    </row>
    <row r="3915" spans="1:1" ht="15" x14ac:dyDescent="0.2">
      <c r="A3915"/>
    </row>
    <row r="3916" spans="1:1" ht="15" x14ac:dyDescent="0.2">
      <c r="A3916"/>
    </row>
    <row r="3917" spans="1:1" ht="15" x14ac:dyDescent="0.2">
      <c r="A3917"/>
    </row>
    <row r="3918" spans="1:1" ht="15" x14ac:dyDescent="0.2">
      <c r="A3918"/>
    </row>
    <row r="3919" spans="1:1" ht="15" x14ac:dyDescent="0.2">
      <c r="A3919"/>
    </row>
    <row r="3920" spans="1:1" ht="15" x14ac:dyDescent="0.2">
      <c r="A3920"/>
    </row>
    <row r="3921" spans="1:1" ht="15" x14ac:dyDescent="0.2">
      <c r="A3921"/>
    </row>
    <row r="3922" spans="1:1" ht="15" x14ac:dyDescent="0.2">
      <c r="A3922"/>
    </row>
    <row r="3923" spans="1:1" ht="15" x14ac:dyDescent="0.2">
      <c r="A3923"/>
    </row>
    <row r="3924" spans="1:1" ht="15" x14ac:dyDescent="0.2">
      <c r="A3924"/>
    </row>
    <row r="3925" spans="1:1" ht="15" x14ac:dyDescent="0.2">
      <c r="A3925"/>
    </row>
    <row r="3926" spans="1:1" ht="15" x14ac:dyDescent="0.2">
      <c r="A3926"/>
    </row>
    <row r="3927" spans="1:1" ht="15" x14ac:dyDescent="0.2">
      <c r="A3927"/>
    </row>
    <row r="3928" spans="1:1" ht="15" x14ac:dyDescent="0.2">
      <c r="A3928"/>
    </row>
    <row r="3929" spans="1:1" ht="15" x14ac:dyDescent="0.2">
      <c r="A3929"/>
    </row>
    <row r="3930" spans="1:1" ht="15" x14ac:dyDescent="0.2">
      <c r="A3930"/>
    </row>
    <row r="3931" spans="1:1" ht="15" x14ac:dyDescent="0.2">
      <c r="A3931"/>
    </row>
    <row r="3932" spans="1:1" ht="15" x14ac:dyDescent="0.2">
      <c r="A3932"/>
    </row>
    <row r="3933" spans="1:1" ht="15" x14ac:dyDescent="0.2">
      <c r="A3933"/>
    </row>
    <row r="3934" spans="1:1" ht="15" x14ac:dyDescent="0.2">
      <c r="A3934"/>
    </row>
    <row r="3935" spans="1:1" ht="15" x14ac:dyDescent="0.2">
      <c r="A3935"/>
    </row>
    <row r="3936" spans="1:1" ht="15" x14ac:dyDescent="0.2">
      <c r="A3936"/>
    </row>
    <row r="3937" spans="1:1" ht="15" x14ac:dyDescent="0.2">
      <c r="A3937"/>
    </row>
    <row r="3938" spans="1:1" ht="15" x14ac:dyDescent="0.2">
      <c r="A3938"/>
    </row>
    <row r="3939" spans="1:1" ht="15" x14ac:dyDescent="0.2">
      <c r="A3939"/>
    </row>
    <row r="3940" spans="1:1" ht="15" x14ac:dyDescent="0.2">
      <c r="A3940"/>
    </row>
    <row r="3941" spans="1:1" ht="15" x14ac:dyDescent="0.2">
      <c r="A3941"/>
    </row>
    <row r="3942" spans="1:1" ht="15" x14ac:dyDescent="0.2">
      <c r="A3942"/>
    </row>
    <row r="3943" spans="1:1" ht="15" x14ac:dyDescent="0.2">
      <c r="A3943"/>
    </row>
    <row r="3944" spans="1:1" ht="15" x14ac:dyDescent="0.2">
      <c r="A3944"/>
    </row>
    <row r="3945" spans="1:1" ht="15" x14ac:dyDescent="0.2">
      <c r="A3945"/>
    </row>
    <row r="3946" spans="1:1" ht="15" x14ac:dyDescent="0.2">
      <c r="A3946"/>
    </row>
    <row r="3947" spans="1:1" ht="15" x14ac:dyDescent="0.2">
      <c r="A3947"/>
    </row>
    <row r="3948" spans="1:1" ht="15" x14ac:dyDescent="0.2">
      <c r="A3948"/>
    </row>
    <row r="3949" spans="1:1" ht="15" x14ac:dyDescent="0.2">
      <c r="A3949"/>
    </row>
    <row r="3950" spans="1:1" ht="15" x14ac:dyDescent="0.2">
      <c r="A3950"/>
    </row>
    <row r="3951" spans="1:1" ht="15" x14ac:dyDescent="0.2">
      <c r="A3951"/>
    </row>
    <row r="3952" spans="1:1" ht="15" x14ac:dyDescent="0.2">
      <c r="A3952"/>
    </row>
    <row r="3953" spans="1:1" ht="15" x14ac:dyDescent="0.2">
      <c r="A3953"/>
    </row>
    <row r="3954" spans="1:1" ht="15" x14ac:dyDescent="0.2">
      <c r="A3954"/>
    </row>
    <row r="3955" spans="1:1" ht="15" x14ac:dyDescent="0.2">
      <c r="A3955"/>
    </row>
    <row r="3956" spans="1:1" ht="15" x14ac:dyDescent="0.2">
      <c r="A3956"/>
    </row>
    <row r="3957" spans="1:1" ht="15" x14ac:dyDescent="0.2">
      <c r="A3957"/>
    </row>
    <row r="3958" spans="1:1" ht="15" x14ac:dyDescent="0.2">
      <c r="A3958"/>
    </row>
    <row r="3959" spans="1:1" ht="15" x14ac:dyDescent="0.2">
      <c r="A3959"/>
    </row>
    <row r="3960" spans="1:1" ht="15" x14ac:dyDescent="0.2">
      <c r="A3960"/>
    </row>
    <row r="3961" spans="1:1" ht="15" x14ac:dyDescent="0.2">
      <c r="A3961"/>
    </row>
    <row r="3962" spans="1:1" ht="15" x14ac:dyDescent="0.2">
      <c r="A3962"/>
    </row>
    <row r="3963" spans="1:1" ht="15" x14ac:dyDescent="0.2">
      <c r="A3963"/>
    </row>
    <row r="3964" spans="1:1" ht="15" x14ac:dyDescent="0.2">
      <c r="A3964"/>
    </row>
    <row r="3965" spans="1:1" ht="15" x14ac:dyDescent="0.2">
      <c r="A3965"/>
    </row>
    <row r="3966" spans="1:1" ht="15" x14ac:dyDescent="0.2">
      <c r="A3966"/>
    </row>
    <row r="3967" spans="1:1" ht="15" x14ac:dyDescent="0.2">
      <c r="A3967"/>
    </row>
    <row r="3968" spans="1:1" ht="15" x14ac:dyDescent="0.2">
      <c r="A3968"/>
    </row>
    <row r="3969" spans="1:1" ht="15" x14ac:dyDescent="0.2">
      <c r="A3969"/>
    </row>
    <row r="3970" spans="1:1" ht="15" x14ac:dyDescent="0.2">
      <c r="A3970"/>
    </row>
    <row r="3971" spans="1:1" ht="15" x14ac:dyDescent="0.2">
      <c r="A3971"/>
    </row>
    <row r="3972" spans="1:1" ht="15" x14ac:dyDescent="0.2">
      <c r="A3972"/>
    </row>
    <row r="3973" spans="1:1" ht="15" x14ac:dyDescent="0.2">
      <c r="A3973"/>
    </row>
    <row r="3974" spans="1:1" ht="15" x14ac:dyDescent="0.2">
      <c r="A3974"/>
    </row>
    <row r="3975" spans="1:1" ht="15" x14ac:dyDescent="0.2">
      <c r="A3975"/>
    </row>
    <row r="3976" spans="1:1" ht="15" x14ac:dyDescent="0.2">
      <c r="A3976"/>
    </row>
    <row r="3977" spans="1:1" ht="15" x14ac:dyDescent="0.2">
      <c r="A3977"/>
    </row>
    <row r="3978" spans="1:1" ht="15" x14ac:dyDescent="0.2">
      <c r="A3978"/>
    </row>
    <row r="3979" spans="1:1" ht="15" x14ac:dyDescent="0.2">
      <c r="A3979"/>
    </row>
    <row r="3980" spans="1:1" ht="15" x14ac:dyDescent="0.2">
      <c r="A3980"/>
    </row>
    <row r="3981" spans="1:1" ht="15" x14ac:dyDescent="0.2">
      <c r="A3981"/>
    </row>
    <row r="3982" spans="1:1" ht="15" x14ac:dyDescent="0.2">
      <c r="A3982"/>
    </row>
    <row r="3983" spans="1:1" ht="15" x14ac:dyDescent="0.2">
      <c r="A3983"/>
    </row>
    <row r="3984" spans="1:1" ht="15" x14ac:dyDescent="0.2">
      <c r="A3984"/>
    </row>
    <row r="3985" spans="1:1" ht="15" x14ac:dyDescent="0.2">
      <c r="A3985"/>
    </row>
    <row r="3986" spans="1:1" ht="15" x14ac:dyDescent="0.2">
      <c r="A3986"/>
    </row>
    <row r="3987" spans="1:1" ht="15" x14ac:dyDescent="0.2">
      <c r="A3987"/>
    </row>
    <row r="3988" spans="1:1" ht="15" x14ac:dyDescent="0.2">
      <c r="A3988"/>
    </row>
    <row r="3989" spans="1:1" ht="15" x14ac:dyDescent="0.2">
      <c r="A3989"/>
    </row>
    <row r="3990" spans="1:1" ht="15" x14ac:dyDescent="0.2">
      <c r="A3990"/>
    </row>
    <row r="3991" spans="1:1" ht="15" x14ac:dyDescent="0.2">
      <c r="A3991"/>
    </row>
    <row r="3992" spans="1:1" ht="15" x14ac:dyDescent="0.2">
      <c r="A3992"/>
    </row>
    <row r="3993" spans="1:1" ht="15" x14ac:dyDescent="0.2">
      <c r="A3993"/>
    </row>
    <row r="3994" spans="1:1" ht="15" x14ac:dyDescent="0.2">
      <c r="A3994"/>
    </row>
    <row r="3995" spans="1:1" ht="15" x14ac:dyDescent="0.2">
      <c r="A3995"/>
    </row>
    <row r="3996" spans="1:1" ht="15" x14ac:dyDescent="0.2">
      <c r="A3996"/>
    </row>
    <row r="3997" spans="1:1" ht="15" x14ac:dyDescent="0.2">
      <c r="A3997"/>
    </row>
    <row r="3998" spans="1:1" ht="15" x14ac:dyDescent="0.2">
      <c r="A3998"/>
    </row>
    <row r="3999" spans="1:1" ht="15" x14ac:dyDescent="0.2">
      <c r="A3999"/>
    </row>
    <row r="4000" spans="1:1" ht="15" x14ac:dyDescent="0.2">
      <c r="A4000"/>
    </row>
    <row r="4001" spans="1:1" ht="15" x14ac:dyDescent="0.2">
      <c r="A4001"/>
    </row>
    <row r="4002" spans="1:1" ht="15" x14ac:dyDescent="0.2">
      <c r="A4002"/>
    </row>
    <row r="4003" spans="1:1" ht="15" x14ac:dyDescent="0.2">
      <c r="A4003"/>
    </row>
    <row r="4004" spans="1:1" ht="15" x14ac:dyDescent="0.2">
      <c r="A4004"/>
    </row>
    <row r="4005" spans="1:1" ht="15" x14ac:dyDescent="0.2">
      <c r="A4005"/>
    </row>
    <row r="4006" spans="1:1" ht="15" x14ac:dyDescent="0.2">
      <c r="A4006"/>
    </row>
    <row r="4007" spans="1:1" ht="15" x14ac:dyDescent="0.2">
      <c r="A4007"/>
    </row>
    <row r="4008" spans="1:1" ht="15" x14ac:dyDescent="0.2">
      <c r="A4008"/>
    </row>
    <row r="4009" spans="1:1" ht="15" x14ac:dyDescent="0.2">
      <c r="A4009"/>
    </row>
    <row r="4010" spans="1:1" ht="15" x14ac:dyDescent="0.2">
      <c r="A4010"/>
    </row>
    <row r="4011" spans="1:1" ht="15" x14ac:dyDescent="0.2">
      <c r="A4011"/>
    </row>
    <row r="4012" spans="1:1" ht="15" x14ac:dyDescent="0.2">
      <c r="A4012"/>
    </row>
    <row r="4013" spans="1:1" ht="15" x14ac:dyDescent="0.2">
      <c r="A4013"/>
    </row>
    <row r="4014" spans="1:1" ht="15" x14ac:dyDescent="0.2">
      <c r="A4014"/>
    </row>
    <row r="4015" spans="1:1" ht="15" x14ac:dyDescent="0.2">
      <c r="A4015"/>
    </row>
    <row r="4016" spans="1:1" ht="15" x14ac:dyDescent="0.2">
      <c r="A4016"/>
    </row>
    <row r="4017" spans="1:1" ht="15" x14ac:dyDescent="0.2">
      <c r="A4017"/>
    </row>
    <row r="4018" spans="1:1" ht="15" x14ac:dyDescent="0.2">
      <c r="A4018"/>
    </row>
    <row r="4019" spans="1:1" ht="15" x14ac:dyDescent="0.2">
      <c r="A4019"/>
    </row>
    <row r="4020" spans="1:1" ht="15" x14ac:dyDescent="0.2">
      <c r="A4020"/>
    </row>
    <row r="4021" spans="1:1" ht="15" x14ac:dyDescent="0.2">
      <c r="A4021"/>
    </row>
    <row r="4022" spans="1:1" ht="15" x14ac:dyDescent="0.2">
      <c r="A4022"/>
    </row>
    <row r="4023" spans="1:1" ht="15" x14ac:dyDescent="0.2">
      <c r="A4023"/>
    </row>
    <row r="4024" spans="1:1" ht="15" x14ac:dyDescent="0.2">
      <c r="A4024"/>
    </row>
    <row r="4025" spans="1:1" ht="15" x14ac:dyDescent="0.2">
      <c r="A4025"/>
    </row>
    <row r="4026" spans="1:1" ht="15" x14ac:dyDescent="0.2">
      <c r="A4026"/>
    </row>
    <row r="4027" spans="1:1" ht="15" x14ac:dyDescent="0.2">
      <c r="A4027"/>
    </row>
    <row r="4028" spans="1:1" ht="15" x14ac:dyDescent="0.2">
      <c r="A4028"/>
    </row>
    <row r="4029" spans="1:1" ht="15" x14ac:dyDescent="0.2">
      <c r="A4029"/>
    </row>
    <row r="4030" spans="1:1" ht="15" x14ac:dyDescent="0.2">
      <c r="A4030"/>
    </row>
    <row r="4031" spans="1:1" ht="15" x14ac:dyDescent="0.2">
      <c r="A4031"/>
    </row>
    <row r="4032" spans="1:1" ht="15" x14ac:dyDescent="0.2">
      <c r="A4032"/>
    </row>
    <row r="4033" spans="1:1" ht="15" x14ac:dyDescent="0.2">
      <c r="A4033"/>
    </row>
    <row r="4034" spans="1:1" ht="15" x14ac:dyDescent="0.2">
      <c r="A4034"/>
    </row>
    <row r="4035" spans="1:1" ht="15" x14ac:dyDescent="0.2">
      <c r="A4035"/>
    </row>
    <row r="4036" spans="1:1" ht="15" x14ac:dyDescent="0.2">
      <c r="A4036"/>
    </row>
    <row r="4037" spans="1:1" ht="15" x14ac:dyDescent="0.2">
      <c r="A4037"/>
    </row>
    <row r="4038" spans="1:1" ht="15" x14ac:dyDescent="0.2">
      <c r="A4038"/>
    </row>
    <row r="4039" spans="1:1" ht="15" x14ac:dyDescent="0.2">
      <c r="A4039"/>
    </row>
    <row r="4040" spans="1:1" ht="15" x14ac:dyDescent="0.2">
      <c r="A4040"/>
    </row>
    <row r="4041" spans="1:1" ht="15" x14ac:dyDescent="0.2">
      <c r="A4041"/>
    </row>
    <row r="4042" spans="1:1" ht="15" x14ac:dyDescent="0.2">
      <c r="A4042"/>
    </row>
    <row r="4043" spans="1:1" ht="15" x14ac:dyDescent="0.2">
      <c r="A4043"/>
    </row>
    <row r="4044" spans="1:1" ht="15" x14ac:dyDescent="0.2">
      <c r="A4044"/>
    </row>
    <row r="4045" spans="1:1" ht="15" x14ac:dyDescent="0.2">
      <c r="A4045"/>
    </row>
    <row r="4046" spans="1:1" ht="15" x14ac:dyDescent="0.2">
      <c r="A4046"/>
    </row>
    <row r="4047" spans="1:1" ht="15" x14ac:dyDescent="0.2">
      <c r="A4047"/>
    </row>
    <row r="4048" spans="1:1" ht="15" x14ac:dyDescent="0.2">
      <c r="A4048"/>
    </row>
    <row r="4049" spans="1:1" ht="15" x14ac:dyDescent="0.2">
      <c r="A4049"/>
    </row>
    <row r="4050" spans="1:1" ht="15" x14ac:dyDescent="0.2">
      <c r="A4050"/>
    </row>
    <row r="4051" spans="1:1" ht="15" x14ac:dyDescent="0.2">
      <c r="A4051"/>
    </row>
    <row r="4052" spans="1:1" ht="15" x14ac:dyDescent="0.2">
      <c r="A4052"/>
    </row>
    <row r="4053" spans="1:1" ht="15" x14ac:dyDescent="0.2">
      <c r="A4053"/>
    </row>
    <row r="4054" spans="1:1" ht="15" x14ac:dyDescent="0.2">
      <c r="A4054"/>
    </row>
    <row r="4055" spans="1:1" ht="15" x14ac:dyDescent="0.2">
      <c r="A4055"/>
    </row>
    <row r="4056" spans="1:1" ht="15" x14ac:dyDescent="0.2">
      <c r="A4056"/>
    </row>
    <row r="4057" spans="1:1" ht="15" x14ac:dyDescent="0.2">
      <c r="A4057"/>
    </row>
    <row r="4058" spans="1:1" ht="15" x14ac:dyDescent="0.2">
      <c r="A4058"/>
    </row>
    <row r="4059" spans="1:1" ht="15" x14ac:dyDescent="0.2">
      <c r="A4059"/>
    </row>
    <row r="4060" spans="1:1" ht="15" x14ac:dyDescent="0.2">
      <c r="A4060"/>
    </row>
    <row r="4061" spans="1:1" ht="15" x14ac:dyDescent="0.2">
      <c r="A4061"/>
    </row>
    <row r="4062" spans="1:1" ht="15" x14ac:dyDescent="0.2">
      <c r="A4062"/>
    </row>
    <row r="4063" spans="1:1" ht="15" x14ac:dyDescent="0.2">
      <c r="A4063"/>
    </row>
    <row r="4064" spans="1:1" ht="15" x14ac:dyDescent="0.2">
      <c r="A4064"/>
    </row>
    <row r="4065" spans="1:1" ht="15" x14ac:dyDescent="0.2">
      <c r="A4065"/>
    </row>
    <row r="4066" spans="1:1" ht="15" x14ac:dyDescent="0.2">
      <c r="A4066"/>
    </row>
    <row r="4067" spans="1:1" ht="15" x14ac:dyDescent="0.2">
      <c r="A4067"/>
    </row>
    <row r="4068" spans="1:1" ht="15" x14ac:dyDescent="0.2">
      <c r="A4068"/>
    </row>
    <row r="4069" spans="1:1" ht="15" x14ac:dyDescent="0.2">
      <c r="A4069"/>
    </row>
    <row r="4070" spans="1:1" ht="15" x14ac:dyDescent="0.2">
      <c r="A4070"/>
    </row>
    <row r="4071" spans="1:1" ht="15" x14ac:dyDescent="0.2">
      <c r="A4071"/>
    </row>
    <row r="4072" spans="1:1" ht="15" x14ac:dyDescent="0.2">
      <c r="A4072"/>
    </row>
    <row r="4073" spans="1:1" ht="15" x14ac:dyDescent="0.2">
      <c r="A4073"/>
    </row>
    <row r="4074" spans="1:1" ht="15" x14ac:dyDescent="0.2">
      <c r="A4074"/>
    </row>
    <row r="4075" spans="1:1" ht="15" x14ac:dyDescent="0.2">
      <c r="A4075"/>
    </row>
    <row r="4076" spans="1:1" ht="15" x14ac:dyDescent="0.2">
      <c r="A4076"/>
    </row>
    <row r="4077" spans="1:1" ht="15" x14ac:dyDescent="0.2">
      <c r="A4077"/>
    </row>
    <row r="4078" spans="1:1" ht="15" x14ac:dyDescent="0.2">
      <c r="A4078"/>
    </row>
    <row r="4079" spans="1:1" ht="15" x14ac:dyDescent="0.2">
      <c r="A4079"/>
    </row>
    <row r="4080" spans="1:1" ht="15" x14ac:dyDescent="0.2">
      <c r="A4080"/>
    </row>
    <row r="4081" spans="1:1" ht="15" x14ac:dyDescent="0.2">
      <c r="A4081"/>
    </row>
    <row r="4082" spans="1:1" ht="15" x14ac:dyDescent="0.2">
      <c r="A4082"/>
    </row>
    <row r="4083" spans="1:1" ht="15" x14ac:dyDescent="0.2">
      <c r="A4083"/>
    </row>
    <row r="4084" spans="1:1" ht="15" x14ac:dyDescent="0.2">
      <c r="A4084"/>
    </row>
    <row r="4085" spans="1:1" ht="15" x14ac:dyDescent="0.2">
      <c r="A4085"/>
    </row>
    <row r="4086" spans="1:1" ht="15" x14ac:dyDescent="0.2">
      <c r="A4086"/>
    </row>
    <row r="4087" spans="1:1" ht="15" x14ac:dyDescent="0.2">
      <c r="A4087"/>
    </row>
    <row r="4088" spans="1:1" ht="15" x14ac:dyDescent="0.2">
      <c r="A4088"/>
    </row>
    <row r="4089" spans="1:1" ht="15" x14ac:dyDescent="0.2">
      <c r="A4089"/>
    </row>
    <row r="4090" spans="1:1" ht="15" x14ac:dyDescent="0.2">
      <c r="A4090"/>
    </row>
    <row r="4091" spans="1:1" ht="15" x14ac:dyDescent="0.2">
      <c r="A4091"/>
    </row>
    <row r="4092" spans="1:1" ht="15" x14ac:dyDescent="0.2">
      <c r="A4092"/>
    </row>
    <row r="4093" spans="1:1" ht="15" x14ac:dyDescent="0.2">
      <c r="A4093"/>
    </row>
    <row r="4094" spans="1:1" ht="15" x14ac:dyDescent="0.2">
      <c r="A4094"/>
    </row>
    <row r="4095" spans="1:1" ht="15" x14ac:dyDescent="0.2">
      <c r="A4095"/>
    </row>
    <row r="4096" spans="1:1" ht="15" x14ac:dyDescent="0.2">
      <c r="A4096"/>
    </row>
    <row r="4097" spans="1:1" ht="15" x14ac:dyDescent="0.2">
      <c r="A4097"/>
    </row>
    <row r="4098" spans="1:1" ht="15" x14ac:dyDescent="0.2">
      <c r="A4098"/>
    </row>
    <row r="4099" spans="1:1" ht="15" x14ac:dyDescent="0.2">
      <c r="A4099"/>
    </row>
    <row r="4100" spans="1:1" ht="15" x14ac:dyDescent="0.2">
      <c r="A4100"/>
    </row>
    <row r="4101" spans="1:1" ht="15" x14ac:dyDescent="0.2">
      <c r="A4101"/>
    </row>
    <row r="4102" spans="1:1" ht="15" x14ac:dyDescent="0.2">
      <c r="A4102"/>
    </row>
    <row r="4103" spans="1:1" ht="15" x14ac:dyDescent="0.2">
      <c r="A4103"/>
    </row>
    <row r="4104" spans="1:1" ht="15" x14ac:dyDescent="0.2">
      <c r="A4104"/>
    </row>
    <row r="4105" spans="1:1" ht="15" x14ac:dyDescent="0.2">
      <c r="A4105"/>
    </row>
    <row r="4106" spans="1:1" ht="15" x14ac:dyDescent="0.2">
      <c r="A4106"/>
    </row>
    <row r="4107" spans="1:1" ht="15" x14ac:dyDescent="0.2">
      <c r="A4107"/>
    </row>
    <row r="4108" spans="1:1" ht="15" x14ac:dyDescent="0.2">
      <c r="A4108"/>
    </row>
    <row r="4109" spans="1:1" ht="15" x14ac:dyDescent="0.2">
      <c r="A4109"/>
    </row>
    <row r="4110" spans="1:1" ht="15" x14ac:dyDescent="0.2">
      <c r="A4110"/>
    </row>
    <row r="4111" spans="1:1" ht="15" x14ac:dyDescent="0.2">
      <c r="A4111"/>
    </row>
    <row r="4112" spans="1:1" ht="15" x14ac:dyDescent="0.2">
      <c r="A4112"/>
    </row>
    <row r="4113" spans="1:1" ht="15" x14ac:dyDescent="0.2">
      <c r="A4113"/>
    </row>
    <row r="4114" spans="1:1" ht="15" x14ac:dyDescent="0.2">
      <c r="A4114"/>
    </row>
    <row r="4115" spans="1:1" ht="15" x14ac:dyDescent="0.2">
      <c r="A4115"/>
    </row>
    <row r="4116" spans="1:1" ht="15" x14ac:dyDescent="0.2">
      <c r="A4116"/>
    </row>
    <row r="4117" spans="1:1" ht="15" x14ac:dyDescent="0.2">
      <c r="A4117"/>
    </row>
    <row r="4118" spans="1:1" ht="15" x14ac:dyDescent="0.2">
      <c r="A4118"/>
    </row>
    <row r="4119" spans="1:1" ht="15" x14ac:dyDescent="0.2">
      <c r="A4119"/>
    </row>
    <row r="4120" spans="1:1" ht="15" x14ac:dyDescent="0.2">
      <c r="A4120"/>
    </row>
    <row r="4121" spans="1:1" ht="15" x14ac:dyDescent="0.2">
      <c r="A4121"/>
    </row>
    <row r="4122" spans="1:1" ht="15" x14ac:dyDescent="0.2">
      <c r="A4122"/>
    </row>
    <row r="4123" spans="1:1" ht="15" x14ac:dyDescent="0.2">
      <c r="A4123"/>
    </row>
    <row r="4124" spans="1:1" ht="15" x14ac:dyDescent="0.2">
      <c r="A4124"/>
    </row>
    <row r="4125" spans="1:1" ht="15" x14ac:dyDescent="0.2">
      <c r="A4125"/>
    </row>
    <row r="4126" spans="1:1" ht="15" x14ac:dyDescent="0.2">
      <c r="A4126"/>
    </row>
    <row r="4127" spans="1:1" ht="15" x14ac:dyDescent="0.2">
      <c r="A4127"/>
    </row>
    <row r="4128" spans="1:1" ht="15" x14ac:dyDescent="0.2">
      <c r="A4128"/>
    </row>
    <row r="4129" spans="1:1" ht="15" x14ac:dyDescent="0.2">
      <c r="A4129"/>
    </row>
    <row r="4130" spans="1:1" ht="15" x14ac:dyDescent="0.2">
      <c r="A4130"/>
    </row>
    <row r="4131" spans="1:1" ht="15" x14ac:dyDescent="0.2">
      <c r="A4131"/>
    </row>
    <row r="4132" spans="1:1" ht="15" x14ac:dyDescent="0.2">
      <c r="A4132"/>
    </row>
    <row r="4133" spans="1:1" ht="15" x14ac:dyDescent="0.2">
      <c r="A4133"/>
    </row>
    <row r="4134" spans="1:1" ht="15" x14ac:dyDescent="0.2">
      <c r="A4134"/>
    </row>
    <row r="4135" spans="1:1" ht="15" x14ac:dyDescent="0.2">
      <c r="A4135"/>
    </row>
    <row r="4136" spans="1:1" ht="15" x14ac:dyDescent="0.2">
      <c r="A4136"/>
    </row>
    <row r="4137" spans="1:1" ht="15" x14ac:dyDescent="0.2">
      <c r="A4137"/>
    </row>
    <row r="4138" spans="1:1" ht="15" x14ac:dyDescent="0.2">
      <c r="A4138"/>
    </row>
    <row r="4139" spans="1:1" ht="15" x14ac:dyDescent="0.2">
      <c r="A4139"/>
    </row>
    <row r="4140" spans="1:1" ht="15" x14ac:dyDescent="0.2">
      <c r="A4140"/>
    </row>
    <row r="4141" spans="1:1" ht="15" x14ac:dyDescent="0.2">
      <c r="A4141"/>
    </row>
    <row r="4142" spans="1:1" ht="15" x14ac:dyDescent="0.2">
      <c r="A4142"/>
    </row>
    <row r="4143" spans="1:1" ht="15" x14ac:dyDescent="0.2">
      <c r="A4143"/>
    </row>
    <row r="4144" spans="1:1" ht="15" x14ac:dyDescent="0.2">
      <c r="A4144"/>
    </row>
    <row r="4145" spans="1:1" ht="15" x14ac:dyDescent="0.2">
      <c r="A4145"/>
    </row>
    <row r="4146" spans="1:1" ht="15" x14ac:dyDescent="0.2">
      <c r="A4146"/>
    </row>
    <row r="4147" spans="1:1" ht="15" x14ac:dyDescent="0.2">
      <c r="A4147"/>
    </row>
    <row r="4148" spans="1:1" ht="15" x14ac:dyDescent="0.2">
      <c r="A4148"/>
    </row>
    <row r="4149" spans="1:1" ht="15" x14ac:dyDescent="0.2">
      <c r="A4149"/>
    </row>
    <row r="4150" spans="1:1" ht="15" x14ac:dyDescent="0.2">
      <c r="A4150"/>
    </row>
    <row r="4151" spans="1:1" ht="15" x14ac:dyDescent="0.2">
      <c r="A4151"/>
    </row>
    <row r="4152" spans="1:1" ht="15" x14ac:dyDescent="0.2">
      <c r="A4152"/>
    </row>
    <row r="4153" spans="1:1" ht="15" x14ac:dyDescent="0.2">
      <c r="A4153"/>
    </row>
    <row r="4154" spans="1:1" ht="15" x14ac:dyDescent="0.2">
      <c r="A4154"/>
    </row>
    <row r="4155" spans="1:1" ht="15" x14ac:dyDescent="0.2">
      <c r="A4155"/>
    </row>
    <row r="4156" spans="1:1" ht="15" x14ac:dyDescent="0.2">
      <c r="A4156"/>
    </row>
    <row r="4157" spans="1:1" ht="15" x14ac:dyDescent="0.2">
      <c r="A4157"/>
    </row>
    <row r="4158" spans="1:1" ht="15" x14ac:dyDescent="0.2">
      <c r="A4158"/>
    </row>
    <row r="4159" spans="1:1" ht="15" x14ac:dyDescent="0.2">
      <c r="A4159"/>
    </row>
    <row r="4160" spans="1:1" ht="15" x14ac:dyDescent="0.2">
      <c r="A4160"/>
    </row>
    <row r="4161" spans="1:1" ht="15" x14ac:dyDescent="0.2">
      <c r="A4161"/>
    </row>
    <row r="4162" spans="1:1" ht="15" x14ac:dyDescent="0.2">
      <c r="A4162"/>
    </row>
    <row r="4163" spans="1:1" ht="15" x14ac:dyDescent="0.2">
      <c r="A4163"/>
    </row>
    <row r="4164" spans="1:1" ht="15" x14ac:dyDescent="0.2">
      <c r="A4164"/>
    </row>
    <row r="4165" spans="1:1" ht="15" x14ac:dyDescent="0.2">
      <c r="A4165"/>
    </row>
    <row r="4166" spans="1:1" ht="15" x14ac:dyDescent="0.2">
      <c r="A4166"/>
    </row>
    <row r="4167" spans="1:1" ht="15" x14ac:dyDescent="0.2">
      <c r="A4167"/>
    </row>
    <row r="4168" spans="1:1" ht="15" x14ac:dyDescent="0.2">
      <c r="A4168"/>
    </row>
    <row r="4169" spans="1:1" ht="15" x14ac:dyDescent="0.2">
      <c r="A4169"/>
    </row>
    <row r="4170" spans="1:1" ht="15" x14ac:dyDescent="0.2">
      <c r="A4170"/>
    </row>
    <row r="4171" spans="1:1" ht="15" x14ac:dyDescent="0.2">
      <c r="A4171"/>
    </row>
    <row r="4172" spans="1:1" ht="15" x14ac:dyDescent="0.2">
      <c r="A4172"/>
    </row>
    <row r="4173" spans="1:1" ht="15" x14ac:dyDescent="0.2">
      <c r="A4173"/>
    </row>
    <row r="4174" spans="1:1" ht="15" x14ac:dyDescent="0.2">
      <c r="A4174"/>
    </row>
    <row r="4175" spans="1:1" ht="15" x14ac:dyDescent="0.2">
      <c r="A4175"/>
    </row>
    <row r="4176" spans="1:1" ht="15" x14ac:dyDescent="0.2">
      <c r="A4176"/>
    </row>
    <row r="4177" spans="1:1" ht="15" x14ac:dyDescent="0.2">
      <c r="A4177"/>
    </row>
    <row r="4178" spans="1:1" ht="15" x14ac:dyDescent="0.2">
      <c r="A4178"/>
    </row>
    <row r="4179" spans="1:1" ht="15" x14ac:dyDescent="0.2">
      <c r="A4179"/>
    </row>
    <row r="4180" spans="1:1" ht="15" x14ac:dyDescent="0.2">
      <c r="A4180"/>
    </row>
    <row r="4181" spans="1:1" ht="15" x14ac:dyDescent="0.2">
      <c r="A4181"/>
    </row>
    <row r="4182" spans="1:1" ht="15" x14ac:dyDescent="0.2">
      <c r="A4182"/>
    </row>
    <row r="4183" spans="1:1" ht="15" x14ac:dyDescent="0.2">
      <c r="A4183"/>
    </row>
    <row r="4184" spans="1:1" ht="15" x14ac:dyDescent="0.2">
      <c r="A4184"/>
    </row>
    <row r="4185" spans="1:1" ht="15" x14ac:dyDescent="0.2">
      <c r="A4185"/>
    </row>
    <row r="4186" spans="1:1" ht="15" x14ac:dyDescent="0.2">
      <c r="A4186"/>
    </row>
    <row r="4187" spans="1:1" ht="15" x14ac:dyDescent="0.2">
      <c r="A4187"/>
    </row>
    <row r="4188" spans="1:1" ht="15" x14ac:dyDescent="0.2">
      <c r="A4188"/>
    </row>
    <row r="4189" spans="1:1" ht="15" x14ac:dyDescent="0.2">
      <c r="A4189"/>
    </row>
    <row r="4190" spans="1:1" ht="15" x14ac:dyDescent="0.2">
      <c r="A4190"/>
    </row>
    <row r="4191" spans="1:1" ht="15" x14ac:dyDescent="0.2">
      <c r="A4191"/>
    </row>
    <row r="4192" spans="1:1" ht="15" x14ac:dyDescent="0.2">
      <c r="A4192"/>
    </row>
    <row r="4193" spans="1:1" ht="15" x14ac:dyDescent="0.2">
      <c r="A4193"/>
    </row>
    <row r="4194" spans="1:1" ht="15" x14ac:dyDescent="0.2">
      <c r="A4194"/>
    </row>
    <row r="4195" spans="1:1" ht="15" x14ac:dyDescent="0.2">
      <c r="A4195"/>
    </row>
    <row r="4196" spans="1:1" ht="15" x14ac:dyDescent="0.2">
      <c r="A4196"/>
    </row>
    <row r="4197" spans="1:1" ht="15" x14ac:dyDescent="0.2">
      <c r="A4197"/>
    </row>
    <row r="4198" spans="1:1" ht="15" x14ac:dyDescent="0.2">
      <c r="A4198"/>
    </row>
    <row r="4199" spans="1:1" ht="15" x14ac:dyDescent="0.2">
      <c r="A4199"/>
    </row>
    <row r="4200" spans="1:1" ht="15" x14ac:dyDescent="0.2">
      <c r="A4200"/>
    </row>
    <row r="4201" spans="1:1" ht="15" x14ac:dyDescent="0.2">
      <c r="A4201"/>
    </row>
    <row r="4202" spans="1:1" ht="15" x14ac:dyDescent="0.2">
      <c r="A4202"/>
    </row>
    <row r="4203" spans="1:1" ht="15" x14ac:dyDescent="0.2">
      <c r="A4203"/>
    </row>
    <row r="4204" spans="1:1" ht="15" x14ac:dyDescent="0.2">
      <c r="A4204"/>
    </row>
    <row r="4205" spans="1:1" ht="15" x14ac:dyDescent="0.2">
      <c r="A4205"/>
    </row>
    <row r="4206" spans="1:1" ht="15" x14ac:dyDescent="0.2">
      <c r="A4206"/>
    </row>
    <row r="4207" spans="1:1" ht="15" x14ac:dyDescent="0.2">
      <c r="A4207"/>
    </row>
    <row r="4208" spans="1:1" ht="15" x14ac:dyDescent="0.2">
      <c r="A4208"/>
    </row>
    <row r="4209" spans="1:1" ht="15" x14ac:dyDescent="0.2">
      <c r="A4209"/>
    </row>
    <row r="4210" spans="1:1" ht="15" x14ac:dyDescent="0.2">
      <c r="A4210"/>
    </row>
    <row r="4211" spans="1:1" ht="15" x14ac:dyDescent="0.2">
      <c r="A4211"/>
    </row>
    <row r="4212" spans="1:1" ht="15" x14ac:dyDescent="0.2">
      <c r="A4212"/>
    </row>
    <row r="4213" spans="1:1" ht="15" x14ac:dyDescent="0.2">
      <c r="A4213"/>
    </row>
    <row r="4214" spans="1:1" ht="15" x14ac:dyDescent="0.2">
      <c r="A4214"/>
    </row>
    <row r="4215" spans="1:1" ht="15" x14ac:dyDescent="0.2">
      <c r="A4215"/>
    </row>
    <row r="4216" spans="1:1" ht="15" x14ac:dyDescent="0.2">
      <c r="A4216"/>
    </row>
    <row r="4217" spans="1:1" ht="15" x14ac:dyDescent="0.2">
      <c r="A4217"/>
    </row>
    <row r="4218" spans="1:1" ht="15" x14ac:dyDescent="0.2">
      <c r="A4218"/>
    </row>
    <row r="4219" spans="1:1" ht="15" x14ac:dyDescent="0.2">
      <c r="A4219"/>
    </row>
    <row r="4220" spans="1:1" ht="15" x14ac:dyDescent="0.2">
      <c r="A4220"/>
    </row>
    <row r="4221" spans="1:1" ht="15" x14ac:dyDescent="0.2">
      <c r="A4221"/>
    </row>
    <row r="4222" spans="1:1" ht="15" x14ac:dyDescent="0.2">
      <c r="A4222"/>
    </row>
    <row r="4223" spans="1:1" ht="15" x14ac:dyDescent="0.2">
      <c r="A4223"/>
    </row>
    <row r="4224" spans="1:1" ht="15" x14ac:dyDescent="0.2">
      <c r="A4224"/>
    </row>
    <row r="4225" spans="1:1" ht="15" x14ac:dyDescent="0.2">
      <c r="A4225"/>
    </row>
    <row r="4226" spans="1:1" ht="15" x14ac:dyDescent="0.2">
      <c r="A4226"/>
    </row>
    <row r="4227" spans="1:1" ht="15" x14ac:dyDescent="0.2">
      <c r="A4227"/>
    </row>
    <row r="4228" spans="1:1" ht="15" x14ac:dyDescent="0.2">
      <c r="A4228"/>
    </row>
    <row r="4229" spans="1:1" ht="15" x14ac:dyDescent="0.2">
      <c r="A4229"/>
    </row>
    <row r="4230" spans="1:1" ht="15" x14ac:dyDescent="0.2">
      <c r="A4230"/>
    </row>
    <row r="4231" spans="1:1" ht="15" x14ac:dyDescent="0.2">
      <c r="A4231"/>
    </row>
    <row r="4232" spans="1:1" ht="15" x14ac:dyDescent="0.2">
      <c r="A4232"/>
    </row>
    <row r="4233" spans="1:1" ht="15" x14ac:dyDescent="0.2">
      <c r="A4233"/>
    </row>
    <row r="4234" spans="1:1" ht="15" x14ac:dyDescent="0.2">
      <c r="A4234"/>
    </row>
    <row r="4235" spans="1:1" ht="15" x14ac:dyDescent="0.2">
      <c r="A4235"/>
    </row>
    <row r="4236" spans="1:1" ht="15" x14ac:dyDescent="0.2">
      <c r="A4236"/>
    </row>
    <row r="4237" spans="1:1" ht="15" x14ac:dyDescent="0.2">
      <c r="A4237"/>
    </row>
    <row r="4238" spans="1:1" ht="15" x14ac:dyDescent="0.2">
      <c r="A4238"/>
    </row>
    <row r="4239" spans="1:1" ht="15" x14ac:dyDescent="0.2">
      <c r="A4239"/>
    </row>
    <row r="4240" spans="1:1" ht="15" x14ac:dyDescent="0.2">
      <c r="A4240"/>
    </row>
    <row r="4241" spans="1:1" ht="15" x14ac:dyDescent="0.2">
      <c r="A4241"/>
    </row>
    <row r="4242" spans="1:1" ht="15" x14ac:dyDescent="0.2">
      <c r="A4242"/>
    </row>
    <row r="4243" spans="1:1" ht="15" x14ac:dyDescent="0.2">
      <c r="A4243"/>
    </row>
    <row r="4244" spans="1:1" ht="15" x14ac:dyDescent="0.2">
      <c r="A4244"/>
    </row>
    <row r="4245" spans="1:1" ht="15" x14ac:dyDescent="0.2">
      <c r="A4245"/>
    </row>
    <row r="4246" spans="1:1" ht="15" x14ac:dyDescent="0.2">
      <c r="A4246"/>
    </row>
    <row r="4247" spans="1:1" ht="15" x14ac:dyDescent="0.2">
      <c r="A4247"/>
    </row>
    <row r="4248" spans="1:1" ht="15" x14ac:dyDescent="0.2">
      <c r="A4248"/>
    </row>
    <row r="4249" spans="1:1" ht="15" x14ac:dyDescent="0.2">
      <c r="A4249"/>
    </row>
    <row r="4250" spans="1:1" ht="15" x14ac:dyDescent="0.2">
      <c r="A4250"/>
    </row>
    <row r="4251" spans="1:1" ht="15" x14ac:dyDescent="0.2">
      <c r="A4251"/>
    </row>
    <row r="4252" spans="1:1" ht="15" x14ac:dyDescent="0.2">
      <c r="A4252"/>
    </row>
    <row r="4253" spans="1:1" ht="15" x14ac:dyDescent="0.2">
      <c r="A4253"/>
    </row>
    <row r="4254" spans="1:1" ht="15" x14ac:dyDescent="0.2">
      <c r="A4254"/>
    </row>
    <row r="4255" spans="1:1" ht="15" x14ac:dyDescent="0.2">
      <c r="A4255"/>
    </row>
    <row r="4256" spans="1:1" ht="15" x14ac:dyDescent="0.2">
      <c r="A4256"/>
    </row>
    <row r="4257" spans="1:1" ht="15" x14ac:dyDescent="0.2">
      <c r="A4257"/>
    </row>
    <row r="4258" spans="1:1" ht="15" x14ac:dyDescent="0.2">
      <c r="A4258"/>
    </row>
    <row r="4259" spans="1:1" ht="15" x14ac:dyDescent="0.2">
      <c r="A4259"/>
    </row>
    <row r="4260" spans="1:1" ht="15" x14ac:dyDescent="0.2">
      <c r="A4260"/>
    </row>
    <row r="4261" spans="1:1" ht="15" x14ac:dyDescent="0.2">
      <c r="A4261"/>
    </row>
    <row r="4262" spans="1:1" ht="15" x14ac:dyDescent="0.2">
      <c r="A4262"/>
    </row>
    <row r="4263" spans="1:1" ht="15" x14ac:dyDescent="0.2">
      <c r="A4263"/>
    </row>
    <row r="4264" spans="1:1" ht="15" x14ac:dyDescent="0.2">
      <c r="A4264"/>
    </row>
    <row r="4265" spans="1:1" ht="15" x14ac:dyDescent="0.2">
      <c r="A4265"/>
    </row>
    <row r="4266" spans="1:1" ht="15" x14ac:dyDescent="0.2">
      <c r="A4266"/>
    </row>
    <row r="4267" spans="1:1" ht="15" x14ac:dyDescent="0.2">
      <c r="A4267"/>
    </row>
    <row r="4268" spans="1:1" ht="15" x14ac:dyDescent="0.2">
      <c r="A4268"/>
    </row>
    <row r="4269" spans="1:1" ht="15" x14ac:dyDescent="0.2">
      <c r="A4269"/>
    </row>
    <row r="4270" spans="1:1" ht="15" x14ac:dyDescent="0.2">
      <c r="A4270"/>
    </row>
    <row r="4271" spans="1:1" ht="15" x14ac:dyDescent="0.2">
      <c r="A4271"/>
    </row>
    <row r="4272" spans="1:1" ht="15" x14ac:dyDescent="0.2">
      <c r="A4272"/>
    </row>
    <row r="4273" spans="1:1" ht="15" x14ac:dyDescent="0.2">
      <c r="A4273"/>
    </row>
    <row r="4274" spans="1:1" ht="15" x14ac:dyDescent="0.2">
      <c r="A4274"/>
    </row>
    <row r="4275" spans="1:1" ht="15" x14ac:dyDescent="0.2">
      <c r="A4275"/>
    </row>
    <row r="4276" spans="1:1" ht="15" x14ac:dyDescent="0.2">
      <c r="A4276"/>
    </row>
    <row r="4277" spans="1:1" ht="15" x14ac:dyDescent="0.2">
      <c r="A4277"/>
    </row>
    <row r="4278" spans="1:1" ht="15" x14ac:dyDescent="0.2">
      <c r="A4278"/>
    </row>
    <row r="4279" spans="1:1" ht="15" x14ac:dyDescent="0.2">
      <c r="A4279"/>
    </row>
    <row r="4280" spans="1:1" ht="15" x14ac:dyDescent="0.2">
      <c r="A4280"/>
    </row>
    <row r="4281" spans="1:1" ht="15" x14ac:dyDescent="0.2">
      <c r="A4281"/>
    </row>
    <row r="4282" spans="1:1" ht="15" x14ac:dyDescent="0.2">
      <c r="A4282"/>
    </row>
    <row r="4283" spans="1:1" ht="15" x14ac:dyDescent="0.2">
      <c r="A4283"/>
    </row>
    <row r="4284" spans="1:1" ht="15" x14ac:dyDescent="0.2">
      <c r="A4284"/>
    </row>
    <row r="4285" spans="1:1" ht="15" x14ac:dyDescent="0.2">
      <c r="A4285"/>
    </row>
    <row r="4286" spans="1:1" ht="15" x14ac:dyDescent="0.2">
      <c r="A4286"/>
    </row>
    <row r="4287" spans="1:1" ht="15" x14ac:dyDescent="0.2">
      <c r="A4287"/>
    </row>
    <row r="4288" spans="1:1" ht="15" x14ac:dyDescent="0.2">
      <c r="A4288"/>
    </row>
    <row r="4289" spans="1:1" ht="15" x14ac:dyDescent="0.2">
      <c r="A4289"/>
    </row>
    <row r="4290" spans="1:1" ht="15" x14ac:dyDescent="0.2">
      <c r="A4290"/>
    </row>
    <row r="4291" spans="1:1" ht="15" x14ac:dyDescent="0.2">
      <c r="A4291"/>
    </row>
    <row r="4292" spans="1:1" ht="15" x14ac:dyDescent="0.2">
      <c r="A4292"/>
    </row>
    <row r="4293" spans="1:1" ht="15" x14ac:dyDescent="0.2">
      <c r="A4293"/>
    </row>
    <row r="4294" spans="1:1" ht="15" x14ac:dyDescent="0.2">
      <c r="A4294"/>
    </row>
    <row r="4295" spans="1:1" ht="15" x14ac:dyDescent="0.2">
      <c r="A4295"/>
    </row>
    <row r="4296" spans="1:1" ht="15" x14ac:dyDescent="0.2">
      <c r="A4296"/>
    </row>
    <row r="4297" spans="1:1" ht="15" x14ac:dyDescent="0.2">
      <c r="A4297"/>
    </row>
    <row r="4298" spans="1:1" ht="15" x14ac:dyDescent="0.2">
      <c r="A4298"/>
    </row>
    <row r="4299" spans="1:1" ht="15" x14ac:dyDescent="0.2">
      <c r="A4299"/>
    </row>
    <row r="4300" spans="1:1" ht="15" x14ac:dyDescent="0.2">
      <c r="A4300"/>
    </row>
    <row r="4301" spans="1:1" ht="15" x14ac:dyDescent="0.2">
      <c r="A4301"/>
    </row>
    <row r="4302" spans="1:1" ht="15" x14ac:dyDescent="0.2">
      <c r="A4302"/>
    </row>
    <row r="4303" spans="1:1" ht="15" x14ac:dyDescent="0.2">
      <c r="A4303"/>
    </row>
    <row r="4304" spans="1:1" ht="15" x14ac:dyDescent="0.2">
      <c r="A4304"/>
    </row>
    <row r="4305" spans="1:1" ht="15" x14ac:dyDescent="0.2">
      <c r="A4305"/>
    </row>
    <row r="4306" spans="1:1" ht="15" x14ac:dyDescent="0.2">
      <c r="A4306"/>
    </row>
    <row r="4307" spans="1:1" ht="15" x14ac:dyDescent="0.2">
      <c r="A4307"/>
    </row>
    <row r="4308" spans="1:1" ht="15" x14ac:dyDescent="0.2">
      <c r="A4308"/>
    </row>
    <row r="4309" spans="1:1" ht="15" x14ac:dyDescent="0.2">
      <c r="A4309"/>
    </row>
    <row r="4310" spans="1:1" ht="15" x14ac:dyDescent="0.2">
      <c r="A4310"/>
    </row>
    <row r="4311" spans="1:1" ht="15" x14ac:dyDescent="0.2">
      <c r="A4311"/>
    </row>
    <row r="4312" spans="1:1" ht="15" x14ac:dyDescent="0.2">
      <c r="A4312"/>
    </row>
    <row r="4313" spans="1:1" ht="15" x14ac:dyDescent="0.2">
      <c r="A4313"/>
    </row>
    <row r="4314" spans="1:1" ht="15" x14ac:dyDescent="0.2">
      <c r="A4314"/>
    </row>
    <row r="4315" spans="1:1" ht="15" x14ac:dyDescent="0.2">
      <c r="A4315"/>
    </row>
    <row r="4316" spans="1:1" ht="15" x14ac:dyDescent="0.2">
      <c r="A4316"/>
    </row>
    <row r="4317" spans="1:1" ht="15" x14ac:dyDescent="0.2">
      <c r="A4317"/>
    </row>
    <row r="4318" spans="1:1" ht="15" x14ac:dyDescent="0.2">
      <c r="A4318"/>
    </row>
    <row r="4319" spans="1:1" ht="15" x14ac:dyDescent="0.2">
      <c r="A4319"/>
    </row>
    <row r="4320" spans="1:1" ht="15" x14ac:dyDescent="0.2">
      <c r="A4320"/>
    </row>
    <row r="4321" spans="1:1" ht="15" x14ac:dyDescent="0.2">
      <c r="A4321"/>
    </row>
    <row r="4322" spans="1:1" ht="15" x14ac:dyDescent="0.2">
      <c r="A4322"/>
    </row>
    <row r="4323" spans="1:1" ht="15" x14ac:dyDescent="0.2">
      <c r="A4323"/>
    </row>
    <row r="4324" spans="1:1" ht="15" x14ac:dyDescent="0.2">
      <c r="A4324"/>
    </row>
    <row r="4325" spans="1:1" ht="15" x14ac:dyDescent="0.2">
      <c r="A4325"/>
    </row>
    <row r="4326" spans="1:1" ht="15" x14ac:dyDescent="0.2">
      <c r="A4326"/>
    </row>
    <row r="4327" spans="1:1" ht="15" x14ac:dyDescent="0.2">
      <c r="A4327"/>
    </row>
    <row r="4328" spans="1:1" ht="15" x14ac:dyDescent="0.2">
      <c r="A4328"/>
    </row>
    <row r="4329" spans="1:1" ht="15" x14ac:dyDescent="0.2">
      <c r="A4329"/>
    </row>
    <row r="4330" spans="1:1" ht="15" x14ac:dyDescent="0.2">
      <c r="A4330"/>
    </row>
    <row r="4331" spans="1:1" ht="15" x14ac:dyDescent="0.2">
      <c r="A4331"/>
    </row>
    <row r="4332" spans="1:1" ht="15" x14ac:dyDescent="0.2">
      <c r="A4332"/>
    </row>
    <row r="4333" spans="1:1" ht="15" x14ac:dyDescent="0.2">
      <c r="A4333"/>
    </row>
    <row r="4334" spans="1:1" ht="15" x14ac:dyDescent="0.2">
      <c r="A4334"/>
    </row>
    <row r="4335" spans="1:1" ht="15" x14ac:dyDescent="0.2">
      <c r="A4335"/>
    </row>
    <row r="4336" spans="1:1" ht="15" x14ac:dyDescent="0.2">
      <c r="A4336"/>
    </row>
    <row r="4337" spans="1:1" ht="15" x14ac:dyDescent="0.2">
      <c r="A4337"/>
    </row>
    <row r="4338" spans="1:1" ht="15" x14ac:dyDescent="0.2">
      <c r="A4338"/>
    </row>
    <row r="4339" spans="1:1" ht="15" x14ac:dyDescent="0.2">
      <c r="A4339"/>
    </row>
    <row r="4340" spans="1:1" ht="15" x14ac:dyDescent="0.2">
      <c r="A4340"/>
    </row>
    <row r="4341" spans="1:1" ht="15" x14ac:dyDescent="0.2">
      <c r="A4341"/>
    </row>
    <row r="4342" spans="1:1" ht="15" x14ac:dyDescent="0.2">
      <c r="A4342"/>
    </row>
    <row r="4343" spans="1:1" ht="15" x14ac:dyDescent="0.2">
      <c r="A4343"/>
    </row>
    <row r="4344" spans="1:1" ht="15" x14ac:dyDescent="0.2">
      <c r="A4344"/>
    </row>
    <row r="4345" spans="1:1" ht="15" x14ac:dyDescent="0.2">
      <c r="A4345"/>
    </row>
    <row r="4346" spans="1:1" ht="15" x14ac:dyDescent="0.2">
      <c r="A4346"/>
    </row>
    <row r="4347" spans="1:1" ht="15" x14ac:dyDescent="0.2">
      <c r="A4347"/>
    </row>
    <row r="4348" spans="1:1" ht="15" x14ac:dyDescent="0.2">
      <c r="A4348"/>
    </row>
    <row r="4349" spans="1:1" ht="15" x14ac:dyDescent="0.2">
      <c r="A4349"/>
    </row>
    <row r="4350" spans="1:1" ht="15" x14ac:dyDescent="0.2">
      <c r="A4350"/>
    </row>
    <row r="4351" spans="1:1" ht="15" x14ac:dyDescent="0.2">
      <c r="A4351"/>
    </row>
    <row r="4352" spans="1:1" ht="15" x14ac:dyDescent="0.2">
      <c r="A4352"/>
    </row>
    <row r="4353" spans="1:1" ht="15" x14ac:dyDescent="0.2">
      <c r="A4353"/>
    </row>
    <row r="4354" spans="1:1" ht="15" x14ac:dyDescent="0.2">
      <c r="A4354"/>
    </row>
    <row r="4355" spans="1:1" ht="15" x14ac:dyDescent="0.2">
      <c r="A4355"/>
    </row>
    <row r="4356" spans="1:1" ht="15" x14ac:dyDescent="0.2">
      <c r="A4356"/>
    </row>
    <row r="4357" spans="1:1" ht="15" x14ac:dyDescent="0.2">
      <c r="A4357"/>
    </row>
    <row r="4358" spans="1:1" ht="15" x14ac:dyDescent="0.2">
      <c r="A4358"/>
    </row>
    <row r="4359" spans="1:1" ht="15" x14ac:dyDescent="0.2">
      <c r="A4359"/>
    </row>
    <row r="4360" spans="1:1" ht="15" x14ac:dyDescent="0.2">
      <c r="A4360"/>
    </row>
    <row r="4361" spans="1:1" ht="15" x14ac:dyDescent="0.2">
      <c r="A4361"/>
    </row>
    <row r="4362" spans="1:1" ht="15" x14ac:dyDescent="0.2">
      <c r="A4362"/>
    </row>
    <row r="4363" spans="1:1" ht="15" x14ac:dyDescent="0.2">
      <c r="A4363"/>
    </row>
    <row r="4364" spans="1:1" ht="15" x14ac:dyDescent="0.2">
      <c r="A4364"/>
    </row>
    <row r="4365" spans="1:1" ht="15" x14ac:dyDescent="0.2">
      <c r="A4365"/>
    </row>
    <row r="4366" spans="1:1" ht="15" x14ac:dyDescent="0.2">
      <c r="A4366"/>
    </row>
    <row r="4367" spans="1:1" ht="15" x14ac:dyDescent="0.2">
      <c r="A4367"/>
    </row>
    <row r="4368" spans="1:1" ht="15" x14ac:dyDescent="0.2">
      <c r="A4368"/>
    </row>
    <row r="4369" spans="1:1" ht="15" x14ac:dyDescent="0.2">
      <c r="A4369"/>
    </row>
    <row r="4370" spans="1:1" ht="15" x14ac:dyDescent="0.2">
      <c r="A4370"/>
    </row>
    <row r="4371" spans="1:1" ht="15" x14ac:dyDescent="0.2">
      <c r="A4371"/>
    </row>
    <row r="4372" spans="1:1" ht="15" x14ac:dyDescent="0.2">
      <c r="A4372"/>
    </row>
    <row r="4373" spans="1:1" ht="15" x14ac:dyDescent="0.2">
      <c r="A4373"/>
    </row>
    <row r="4374" spans="1:1" ht="15" x14ac:dyDescent="0.2">
      <c r="A4374"/>
    </row>
    <row r="4375" spans="1:1" ht="15" x14ac:dyDescent="0.2">
      <c r="A4375"/>
    </row>
    <row r="4376" spans="1:1" ht="15" x14ac:dyDescent="0.2">
      <c r="A4376"/>
    </row>
    <row r="4377" spans="1:1" ht="15" x14ac:dyDescent="0.2">
      <c r="A4377"/>
    </row>
    <row r="4378" spans="1:1" ht="15" x14ac:dyDescent="0.2">
      <c r="A4378"/>
    </row>
    <row r="4379" spans="1:1" ht="15" x14ac:dyDescent="0.2">
      <c r="A4379"/>
    </row>
    <row r="4380" spans="1:1" ht="15" x14ac:dyDescent="0.2">
      <c r="A4380"/>
    </row>
    <row r="4381" spans="1:1" ht="15" x14ac:dyDescent="0.2">
      <c r="A4381"/>
    </row>
    <row r="4382" spans="1:1" ht="15" x14ac:dyDescent="0.2">
      <c r="A4382"/>
    </row>
    <row r="4383" spans="1:1" ht="15" x14ac:dyDescent="0.2">
      <c r="A4383"/>
    </row>
    <row r="4384" spans="1:1" ht="15" x14ac:dyDescent="0.2">
      <c r="A4384"/>
    </row>
    <row r="4385" spans="1:1" ht="15" x14ac:dyDescent="0.2">
      <c r="A4385"/>
    </row>
    <row r="4386" spans="1:1" ht="15" x14ac:dyDescent="0.2">
      <c r="A4386"/>
    </row>
    <row r="4387" spans="1:1" ht="15" x14ac:dyDescent="0.2">
      <c r="A4387"/>
    </row>
    <row r="4388" spans="1:1" ht="15" x14ac:dyDescent="0.2">
      <c r="A4388"/>
    </row>
    <row r="4389" spans="1:1" ht="15" x14ac:dyDescent="0.2">
      <c r="A4389"/>
    </row>
    <row r="4390" spans="1:1" ht="15" x14ac:dyDescent="0.2">
      <c r="A4390"/>
    </row>
    <row r="4391" spans="1:1" ht="15" x14ac:dyDescent="0.2">
      <c r="A4391"/>
    </row>
    <row r="4392" spans="1:1" ht="15" x14ac:dyDescent="0.2">
      <c r="A4392"/>
    </row>
    <row r="4393" spans="1:1" ht="15" x14ac:dyDescent="0.2">
      <c r="A4393"/>
    </row>
    <row r="4394" spans="1:1" ht="15" x14ac:dyDescent="0.2">
      <c r="A4394"/>
    </row>
    <row r="4395" spans="1:1" ht="15" x14ac:dyDescent="0.2">
      <c r="A4395"/>
    </row>
    <row r="4396" spans="1:1" ht="15" x14ac:dyDescent="0.2">
      <c r="A4396"/>
    </row>
    <row r="4397" spans="1:1" ht="15" x14ac:dyDescent="0.2">
      <c r="A4397"/>
    </row>
    <row r="4398" spans="1:1" ht="15" x14ac:dyDescent="0.2">
      <c r="A4398"/>
    </row>
    <row r="4399" spans="1:1" ht="15" x14ac:dyDescent="0.2">
      <c r="A4399"/>
    </row>
    <row r="4400" spans="1:1" ht="15" x14ac:dyDescent="0.2">
      <c r="A4400"/>
    </row>
    <row r="4401" spans="1:1" ht="15" x14ac:dyDescent="0.2">
      <c r="A4401"/>
    </row>
    <row r="4402" spans="1:1" ht="15" x14ac:dyDescent="0.2">
      <c r="A4402"/>
    </row>
    <row r="4403" spans="1:1" ht="15" x14ac:dyDescent="0.2">
      <c r="A4403"/>
    </row>
    <row r="4404" spans="1:1" ht="15" x14ac:dyDescent="0.2">
      <c r="A4404"/>
    </row>
    <row r="4405" spans="1:1" ht="15" x14ac:dyDescent="0.2">
      <c r="A4405"/>
    </row>
    <row r="4406" spans="1:1" ht="15" x14ac:dyDescent="0.2">
      <c r="A4406"/>
    </row>
    <row r="4407" spans="1:1" ht="15" x14ac:dyDescent="0.2">
      <c r="A4407"/>
    </row>
    <row r="4408" spans="1:1" ht="15" x14ac:dyDescent="0.2">
      <c r="A4408"/>
    </row>
    <row r="4409" spans="1:1" ht="15" x14ac:dyDescent="0.2">
      <c r="A4409"/>
    </row>
    <row r="4410" spans="1:1" ht="15" x14ac:dyDescent="0.2">
      <c r="A4410"/>
    </row>
    <row r="4411" spans="1:1" ht="15" x14ac:dyDescent="0.2">
      <c r="A4411"/>
    </row>
    <row r="4412" spans="1:1" ht="15" x14ac:dyDescent="0.2">
      <c r="A4412"/>
    </row>
    <row r="4413" spans="1:1" ht="15" x14ac:dyDescent="0.2">
      <c r="A4413"/>
    </row>
    <row r="4414" spans="1:1" ht="15" x14ac:dyDescent="0.2">
      <c r="A4414"/>
    </row>
    <row r="4415" spans="1:1" ht="15" x14ac:dyDescent="0.2">
      <c r="A4415"/>
    </row>
    <row r="4416" spans="1:1" ht="15" x14ac:dyDescent="0.2">
      <c r="A4416"/>
    </row>
    <row r="4417" spans="1:1" ht="15" x14ac:dyDescent="0.2">
      <c r="A4417"/>
    </row>
    <row r="4418" spans="1:1" ht="15" x14ac:dyDescent="0.2">
      <c r="A4418"/>
    </row>
    <row r="4419" spans="1:1" ht="15" x14ac:dyDescent="0.2">
      <c r="A4419"/>
    </row>
    <row r="4420" spans="1:1" ht="15" x14ac:dyDescent="0.2">
      <c r="A4420"/>
    </row>
    <row r="4421" spans="1:1" ht="15" x14ac:dyDescent="0.2">
      <c r="A4421"/>
    </row>
    <row r="4422" spans="1:1" ht="15" x14ac:dyDescent="0.2">
      <c r="A4422"/>
    </row>
    <row r="4423" spans="1:1" ht="15" x14ac:dyDescent="0.2">
      <c r="A4423"/>
    </row>
    <row r="4424" spans="1:1" ht="15" x14ac:dyDescent="0.2">
      <c r="A4424"/>
    </row>
    <row r="4425" spans="1:1" ht="15" x14ac:dyDescent="0.2">
      <c r="A4425"/>
    </row>
    <row r="4426" spans="1:1" ht="15" x14ac:dyDescent="0.2">
      <c r="A4426"/>
    </row>
    <row r="4427" spans="1:1" ht="15" x14ac:dyDescent="0.2">
      <c r="A4427"/>
    </row>
    <row r="4428" spans="1:1" ht="15" x14ac:dyDescent="0.2">
      <c r="A4428"/>
    </row>
    <row r="4429" spans="1:1" ht="15" x14ac:dyDescent="0.2">
      <c r="A4429"/>
    </row>
    <row r="4430" spans="1:1" ht="15" x14ac:dyDescent="0.2">
      <c r="A4430"/>
    </row>
    <row r="4431" spans="1:1" ht="15" x14ac:dyDescent="0.2">
      <c r="A4431"/>
    </row>
    <row r="4432" spans="1:1" ht="15" x14ac:dyDescent="0.2">
      <c r="A4432"/>
    </row>
    <row r="4433" spans="1:1" ht="15" x14ac:dyDescent="0.2">
      <c r="A4433"/>
    </row>
    <row r="4434" spans="1:1" ht="15" x14ac:dyDescent="0.2">
      <c r="A4434"/>
    </row>
    <row r="4435" spans="1:1" ht="15" x14ac:dyDescent="0.2">
      <c r="A4435"/>
    </row>
    <row r="4436" spans="1:1" ht="15" x14ac:dyDescent="0.2">
      <c r="A4436"/>
    </row>
    <row r="4437" spans="1:1" ht="15" x14ac:dyDescent="0.2">
      <c r="A4437"/>
    </row>
    <row r="4438" spans="1:1" ht="15" x14ac:dyDescent="0.2">
      <c r="A4438"/>
    </row>
    <row r="4439" spans="1:1" ht="15" x14ac:dyDescent="0.2">
      <c r="A4439"/>
    </row>
    <row r="4440" spans="1:1" ht="15" x14ac:dyDescent="0.2">
      <c r="A4440"/>
    </row>
    <row r="4441" spans="1:1" ht="15" x14ac:dyDescent="0.2">
      <c r="A4441"/>
    </row>
    <row r="4442" spans="1:1" ht="15" x14ac:dyDescent="0.2">
      <c r="A4442"/>
    </row>
    <row r="4443" spans="1:1" ht="15" x14ac:dyDescent="0.2">
      <c r="A4443"/>
    </row>
    <row r="4444" spans="1:1" ht="15" x14ac:dyDescent="0.2">
      <c r="A4444"/>
    </row>
    <row r="4445" spans="1:1" ht="15" x14ac:dyDescent="0.2">
      <c r="A4445"/>
    </row>
    <row r="4446" spans="1:1" ht="15" x14ac:dyDescent="0.2">
      <c r="A4446"/>
    </row>
    <row r="4447" spans="1:1" ht="15" x14ac:dyDescent="0.2">
      <c r="A4447"/>
    </row>
    <row r="4448" spans="1:1" ht="15" x14ac:dyDescent="0.2">
      <c r="A4448"/>
    </row>
    <row r="4449" spans="1:1" ht="15" x14ac:dyDescent="0.2">
      <c r="A4449"/>
    </row>
    <row r="4450" spans="1:1" ht="15" x14ac:dyDescent="0.2">
      <c r="A4450"/>
    </row>
    <row r="4451" spans="1:1" ht="15" x14ac:dyDescent="0.2">
      <c r="A4451"/>
    </row>
    <row r="4452" spans="1:1" ht="15" x14ac:dyDescent="0.2">
      <c r="A4452"/>
    </row>
    <row r="4453" spans="1:1" ht="15" x14ac:dyDescent="0.2">
      <c r="A4453"/>
    </row>
    <row r="4454" spans="1:1" ht="15" x14ac:dyDescent="0.2">
      <c r="A4454"/>
    </row>
    <row r="4455" spans="1:1" ht="15" x14ac:dyDescent="0.2">
      <c r="A4455"/>
    </row>
    <row r="4456" spans="1:1" ht="15" x14ac:dyDescent="0.2">
      <c r="A4456"/>
    </row>
    <row r="4457" spans="1:1" ht="15" x14ac:dyDescent="0.2">
      <c r="A4457"/>
    </row>
    <row r="4458" spans="1:1" ht="15" x14ac:dyDescent="0.2">
      <c r="A4458"/>
    </row>
    <row r="4459" spans="1:1" ht="15" x14ac:dyDescent="0.2">
      <c r="A4459"/>
    </row>
    <row r="4460" spans="1:1" ht="15" x14ac:dyDescent="0.2">
      <c r="A4460"/>
    </row>
    <row r="4461" spans="1:1" ht="15" x14ac:dyDescent="0.2">
      <c r="A4461"/>
    </row>
    <row r="4462" spans="1:1" ht="15" x14ac:dyDescent="0.2">
      <c r="A4462"/>
    </row>
    <row r="4463" spans="1:1" ht="15" x14ac:dyDescent="0.2">
      <c r="A4463"/>
    </row>
    <row r="4464" spans="1:1" ht="15" x14ac:dyDescent="0.2">
      <c r="A4464"/>
    </row>
    <row r="4465" spans="1:1" ht="15" x14ac:dyDescent="0.2">
      <c r="A4465"/>
    </row>
    <row r="4466" spans="1:1" ht="15" x14ac:dyDescent="0.2">
      <c r="A4466"/>
    </row>
    <row r="4467" spans="1:1" ht="15" x14ac:dyDescent="0.2">
      <c r="A4467"/>
    </row>
    <row r="4468" spans="1:1" ht="15" x14ac:dyDescent="0.2">
      <c r="A4468"/>
    </row>
    <row r="4469" spans="1:1" ht="15" x14ac:dyDescent="0.2">
      <c r="A4469"/>
    </row>
    <row r="4470" spans="1:1" ht="15" x14ac:dyDescent="0.2">
      <c r="A4470"/>
    </row>
    <row r="4471" spans="1:1" ht="15" x14ac:dyDescent="0.2">
      <c r="A4471"/>
    </row>
    <row r="4472" spans="1:1" ht="15" x14ac:dyDescent="0.2">
      <c r="A4472"/>
    </row>
    <row r="4473" spans="1:1" ht="15" x14ac:dyDescent="0.2">
      <c r="A4473"/>
    </row>
    <row r="4474" spans="1:1" ht="15" x14ac:dyDescent="0.2">
      <c r="A4474"/>
    </row>
    <row r="4475" spans="1:1" ht="15" x14ac:dyDescent="0.2">
      <c r="A4475"/>
    </row>
    <row r="4476" spans="1:1" ht="15" x14ac:dyDescent="0.2">
      <c r="A4476"/>
    </row>
    <row r="4477" spans="1:1" ht="15" x14ac:dyDescent="0.2">
      <c r="A4477"/>
    </row>
    <row r="4478" spans="1:1" ht="15" x14ac:dyDescent="0.2">
      <c r="A4478"/>
    </row>
    <row r="4479" spans="1:1" ht="15" x14ac:dyDescent="0.2">
      <c r="A4479"/>
    </row>
    <row r="4480" spans="1:1" ht="15" x14ac:dyDescent="0.2">
      <c r="A4480"/>
    </row>
    <row r="4481" spans="1:1" ht="15" x14ac:dyDescent="0.2">
      <c r="A4481"/>
    </row>
    <row r="4482" spans="1:1" ht="15" x14ac:dyDescent="0.2">
      <c r="A4482"/>
    </row>
    <row r="4483" spans="1:1" ht="15" x14ac:dyDescent="0.2">
      <c r="A4483"/>
    </row>
    <row r="4484" spans="1:1" ht="15" x14ac:dyDescent="0.2">
      <c r="A4484"/>
    </row>
    <row r="4485" spans="1:1" ht="15" x14ac:dyDescent="0.2">
      <c r="A4485"/>
    </row>
    <row r="4486" spans="1:1" ht="15" x14ac:dyDescent="0.2">
      <c r="A4486"/>
    </row>
    <row r="4487" spans="1:1" ht="15" x14ac:dyDescent="0.2">
      <c r="A4487"/>
    </row>
    <row r="4488" spans="1:1" ht="15" x14ac:dyDescent="0.2">
      <c r="A4488"/>
    </row>
    <row r="4489" spans="1:1" ht="15" x14ac:dyDescent="0.2">
      <c r="A4489"/>
    </row>
    <row r="4490" spans="1:1" ht="15" x14ac:dyDescent="0.2">
      <c r="A4490"/>
    </row>
    <row r="4491" spans="1:1" ht="15" x14ac:dyDescent="0.2">
      <c r="A4491"/>
    </row>
    <row r="4492" spans="1:1" ht="15" x14ac:dyDescent="0.2">
      <c r="A4492"/>
    </row>
    <row r="4493" spans="1:1" ht="15" x14ac:dyDescent="0.2">
      <c r="A4493"/>
    </row>
    <row r="4494" spans="1:1" ht="15" x14ac:dyDescent="0.2">
      <c r="A4494"/>
    </row>
    <row r="4495" spans="1:1" ht="15" x14ac:dyDescent="0.2">
      <c r="A4495"/>
    </row>
    <row r="4496" spans="1:1" ht="15" x14ac:dyDescent="0.2">
      <c r="A4496"/>
    </row>
    <row r="4497" spans="1:1" ht="15" x14ac:dyDescent="0.2">
      <c r="A4497"/>
    </row>
    <row r="4498" spans="1:1" ht="15" x14ac:dyDescent="0.2">
      <c r="A4498"/>
    </row>
    <row r="4499" spans="1:1" ht="15" x14ac:dyDescent="0.2">
      <c r="A4499"/>
    </row>
    <row r="4500" spans="1:1" ht="15" x14ac:dyDescent="0.2">
      <c r="A4500"/>
    </row>
    <row r="4501" spans="1:1" ht="15" x14ac:dyDescent="0.2">
      <c r="A4501"/>
    </row>
    <row r="4502" spans="1:1" ht="15" x14ac:dyDescent="0.2">
      <c r="A4502"/>
    </row>
    <row r="4503" spans="1:1" ht="15" x14ac:dyDescent="0.2">
      <c r="A4503"/>
    </row>
    <row r="4504" spans="1:1" ht="15" x14ac:dyDescent="0.2">
      <c r="A4504"/>
    </row>
    <row r="4505" spans="1:1" ht="15" x14ac:dyDescent="0.2">
      <c r="A4505"/>
    </row>
    <row r="4506" spans="1:1" ht="15" x14ac:dyDescent="0.2">
      <c r="A4506"/>
    </row>
    <row r="4507" spans="1:1" ht="15" x14ac:dyDescent="0.2">
      <c r="A4507"/>
    </row>
    <row r="4508" spans="1:1" ht="15" x14ac:dyDescent="0.2">
      <c r="A4508"/>
    </row>
    <row r="4509" spans="1:1" ht="15" x14ac:dyDescent="0.2">
      <c r="A4509"/>
    </row>
    <row r="4510" spans="1:1" ht="15" x14ac:dyDescent="0.2">
      <c r="A4510"/>
    </row>
    <row r="4511" spans="1:1" ht="15" x14ac:dyDescent="0.2">
      <c r="A4511"/>
    </row>
    <row r="4512" spans="1:1" ht="15" x14ac:dyDescent="0.2">
      <c r="A4512"/>
    </row>
    <row r="4513" spans="1:1" ht="15" x14ac:dyDescent="0.2">
      <c r="A4513"/>
    </row>
    <row r="4514" spans="1:1" ht="15" x14ac:dyDescent="0.2">
      <c r="A4514"/>
    </row>
    <row r="4515" spans="1:1" ht="15" x14ac:dyDescent="0.2">
      <c r="A4515"/>
    </row>
    <row r="4516" spans="1:1" ht="15" x14ac:dyDescent="0.2">
      <c r="A4516"/>
    </row>
    <row r="4517" spans="1:1" ht="15" x14ac:dyDescent="0.2">
      <c r="A4517"/>
    </row>
    <row r="4518" spans="1:1" ht="15" x14ac:dyDescent="0.2">
      <c r="A4518"/>
    </row>
    <row r="4519" spans="1:1" ht="15" x14ac:dyDescent="0.2">
      <c r="A4519"/>
    </row>
    <row r="4520" spans="1:1" ht="15" x14ac:dyDescent="0.2">
      <c r="A4520"/>
    </row>
    <row r="4521" spans="1:1" ht="15" x14ac:dyDescent="0.2">
      <c r="A4521"/>
    </row>
    <row r="4522" spans="1:1" ht="15" x14ac:dyDescent="0.2">
      <c r="A4522"/>
    </row>
    <row r="4523" spans="1:1" ht="15" x14ac:dyDescent="0.2">
      <c r="A4523"/>
    </row>
    <row r="4524" spans="1:1" ht="15" x14ac:dyDescent="0.2">
      <c r="A4524"/>
    </row>
    <row r="4525" spans="1:1" ht="15" x14ac:dyDescent="0.2">
      <c r="A4525"/>
    </row>
    <row r="4526" spans="1:1" ht="15" x14ac:dyDescent="0.2">
      <c r="A4526"/>
    </row>
    <row r="4527" spans="1:1" ht="15" x14ac:dyDescent="0.2">
      <c r="A4527"/>
    </row>
    <row r="4528" spans="1:1" ht="15" x14ac:dyDescent="0.2">
      <c r="A4528"/>
    </row>
    <row r="4529" spans="1:1" ht="15" x14ac:dyDescent="0.2">
      <c r="A4529"/>
    </row>
    <row r="4530" spans="1:1" ht="15" x14ac:dyDescent="0.2">
      <c r="A4530"/>
    </row>
    <row r="4531" spans="1:1" ht="15" x14ac:dyDescent="0.2">
      <c r="A4531"/>
    </row>
    <row r="4532" spans="1:1" ht="15" x14ac:dyDescent="0.2">
      <c r="A4532"/>
    </row>
    <row r="4533" spans="1:1" ht="15" x14ac:dyDescent="0.2">
      <c r="A4533"/>
    </row>
    <row r="4534" spans="1:1" ht="15" x14ac:dyDescent="0.2">
      <c r="A4534"/>
    </row>
    <row r="4535" spans="1:1" ht="15" x14ac:dyDescent="0.2">
      <c r="A4535"/>
    </row>
    <row r="4536" spans="1:1" ht="15" x14ac:dyDescent="0.2">
      <c r="A4536"/>
    </row>
    <row r="4537" spans="1:1" ht="15" x14ac:dyDescent="0.2">
      <c r="A4537"/>
    </row>
    <row r="4538" spans="1:1" ht="15" x14ac:dyDescent="0.2">
      <c r="A4538"/>
    </row>
    <row r="4539" spans="1:1" ht="15" x14ac:dyDescent="0.2">
      <c r="A4539"/>
    </row>
    <row r="4540" spans="1:1" ht="15" x14ac:dyDescent="0.2">
      <c r="A4540"/>
    </row>
    <row r="4541" spans="1:1" ht="15" x14ac:dyDescent="0.2">
      <c r="A4541"/>
    </row>
    <row r="4542" spans="1:1" ht="15" x14ac:dyDescent="0.2">
      <c r="A4542"/>
    </row>
    <row r="4543" spans="1:1" ht="15" x14ac:dyDescent="0.2">
      <c r="A4543"/>
    </row>
    <row r="4544" spans="1:1" ht="15" x14ac:dyDescent="0.2">
      <c r="A4544"/>
    </row>
    <row r="4545" spans="1:1" ht="15" x14ac:dyDescent="0.2">
      <c r="A4545"/>
    </row>
    <row r="4546" spans="1:1" ht="15" x14ac:dyDescent="0.2">
      <c r="A4546"/>
    </row>
    <row r="4547" spans="1:1" ht="15" x14ac:dyDescent="0.2">
      <c r="A4547"/>
    </row>
    <row r="4548" spans="1:1" ht="15" x14ac:dyDescent="0.2">
      <c r="A4548"/>
    </row>
    <row r="4549" spans="1:1" ht="15" x14ac:dyDescent="0.2">
      <c r="A4549"/>
    </row>
    <row r="4550" spans="1:1" ht="15" x14ac:dyDescent="0.2">
      <c r="A4550"/>
    </row>
    <row r="4551" spans="1:1" ht="15" x14ac:dyDescent="0.2">
      <c r="A4551"/>
    </row>
    <row r="4552" spans="1:1" ht="15" x14ac:dyDescent="0.2">
      <c r="A4552"/>
    </row>
    <row r="4553" spans="1:1" ht="15" x14ac:dyDescent="0.2">
      <c r="A4553"/>
    </row>
    <row r="4554" spans="1:1" ht="15" x14ac:dyDescent="0.2">
      <c r="A4554"/>
    </row>
    <row r="4555" spans="1:1" ht="15" x14ac:dyDescent="0.2">
      <c r="A4555"/>
    </row>
    <row r="4556" spans="1:1" ht="15" x14ac:dyDescent="0.2">
      <c r="A4556"/>
    </row>
    <row r="4557" spans="1:1" ht="15" x14ac:dyDescent="0.2">
      <c r="A4557"/>
    </row>
    <row r="4558" spans="1:1" ht="15" x14ac:dyDescent="0.2">
      <c r="A4558"/>
    </row>
    <row r="4559" spans="1:1" ht="15" x14ac:dyDescent="0.2">
      <c r="A4559"/>
    </row>
    <row r="4560" spans="1:1" ht="15" x14ac:dyDescent="0.2">
      <c r="A4560"/>
    </row>
    <row r="4561" spans="1:1" ht="15" x14ac:dyDescent="0.2">
      <c r="A4561"/>
    </row>
    <row r="4562" spans="1:1" ht="15" x14ac:dyDescent="0.2">
      <c r="A4562"/>
    </row>
    <row r="4563" spans="1:1" ht="15" x14ac:dyDescent="0.2">
      <c r="A4563"/>
    </row>
    <row r="4564" spans="1:1" ht="15" x14ac:dyDescent="0.2">
      <c r="A4564"/>
    </row>
    <row r="4565" spans="1:1" ht="15" x14ac:dyDescent="0.2">
      <c r="A4565"/>
    </row>
    <row r="4566" spans="1:1" ht="15" x14ac:dyDescent="0.2">
      <c r="A4566"/>
    </row>
    <row r="4567" spans="1:1" ht="15" x14ac:dyDescent="0.2">
      <c r="A4567"/>
    </row>
    <row r="4568" spans="1:1" ht="15" x14ac:dyDescent="0.2">
      <c r="A4568"/>
    </row>
    <row r="4569" spans="1:1" ht="15" x14ac:dyDescent="0.2">
      <c r="A4569"/>
    </row>
    <row r="4570" spans="1:1" ht="15" x14ac:dyDescent="0.2">
      <c r="A4570"/>
    </row>
    <row r="4571" spans="1:1" ht="15" x14ac:dyDescent="0.2">
      <c r="A4571"/>
    </row>
    <row r="4572" spans="1:1" ht="15" x14ac:dyDescent="0.2">
      <c r="A4572"/>
    </row>
    <row r="4573" spans="1:1" ht="15" x14ac:dyDescent="0.2">
      <c r="A4573"/>
    </row>
    <row r="4574" spans="1:1" ht="15" x14ac:dyDescent="0.2">
      <c r="A4574"/>
    </row>
    <row r="4575" spans="1:1" ht="15" x14ac:dyDescent="0.2">
      <c r="A4575"/>
    </row>
    <row r="4576" spans="1:1" ht="15" x14ac:dyDescent="0.2">
      <c r="A4576"/>
    </row>
    <row r="4577" spans="1:1" ht="15" x14ac:dyDescent="0.2">
      <c r="A4577"/>
    </row>
    <row r="4578" spans="1:1" ht="15" x14ac:dyDescent="0.2">
      <c r="A4578"/>
    </row>
    <row r="4579" spans="1:1" ht="15" x14ac:dyDescent="0.2">
      <c r="A4579"/>
    </row>
    <row r="4580" spans="1:1" ht="15" x14ac:dyDescent="0.2">
      <c r="A4580"/>
    </row>
    <row r="4581" spans="1:1" ht="15" x14ac:dyDescent="0.2">
      <c r="A4581"/>
    </row>
    <row r="4582" spans="1:1" ht="15" x14ac:dyDescent="0.2">
      <c r="A4582"/>
    </row>
    <row r="4583" spans="1:1" ht="15" x14ac:dyDescent="0.2">
      <c r="A4583"/>
    </row>
    <row r="4584" spans="1:1" ht="15" x14ac:dyDescent="0.2">
      <c r="A4584"/>
    </row>
    <row r="4585" spans="1:1" ht="15" x14ac:dyDescent="0.2">
      <c r="A4585"/>
    </row>
    <row r="4586" spans="1:1" ht="15" x14ac:dyDescent="0.2">
      <c r="A4586"/>
    </row>
    <row r="4587" spans="1:1" ht="15" x14ac:dyDescent="0.2">
      <c r="A4587"/>
    </row>
    <row r="4588" spans="1:1" ht="15" x14ac:dyDescent="0.2">
      <c r="A4588"/>
    </row>
    <row r="4589" spans="1:1" ht="15" x14ac:dyDescent="0.2">
      <c r="A4589"/>
    </row>
    <row r="4590" spans="1:1" ht="15" x14ac:dyDescent="0.2">
      <c r="A4590"/>
    </row>
    <row r="4591" spans="1:1" ht="15" x14ac:dyDescent="0.2">
      <c r="A4591"/>
    </row>
    <row r="4592" spans="1:1" ht="15" x14ac:dyDescent="0.2">
      <c r="A4592"/>
    </row>
    <row r="4593" spans="1:1" ht="15" x14ac:dyDescent="0.2">
      <c r="A4593"/>
    </row>
    <row r="4594" spans="1:1" ht="15" x14ac:dyDescent="0.2">
      <c r="A4594"/>
    </row>
    <row r="4595" spans="1:1" ht="15" x14ac:dyDescent="0.2">
      <c r="A4595"/>
    </row>
    <row r="4596" spans="1:1" ht="15" x14ac:dyDescent="0.2">
      <c r="A4596"/>
    </row>
    <row r="4597" spans="1:1" ht="15" x14ac:dyDescent="0.2">
      <c r="A4597"/>
    </row>
    <row r="4598" spans="1:1" ht="15" x14ac:dyDescent="0.2">
      <c r="A4598"/>
    </row>
    <row r="4599" spans="1:1" ht="15" x14ac:dyDescent="0.2">
      <c r="A4599"/>
    </row>
    <row r="4600" spans="1:1" ht="15" x14ac:dyDescent="0.2">
      <c r="A4600"/>
    </row>
    <row r="4601" spans="1:1" ht="15" x14ac:dyDescent="0.2">
      <c r="A4601"/>
    </row>
    <row r="4602" spans="1:1" ht="15" x14ac:dyDescent="0.2">
      <c r="A4602"/>
    </row>
    <row r="4603" spans="1:1" ht="15" x14ac:dyDescent="0.2">
      <c r="A4603"/>
    </row>
    <row r="4604" spans="1:1" ht="15" x14ac:dyDescent="0.2">
      <c r="A4604"/>
    </row>
    <row r="4605" spans="1:1" ht="15" x14ac:dyDescent="0.2">
      <c r="A4605"/>
    </row>
    <row r="4606" spans="1:1" ht="15" x14ac:dyDescent="0.2">
      <c r="A4606"/>
    </row>
    <row r="4607" spans="1:1" ht="15" x14ac:dyDescent="0.2">
      <c r="A4607"/>
    </row>
    <row r="4608" spans="1:1" ht="15" x14ac:dyDescent="0.2">
      <c r="A4608"/>
    </row>
    <row r="4609" spans="1:1" ht="15" x14ac:dyDescent="0.2">
      <c r="A4609"/>
    </row>
    <row r="4610" spans="1:1" ht="15" x14ac:dyDescent="0.2">
      <c r="A4610"/>
    </row>
    <row r="4611" spans="1:1" ht="15" x14ac:dyDescent="0.2">
      <c r="A4611"/>
    </row>
    <row r="4612" spans="1:1" ht="15" x14ac:dyDescent="0.2">
      <c r="A4612"/>
    </row>
    <row r="4613" spans="1:1" ht="15" x14ac:dyDescent="0.2">
      <c r="A4613"/>
    </row>
    <row r="4614" spans="1:1" ht="15" x14ac:dyDescent="0.2">
      <c r="A4614"/>
    </row>
    <row r="4615" spans="1:1" ht="15" x14ac:dyDescent="0.2">
      <c r="A4615"/>
    </row>
    <row r="4616" spans="1:1" ht="15" x14ac:dyDescent="0.2">
      <c r="A4616"/>
    </row>
    <row r="4617" spans="1:1" ht="15" x14ac:dyDescent="0.2">
      <c r="A4617"/>
    </row>
    <row r="4618" spans="1:1" ht="15" x14ac:dyDescent="0.2">
      <c r="A4618"/>
    </row>
    <row r="4619" spans="1:1" ht="15" x14ac:dyDescent="0.2">
      <c r="A4619"/>
    </row>
    <row r="4620" spans="1:1" ht="15" x14ac:dyDescent="0.2">
      <c r="A4620"/>
    </row>
    <row r="4621" spans="1:1" ht="15" x14ac:dyDescent="0.2">
      <c r="A4621"/>
    </row>
    <row r="4622" spans="1:1" ht="15" x14ac:dyDescent="0.2">
      <c r="A4622"/>
    </row>
    <row r="4623" spans="1:1" ht="15" x14ac:dyDescent="0.2">
      <c r="A4623"/>
    </row>
    <row r="4624" spans="1:1" ht="15" x14ac:dyDescent="0.2">
      <c r="A4624"/>
    </row>
    <row r="4625" spans="1:1" ht="15" x14ac:dyDescent="0.2">
      <c r="A4625"/>
    </row>
    <row r="4626" spans="1:1" ht="15" x14ac:dyDescent="0.2">
      <c r="A4626"/>
    </row>
    <row r="4627" spans="1:1" ht="15" x14ac:dyDescent="0.2">
      <c r="A4627"/>
    </row>
    <row r="4628" spans="1:1" ht="15" x14ac:dyDescent="0.2">
      <c r="A4628"/>
    </row>
    <row r="4629" spans="1:1" ht="15" x14ac:dyDescent="0.2">
      <c r="A4629"/>
    </row>
    <row r="4630" spans="1:1" ht="15" x14ac:dyDescent="0.2">
      <c r="A4630"/>
    </row>
    <row r="4631" spans="1:1" ht="15" x14ac:dyDescent="0.2">
      <c r="A4631"/>
    </row>
    <row r="4632" spans="1:1" ht="15" x14ac:dyDescent="0.2">
      <c r="A4632"/>
    </row>
    <row r="4633" spans="1:1" ht="15" x14ac:dyDescent="0.2">
      <c r="A4633"/>
    </row>
    <row r="4634" spans="1:1" ht="15" x14ac:dyDescent="0.2">
      <c r="A4634"/>
    </row>
    <row r="4635" spans="1:1" ht="15" x14ac:dyDescent="0.2">
      <c r="A4635"/>
    </row>
    <row r="4636" spans="1:1" ht="15" x14ac:dyDescent="0.2">
      <c r="A4636"/>
    </row>
    <row r="4637" spans="1:1" ht="15" x14ac:dyDescent="0.2">
      <c r="A4637"/>
    </row>
    <row r="4638" spans="1:1" ht="15" x14ac:dyDescent="0.2">
      <c r="A4638"/>
    </row>
    <row r="4639" spans="1:1" ht="15" x14ac:dyDescent="0.2">
      <c r="A4639"/>
    </row>
    <row r="4640" spans="1:1" ht="15" x14ac:dyDescent="0.2">
      <c r="A4640"/>
    </row>
    <row r="4641" spans="1:1" ht="15" x14ac:dyDescent="0.2">
      <c r="A4641"/>
    </row>
    <row r="4642" spans="1:1" ht="15" x14ac:dyDescent="0.2">
      <c r="A4642"/>
    </row>
    <row r="4643" spans="1:1" ht="15" x14ac:dyDescent="0.2">
      <c r="A4643"/>
    </row>
    <row r="4644" spans="1:1" ht="15" x14ac:dyDescent="0.2">
      <c r="A4644"/>
    </row>
    <row r="4645" spans="1:1" ht="15" x14ac:dyDescent="0.2">
      <c r="A4645"/>
    </row>
    <row r="4646" spans="1:1" ht="15" x14ac:dyDescent="0.2">
      <c r="A4646"/>
    </row>
    <row r="4647" spans="1:1" ht="15" x14ac:dyDescent="0.2">
      <c r="A4647"/>
    </row>
    <row r="4648" spans="1:1" ht="15" x14ac:dyDescent="0.2">
      <c r="A4648"/>
    </row>
    <row r="4649" spans="1:1" ht="15" x14ac:dyDescent="0.2">
      <c r="A4649"/>
    </row>
    <row r="4650" spans="1:1" ht="15" x14ac:dyDescent="0.2">
      <c r="A4650"/>
    </row>
    <row r="4651" spans="1:1" ht="15" x14ac:dyDescent="0.2">
      <c r="A4651"/>
    </row>
    <row r="4652" spans="1:1" ht="15" x14ac:dyDescent="0.2">
      <c r="A4652"/>
    </row>
    <row r="4653" spans="1:1" ht="15" x14ac:dyDescent="0.2">
      <c r="A4653"/>
    </row>
    <row r="4654" spans="1:1" ht="15" x14ac:dyDescent="0.2">
      <c r="A4654"/>
    </row>
    <row r="4655" spans="1:1" ht="15" x14ac:dyDescent="0.2">
      <c r="A4655"/>
    </row>
    <row r="4656" spans="1:1" ht="15" x14ac:dyDescent="0.2">
      <c r="A4656"/>
    </row>
    <row r="4657" spans="1:1" ht="15" x14ac:dyDescent="0.2">
      <c r="A4657"/>
    </row>
    <row r="4658" spans="1:1" ht="15" x14ac:dyDescent="0.2">
      <c r="A4658"/>
    </row>
    <row r="4659" spans="1:1" ht="15" x14ac:dyDescent="0.2">
      <c r="A4659"/>
    </row>
    <row r="4660" spans="1:1" ht="15" x14ac:dyDescent="0.2">
      <c r="A4660"/>
    </row>
    <row r="4661" spans="1:1" ht="15" x14ac:dyDescent="0.2">
      <c r="A4661"/>
    </row>
    <row r="4662" spans="1:1" ht="15" x14ac:dyDescent="0.2">
      <c r="A4662"/>
    </row>
    <row r="4663" spans="1:1" ht="15" x14ac:dyDescent="0.2">
      <c r="A4663"/>
    </row>
    <row r="4664" spans="1:1" ht="15" x14ac:dyDescent="0.2">
      <c r="A4664"/>
    </row>
    <row r="4665" spans="1:1" ht="15" x14ac:dyDescent="0.2">
      <c r="A4665"/>
    </row>
    <row r="4666" spans="1:1" ht="15" x14ac:dyDescent="0.2">
      <c r="A4666"/>
    </row>
    <row r="4667" spans="1:1" ht="15" x14ac:dyDescent="0.2">
      <c r="A4667"/>
    </row>
    <row r="4668" spans="1:1" ht="15" x14ac:dyDescent="0.2">
      <c r="A4668"/>
    </row>
    <row r="4669" spans="1:1" ht="15" x14ac:dyDescent="0.2">
      <c r="A4669"/>
    </row>
    <row r="4670" spans="1:1" ht="15" x14ac:dyDescent="0.2">
      <c r="A4670"/>
    </row>
    <row r="4671" spans="1:1" ht="15" x14ac:dyDescent="0.2">
      <c r="A4671"/>
    </row>
    <row r="4672" spans="1:1" ht="15" x14ac:dyDescent="0.2">
      <c r="A4672"/>
    </row>
    <row r="4673" spans="1:1" ht="15" x14ac:dyDescent="0.2">
      <c r="A4673"/>
    </row>
    <row r="4674" spans="1:1" ht="15" x14ac:dyDescent="0.2">
      <c r="A4674"/>
    </row>
    <row r="4675" spans="1:1" ht="15" x14ac:dyDescent="0.2">
      <c r="A4675"/>
    </row>
    <row r="4676" spans="1:1" ht="15" x14ac:dyDescent="0.2">
      <c r="A4676"/>
    </row>
    <row r="4677" spans="1:1" ht="15" x14ac:dyDescent="0.2">
      <c r="A4677"/>
    </row>
    <row r="4678" spans="1:1" ht="15" x14ac:dyDescent="0.2">
      <c r="A4678"/>
    </row>
    <row r="4679" spans="1:1" ht="15" x14ac:dyDescent="0.2">
      <c r="A4679"/>
    </row>
    <row r="4680" spans="1:1" ht="15" x14ac:dyDescent="0.2">
      <c r="A4680"/>
    </row>
    <row r="4681" spans="1:1" ht="15" x14ac:dyDescent="0.2">
      <c r="A4681"/>
    </row>
    <row r="4682" spans="1:1" ht="15" x14ac:dyDescent="0.2">
      <c r="A4682"/>
    </row>
    <row r="4683" spans="1:1" ht="15" x14ac:dyDescent="0.2">
      <c r="A4683"/>
    </row>
    <row r="4684" spans="1:1" ht="15" x14ac:dyDescent="0.2">
      <c r="A4684"/>
    </row>
    <row r="4685" spans="1:1" ht="15" x14ac:dyDescent="0.2">
      <c r="A4685"/>
    </row>
    <row r="4686" spans="1:1" ht="15" x14ac:dyDescent="0.2">
      <c r="A4686"/>
    </row>
    <row r="4687" spans="1:1" ht="15" x14ac:dyDescent="0.2">
      <c r="A4687"/>
    </row>
    <row r="4688" spans="1:1" ht="15" x14ac:dyDescent="0.2">
      <c r="A4688"/>
    </row>
    <row r="4689" spans="1:1" ht="15" x14ac:dyDescent="0.2">
      <c r="A4689"/>
    </row>
    <row r="4690" spans="1:1" ht="15" x14ac:dyDescent="0.2">
      <c r="A4690"/>
    </row>
    <row r="4691" spans="1:1" ht="15" x14ac:dyDescent="0.2">
      <c r="A4691"/>
    </row>
    <row r="4692" spans="1:1" ht="15" x14ac:dyDescent="0.2">
      <c r="A4692"/>
    </row>
    <row r="4693" spans="1:1" ht="15" x14ac:dyDescent="0.2">
      <c r="A4693"/>
    </row>
    <row r="4694" spans="1:1" ht="15" x14ac:dyDescent="0.2">
      <c r="A4694"/>
    </row>
    <row r="4695" spans="1:1" ht="15" x14ac:dyDescent="0.2">
      <c r="A4695"/>
    </row>
    <row r="4696" spans="1:1" ht="15" x14ac:dyDescent="0.2">
      <c r="A4696"/>
    </row>
    <row r="4697" spans="1:1" ht="15" x14ac:dyDescent="0.2">
      <c r="A4697"/>
    </row>
    <row r="4698" spans="1:1" ht="15" x14ac:dyDescent="0.2">
      <c r="A4698"/>
    </row>
    <row r="4699" spans="1:1" ht="15" x14ac:dyDescent="0.2">
      <c r="A4699"/>
    </row>
    <row r="4700" spans="1:1" ht="15" x14ac:dyDescent="0.2">
      <c r="A4700"/>
    </row>
    <row r="4701" spans="1:1" ht="15" x14ac:dyDescent="0.2">
      <c r="A4701"/>
    </row>
    <row r="4702" spans="1:1" ht="15" x14ac:dyDescent="0.2">
      <c r="A4702"/>
    </row>
    <row r="4703" spans="1:1" ht="15" x14ac:dyDescent="0.2">
      <c r="A4703"/>
    </row>
    <row r="4704" spans="1:1" ht="15" x14ac:dyDescent="0.2">
      <c r="A4704"/>
    </row>
    <row r="4705" spans="1:1" ht="15" x14ac:dyDescent="0.2">
      <c r="A4705"/>
    </row>
    <row r="4706" spans="1:1" ht="15" x14ac:dyDescent="0.2">
      <c r="A4706"/>
    </row>
    <row r="4707" spans="1:1" ht="15" x14ac:dyDescent="0.2">
      <c r="A4707"/>
    </row>
    <row r="4708" spans="1:1" ht="15" x14ac:dyDescent="0.2">
      <c r="A4708"/>
    </row>
    <row r="4709" spans="1:1" ht="15" x14ac:dyDescent="0.2">
      <c r="A4709"/>
    </row>
    <row r="4710" spans="1:1" ht="15" x14ac:dyDescent="0.2">
      <c r="A4710"/>
    </row>
    <row r="4711" spans="1:1" ht="15" x14ac:dyDescent="0.2">
      <c r="A4711"/>
    </row>
    <row r="4712" spans="1:1" ht="15" x14ac:dyDescent="0.2">
      <c r="A4712"/>
    </row>
    <row r="4713" spans="1:1" ht="15" x14ac:dyDescent="0.2">
      <c r="A4713"/>
    </row>
    <row r="4714" spans="1:1" ht="15" x14ac:dyDescent="0.2">
      <c r="A4714"/>
    </row>
    <row r="4715" spans="1:1" ht="15" x14ac:dyDescent="0.2">
      <c r="A4715"/>
    </row>
    <row r="4716" spans="1:1" ht="15" x14ac:dyDescent="0.2">
      <c r="A4716"/>
    </row>
    <row r="4717" spans="1:1" ht="15" x14ac:dyDescent="0.2">
      <c r="A4717"/>
    </row>
    <row r="4718" spans="1:1" ht="15" x14ac:dyDescent="0.2">
      <c r="A4718"/>
    </row>
    <row r="4719" spans="1:1" ht="15" x14ac:dyDescent="0.2">
      <c r="A4719"/>
    </row>
    <row r="4720" spans="1:1" ht="15" x14ac:dyDescent="0.2">
      <c r="A4720"/>
    </row>
    <row r="4721" spans="1:1" ht="15" x14ac:dyDescent="0.2">
      <c r="A4721"/>
    </row>
    <row r="4722" spans="1:1" ht="15" x14ac:dyDescent="0.2">
      <c r="A4722"/>
    </row>
    <row r="4723" spans="1:1" ht="15" x14ac:dyDescent="0.2">
      <c r="A4723"/>
    </row>
    <row r="4724" spans="1:1" ht="15" x14ac:dyDescent="0.2">
      <c r="A4724"/>
    </row>
    <row r="4725" spans="1:1" ht="15" x14ac:dyDescent="0.2">
      <c r="A4725"/>
    </row>
    <row r="4726" spans="1:1" ht="15" x14ac:dyDescent="0.2">
      <c r="A4726"/>
    </row>
    <row r="4727" spans="1:1" ht="15" x14ac:dyDescent="0.2">
      <c r="A4727"/>
    </row>
    <row r="4728" spans="1:1" ht="15" x14ac:dyDescent="0.2">
      <c r="A4728"/>
    </row>
    <row r="4729" spans="1:1" ht="15" x14ac:dyDescent="0.2">
      <c r="A4729"/>
    </row>
    <row r="4730" spans="1:1" ht="15" x14ac:dyDescent="0.2">
      <c r="A4730"/>
    </row>
    <row r="4731" spans="1:1" ht="15" x14ac:dyDescent="0.2">
      <c r="A4731"/>
    </row>
    <row r="4732" spans="1:1" ht="15" x14ac:dyDescent="0.2">
      <c r="A4732"/>
    </row>
    <row r="4733" spans="1:1" ht="15" x14ac:dyDescent="0.2">
      <c r="A4733"/>
    </row>
    <row r="4734" spans="1:1" ht="15" x14ac:dyDescent="0.2">
      <c r="A4734"/>
    </row>
    <row r="4735" spans="1:1" ht="15" x14ac:dyDescent="0.2">
      <c r="A4735"/>
    </row>
    <row r="4736" spans="1:1" ht="15" x14ac:dyDescent="0.2">
      <c r="A4736"/>
    </row>
    <row r="4737" spans="1:1" ht="15" x14ac:dyDescent="0.2">
      <c r="A4737"/>
    </row>
    <row r="4738" spans="1:1" ht="15" x14ac:dyDescent="0.2">
      <c r="A4738"/>
    </row>
    <row r="4739" spans="1:1" ht="15" x14ac:dyDescent="0.2">
      <c r="A4739"/>
    </row>
    <row r="4740" spans="1:1" ht="15" x14ac:dyDescent="0.2">
      <c r="A4740"/>
    </row>
    <row r="4741" spans="1:1" ht="15" x14ac:dyDescent="0.2">
      <c r="A4741"/>
    </row>
    <row r="4742" spans="1:1" ht="15" x14ac:dyDescent="0.2">
      <c r="A4742"/>
    </row>
    <row r="4743" spans="1:1" ht="15" x14ac:dyDescent="0.2">
      <c r="A4743"/>
    </row>
    <row r="4744" spans="1:1" ht="15" x14ac:dyDescent="0.2">
      <c r="A4744"/>
    </row>
    <row r="4745" spans="1:1" ht="15" x14ac:dyDescent="0.2">
      <c r="A4745"/>
    </row>
    <row r="4746" spans="1:1" ht="15" x14ac:dyDescent="0.2">
      <c r="A4746"/>
    </row>
    <row r="4747" spans="1:1" ht="15" x14ac:dyDescent="0.2">
      <c r="A4747"/>
    </row>
    <row r="4748" spans="1:1" ht="15" x14ac:dyDescent="0.2">
      <c r="A4748"/>
    </row>
    <row r="4749" spans="1:1" ht="15" x14ac:dyDescent="0.2">
      <c r="A4749"/>
    </row>
    <row r="4750" spans="1:1" ht="15" x14ac:dyDescent="0.2">
      <c r="A4750"/>
    </row>
    <row r="4751" spans="1:1" ht="15" x14ac:dyDescent="0.2">
      <c r="A4751"/>
    </row>
    <row r="4752" spans="1:1" ht="15" x14ac:dyDescent="0.2">
      <c r="A4752"/>
    </row>
    <row r="4753" spans="1:1" ht="15" x14ac:dyDescent="0.2">
      <c r="A4753"/>
    </row>
    <row r="4754" spans="1:1" ht="15" x14ac:dyDescent="0.2">
      <c r="A4754"/>
    </row>
    <row r="4755" spans="1:1" ht="15" x14ac:dyDescent="0.2">
      <c r="A4755"/>
    </row>
    <row r="4756" spans="1:1" ht="15" x14ac:dyDescent="0.2">
      <c r="A4756"/>
    </row>
    <row r="4757" spans="1:1" ht="15" x14ac:dyDescent="0.2">
      <c r="A4757"/>
    </row>
    <row r="4758" spans="1:1" ht="15" x14ac:dyDescent="0.2">
      <c r="A4758"/>
    </row>
    <row r="4759" spans="1:1" ht="15" x14ac:dyDescent="0.2">
      <c r="A4759"/>
    </row>
    <row r="4760" spans="1:1" ht="15" x14ac:dyDescent="0.2">
      <c r="A4760"/>
    </row>
    <row r="4761" spans="1:1" ht="15" x14ac:dyDescent="0.2">
      <c r="A4761"/>
    </row>
    <row r="4762" spans="1:1" ht="15" x14ac:dyDescent="0.2">
      <c r="A4762"/>
    </row>
    <row r="4763" spans="1:1" ht="15" x14ac:dyDescent="0.2">
      <c r="A4763"/>
    </row>
    <row r="4764" spans="1:1" ht="15" x14ac:dyDescent="0.2">
      <c r="A4764"/>
    </row>
    <row r="4765" spans="1:1" ht="15" x14ac:dyDescent="0.2">
      <c r="A4765"/>
    </row>
    <row r="4766" spans="1:1" ht="15" x14ac:dyDescent="0.2">
      <c r="A4766"/>
    </row>
    <row r="4767" spans="1:1" ht="15" x14ac:dyDescent="0.2">
      <c r="A4767"/>
    </row>
    <row r="4768" spans="1:1" ht="15" x14ac:dyDescent="0.2">
      <c r="A4768"/>
    </row>
    <row r="4769" spans="1:1" ht="15" x14ac:dyDescent="0.2">
      <c r="A4769"/>
    </row>
    <row r="4770" spans="1:1" ht="15" x14ac:dyDescent="0.2">
      <c r="A4770"/>
    </row>
    <row r="4771" spans="1:1" ht="15" x14ac:dyDescent="0.2">
      <c r="A4771"/>
    </row>
    <row r="4772" spans="1:1" ht="15" x14ac:dyDescent="0.2">
      <c r="A4772"/>
    </row>
    <row r="4773" spans="1:1" ht="15" x14ac:dyDescent="0.2">
      <c r="A4773"/>
    </row>
    <row r="4774" spans="1:1" ht="15" x14ac:dyDescent="0.2">
      <c r="A4774"/>
    </row>
    <row r="4775" spans="1:1" ht="15" x14ac:dyDescent="0.2">
      <c r="A4775"/>
    </row>
    <row r="4776" spans="1:1" ht="15" x14ac:dyDescent="0.2">
      <c r="A4776"/>
    </row>
    <row r="4777" spans="1:1" ht="15" x14ac:dyDescent="0.2">
      <c r="A4777"/>
    </row>
    <row r="4778" spans="1:1" ht="15" x14ac:dyDescent="0.2">
      <c r="A4778"/>
    </row>
    <row r="4779" spans="1:1" ht="15" x14ac:dyDescent="0.2">
      <c r="A4779"/>
    </row>
    <row r="4780" spans="1:1" ht="15" x14ac:dyDescent="0.2">
      <c r="A4780"/>
    </row>
    <row r="4781" spans="1:1" ht="15" x14ac:dyDescent="0.2">
      <c r="A4781"/>
    </row>
    <row r="4782" spans="1:1" ht="15" x14ac:dyDescent="0.2">
      <c r="A4782"/>
    </row>
    <row r="4783" spans="1:1" ht="15" x14ac:dyDescent="0.2">
      <c r="A4783"/>
    </row>
    <row r="4784" spans="1:1" ht="15" x14ac:dyDescent="0.2">
      <c r="A4784"/>
    </row>
    <row r="4785" spans="1:1" ht="15" x14ac:dyDescent="0.2">
      <c r="A4785"/>
    </row>
    <row r="4786" spans="1:1" ht="15" x14ac:dyDescent="0.2">
      <c r="A4786"/>
    </row>
    <row r="4787" spans="1:1" ht="15" x14ac:dyDescent="0.2">
      <c r="A4787"/>
    </row>
    <row r="4788" spans="1:1" ht="15" x14ac:dyDescent="0.2">
      <c r="A4788"/>
    </row>
    <row r="4789" spans="1:1" ht="15" x14ac:dyDescent="0.2">
      <c r="A4789"/>
    </row>
    <row r="4790" spans="1:1" ht="15" x14ac:dyDescent="0.2">
      <c r="A4790"/>
    </row>
    <row r="4791" spans="1:1" ht="15" x14ac:dyDescent="0.2">
      <c r="A4791"/>
    </row>
    <row r="4792" spans="1:1" ht="15" x14ac:dyDescent="0.2">
      <c r="A4792"/>
    </row>
    <row r="4793" spans="1:1" ht="15" x14ac:dyDescent="0.2">
      <c r="A4793"/>
    </row>
    <row r="4794" spans="1:1" ht="15" x14ac:dyDescent="0.2">
      <c r="A4794"/>
    </row>
    <row r="4795" spans="1:1" ht="15" x14ac:dyDescent="0.2">
      <c r="A4795"/>
    </row>
    <row r="4796" spans="1:1" ht="15" x14ac:dyDescent="0.2">
      <c r="A4796"/>
    </row>
    <row r="4797" spans="1:1" ht="15" x14ac:dyDescent="0.2">
      <c r="A4797"/>
    </row>
    <row r="4798" spans="1:1" ht="15" x14ac:dyDescent="0.2">
      <c r="A4798"/>
    </row>
    <row r="4799" spans="1:1" ht="15" x14ac:dyDescent="0.2">
      <c r="A4799"/>
    </row>
    <row r="4800" spans="1:1" ht="15" x14ac:dyDescent="0.2">
      <c r="A4800"/>
    </row>
    <row r="4801" spans="1:1" ht="15" x14ac:dyDescent="0.2">
      <c r="A4801"/>
    </row>
    <row r="4802" spans="1:1" ht="15" x14ac:dyDescent="0.2">
      <c r="A4802"/>
    </row>
    <row r="4803" spans="1:1" ht="15" x14ac:dyDescent="0.2">
      <c r="A4803"/>
    </row>
    <row r="4804" spans="1:1" ht="15" x14ac:dyDescent="0.2">
      <c r="A4804"/>
    </row>
    <row r="4805" spans="1:1" ht="15" x14ac:dyDescent="0.2">
      <c r="A4805"/>
    </row>
    <row r="4806" spans="1:1" ht="15" x14ac:dyDescent="0.2">
      <c r="A4806"/>
    </row>
    <row r="4807" spans="1:1" ht="15" x14ac:dyDescent="0.2">
      <c r="A4807"/>
    </row>
    <row r="4808" spans="1:1" ht="15" x14ac:dyDescent="0.2">
      <c r="A4808"/>
    </row>
    <row r="4809" spans="1:1" ht="15" x14ac:dyDescent="0.2">
      <c r="A4809"/>
    </row>
    <row r="4810" spans="1:1" ht="15" x14ac:dyDescent="0.2">
      <c r="A4810"/>
    </row>
    <row r="4811" spans="1:1" ht="15" x14ac:dyDescent="0.2">
      <c r="A4811"/>
    </row>
    <row r="4812" spans="1:1" ht="15" x14ac:dyDescent="0.2">
      <c r="A4812"/>
    </row>
    <row r="4813" spans="1:1" ht="15" x14ac:dyDescent="0.2">
      <c r="A4813"/>
    </row>
    <row r="4814" spans="1:1" ht="15" x14ac:dyDescent="0.2">
      <c r="A4814"/>
    </row>
    <row r="4815" spans="1:1" ht="15" x14ac:dyDescent="0.2">
      <c r="A4815"/>
    </row>
    <row r="4816" spans="1:1" ht="15" x14ac:dyDescent="0.2">
      <c r="A4816"/>
    </row>
    <row r="4817" spans="1:1" ht="15" x14ac:dyDescent="0.2">
      <c r="A4817"/>
    </row>
    <row r="4818" spans="1:1" ht="15" x14ac:dyDescent="0.2">
      <c r="A4818"/>
    </row>
    <row r="4819" spans="1:1" ht="15" x14ac:dyDescent="0.2">
      <c r="A4819"/>
    </row>
    <row r="4820" spans="1:1" ht="15" x14ac:dyDescent="0.2">
      <c r="A4820"/>
    </row>
    <row r="4821" spans="1:1" ht="15" x14ac:dyDescent="0.2">
      <c r="A4821"/>
    </row>
    <row r="4822" spans="1:1" ht="15" x14ac:dyDescent="0.2">
      <c r="A4822"/>
    </row>
    <row r="4823" spans="1:1" ht="15" x14ac:dyDescent="0.2">
      <c r="A4823"/>
    </row>
    <row r="4824" spans="1:1" ht="15" x14ac:dyDescent="0.2">
      <c r="A4824"/>
    </row>
    <row r="4825" spans="1:1" ht="15" x14ac:dyDescent="0.2">
      <c r="A4825"/>
    </row>
    <row r="4826" spans="1:1" ht="15" x14ac:dyDescent="0.2">
      <c r="A4826"/>
    </row>
    <row r="4827" spans="1:1" ht="15" x14ac:dyDescent="0.2">
      <c r="A4827"/>
    </row>
    <row r="4828" spans="1:1" ht="15" x14ac:dyDescent="0.2">
      <c r="A4828"/>
    </row>
    <row r="4829" spans="1:1" ht="15" x14ac:dyDescent="0.2">
      <c r="A4829"/>
    </row>
    <row r="4830" spans="1:1" ht="15" x14ac:dyDescent="0.2">
      <c r="A4830"/>
    </row>
    <row r="4831" spans="1:1" ht="15" x14ac:dyDescent="0.2">
      <c r="A4831"/>
    </row>
    <row r="4832" spans="1:1" ht="15" x14ac:dyDescent="0.2">
      <c r="A4832"/>
    </row>
    <row r="4833" spans="1:1" ht="15" x14ac:dyDescent="0.2">
      <c r="A4833"/>
    </row>
    <row r="4834" spans="1:1" ht="15" x14ac:dyDescent="0.2">
      <c r="A4834"/>
    </row>
    <row r="4835" spans="1:1" ht="15" x14ac:dyDescent="0.2">
      <c r="A4835"/>
    </row>
    <row r="4836" spans="1:1" ht="15" x14ac:dyDescent="0.2">
      <c r="A4836"/>
    </row>
    <row r="4837" spans="1:1" ht="15" x14ac:dyDescent="0.2">
      <c r="A4837"/>
    </row>
    <row r="4838" spans="1:1" ht="15" x14ac:dyDescent="0.2">
      <c r="A4838"/>
    </row>
    <row r="4839" spans="1:1" ht="15" x14ac:dyDescent="0.2">
      <c r="A4839"/>
    </row>
    <row r="4840" spans="1:1" ht="15" x14ac:dyDescent="0.2">
      <c r="A4840"/>
    </row>
    <row r="4841" spans="1:1" ht="15" x14ac:dyDescent="0.2">
      <c r="A4841"/>
    </row>
    <row r="4842" spans="1:1" ht="15" x14ac:dyDescent="0.2">
      <c r="A4842"/>
    </row>
    <row r="4843" spans="1:1" ht="15" x14ac:dyDescent="0.2">
      <c r="A4843"/>
    </row>
    <row r="4844" spans="1:1" ht="15" x14ac:dyDescent="0.2">
      <c r="A4844"/>
    </row>
    <row r="4845" spans="1:1" ht="15" x14ac:dyDescent="0.2">
      <c r="A4845"/>
    </row>
    <row r="4846" spans="1:1" ht="15" x14ac:dyDescent="0.2">
      <c r="A4846"/>
    </row>
    <row r="4847" spans="1:1" ht="15" x14ac:dyDescent="0.2">
      <c r="A4847"/>
    </row>
    <row r="4848" spans="1:1" ht="15" x14ac:dyDescent="0.2">
      <c r="A4848"/>
    </row>
    <row r="4849" spans="1:1" ht="15" x14ac:dyDescent="0.2">
      <c r="A4849"/>
    </row>
    <row r="4850" spans="1:1" ht="15" x14ac:dyDescent="0.2">
      <c r="A4850"/>
    </row>
    <row r="4851" spans="1:1" ht="15" x14ac:dyDescent="0.2">
      <c r="A4851"/>
    </row>
    <row r="4852" spans="1:1" ht="15" x14ac:dyDescent="0.2">
      <c r="A4852"/>
    </row>
    <row r="4853" spans="1:1" ht="15" x14ac:dyDescent="0.2">
      <c r="A4853"/>
    </row>
    <row r="4854" spans="1:1" ht="15" x14ac:dyDescent="0.2">
      <c r="A4854"/>
    </row>
    <row r="4855" spans="1:1" ht="15" x14ac:dyDescent="0.2">
      <c r="A4855"/>
    </row>
    <row r="4856" spans="1:1" ht="15" x14ac:dyDescent="0.2">
      <c r="A4856"/>
    </row>
    <row r="4857" spans="1:1" ht="15" x14ac:dyDescent="0.2">
      <c r="A4857"/>
    </row>
    <row r="4858" spans="1:1" ht="15" x14ac:dyDescent="0.2">
      <c r="A4858"/>
    </row>
    <row r="4859" spans="1:1" ht="15" x14ac:dyDescent="0.2">
      <c r="A4859"/>
    </row>
    <row r="4860" spans="1:1" ht="15" x14ac:dyDescent="0.2">
      <c r="A4860"/>
    </row>
    <row r="4861" spans="1:1" ht="15" x14ac:dyDescent="0.2">
      <c r="A4861"/>
    </row>
    <row r="4862" spans="1:1" ht="15" x14ac:dyDescent="0.2">
      <c r="A4862"/>
    </row>
    <row r="4863" spans="1:1" ht="15" x14ac:dyDescent="0.2">
      <c r="A4863"/>
    </row>
    <row r="4864" spans="1:1" ht="15" x14ac:dyDescent="0.2">
      <c r="A4864"/>
    </row>
    <row r="4865" spans="1:1" ht="15" x14ac:dyDescent="0.2">
      <c r="A4865"/>
    </row>
    <row r="4866" spans="1:1" ht="15" x14ac:dyDescent="0.2">
      <c r="A4866"/>
    </row>
    <row r="4867" spans="1:1" ht="15" x14ac:dyDescent="0.2">
      <c r="A4867"/>
    </row>
    <row r="4868" spans="1:1" ht="15" x14ac:dyDescent="0.2">
      <c r="A4868"/>
    </row>
    <row r="4869" spans="1:1" ht="15" x14ac:dyDescent="0.2">
      <c r="A4869"/>
    </row>
    <row r="4870" spans="1:1" ht="15" x14ac:dyDescent="0.2">
      <c r="A4870"/>
    </row>
    <row r="4871" spans="1:1" ht="15" x14ac:dyDescent="0.2">
      <c r="A4871"/>
    </row>
    <row r="4872" spans="1:1" ht="15" x14ac:dyDescent="0.2">
      <c r="A4872"/>
    </row>
    <row r="4873" spans="1:1" ht="15" x14ac:dyDescent="0.2">
      <c r="A4873"/>
    </row>
    <row r="4874" spans="1:1" ht="15" x14ac:dyDescent="0.2">
      <c r="A4874"/>
    </row>
    <row r="4875" spans="1:1" ht="15" x14ac:dyDescent="0.2">
      <c r="A4875"/>
    </row>
    <row r="4876" spans="1:1" ht="15" x14ac:dyDescent="0.2">
      <c r="A4876"/>
    </row>
    <row r="4877" spans="1:1" ht="15" x14ac:dyDescent="0.2">
      <c r="A4877"/>
    </row>
    <row r="4878" spans="1:1" ht="15" x14ac:dyDescent="0.2">
      <c r="A4878"/>
    </row>
    <row r="4879" spans="1:1" ht="15" x14ac:dyDescent="0.2">
      <c r="A4879"/>
    </row>
    <row r="4880" spans="1:1" ht="15" x14ac:dyDescent="0.2">
      <c r="A4880"/>
    </row>
    <row r="4881" spans="1:1" ht="15" x14ac:dyDescent="0.2">
      <c r="A4881"/>
    </row>
    <row r="4882" spans="1:1" ht="15" x14ac:dyDescent="0.2">
      <c r="A4882"/>
    </row>
    <row r="4883" spans="1:1" ht="15" x14ac:dyDescent="0.2">
      <c r="A4883"/>
    </row>
    <row r="4884" spans="1:1" ht="15" x14ac:dyDescent="0.2">
      <c r="A4884"/>
    </row>
    <row r="4885" spans="1:1" ht="15" x14ac:dyDescent="0.2">
      <c r="A4885"/>
    </row>
    <row r="4886" spans="1:1" ht="15" x14ac:dyDescent="0.2">
      <c r="A4886"/>
    </row>
    <row r="4887" spans="1:1" ht="15" x14ac:dyDescent="0.2">
      <c r="A4887"/>
    </row>
    <row r="4888" spans="1:1" ht="15" x14ac:dyDescent="0.2">
      <c r="A4888"/>
    </row>
    <row r="4889" spans="1:1" ht="15" x14ac:dyDescent="0.2">
      <c r="A4889"/>
    </row>
    <row r="4890" spans="1:1" ht="15" x14ac:dyDescent="0.2">
      <c r="A4890"/>
    </row>
    <row r="4891" spans="1:1" ht="15" x14ac:dyDescent="0.2">
      <c r="A4891"/>
    </row>
    <row r="4892" spans="1:1" ht="15" x14ac:dyDescent="0.2">
      <c r="A4892"/>
    </row>
    <row r="4893" spans="1:1" ht="15" x14ac:dyDescent="0.2">
      <c r="A4893"/>
    </row>
    <row r="4894" spans="1:1" ht="15" x14ac:dyDescent="0.2">
      <c r="A4894"/>
    </row>
    <row r="4895" spans="1:1" ht="15" x14ac:dyDescent="0.2">
      <c r="A4895"/>
    </row>
    <row r="4896" spans="1:1" ht="15" x14ac:dyDescent="0.2">
      <c r="A4896"/>
    </row>
    <row r="4897" spans="1:1" ht="15" x14ac:dyDescent="0.2">
      <c r="A4897"/>
    </row>
    <row r="4898" spans="1:1" ht="15" x14ac:dyDescent="0.2">
      <c r="A4898"/>
    </row>
    <row r="4899" spans="1:1" ht="15" x14ac:dyDescent="0.2">
      <c r="A4899"/>
    </row>
    <row r="4900" spans="1:1" ht="15" x14ac:dyDescent="0.2">
      <c r="A4900"/>
    </row>
    <row r="4901" spans="1:1" ht="15" x14ac:dyDescent="0.2">
      <c r="A4901"/>
    </row>
    <row r="4902" spans="1:1" ht="15" x14ac:dyDescent="0.2">
      <c r="A4902"/>
    </row>
    <row r="4903" spans="1:1" ht="15" x14ac:dyDescent="0.2">
      <c r="A4903"/>
    </row>
    <row r="4904" spans="1:1" ht="15" x14ac:dyDescent="0.2">
      <c r="A4904"/>
    </row>
    <row r="4905" spans="1:1" ht="15" x14ac:dyDescent="0.2">
      <c r="A4905"/>
    </row>
    <row r="4906" spans="1:1" ht="15" x14ac:dyDescent="0.2">
      <c r="A4906"/>
    </row>
    <row r="4907" spans="1:1" ht="15" x14ac:dyDescent="0.2">
      <c r="A4907"/>
    </row>
    <row r="4908" spans="1:1" ht="15" x14ac:dyDescent="0.2">
      <c r="A4908"/>
    </row>
    <row r="4909" spans="1:1" ht="15" x14ac:dyDescent="0.2">
      <c r="A4909"/>
    </row>
    <row r="4910" spans="1:1" ht="15" x14ac:dyDescent="0.2">
      <c r="A4910"/>
    </row>
    <row r="4911" spans="1:1" ht="15" x14ac:dyDescent="0.2">
      <c r="A4911"/>
    </row>
    <row r="4912" spans="1:1" ht="15" x14ac:dyDescent="0.2">
      <c r="A4912"/>
    </row>
    <row r="4913" spans="1:1" ht="15" x14ac:dyDescent="0.2">
      <c r="A4913"/>
    </row>
    <row r="4914" spans="1:1" ht="15" x14ac:dyDescent="0.2">
      <c r="A4914"/>
    </row>
    <row r="4915" spans="1:1" ht="15" x14ac:dyDescent="0.2">
      <c r="A4915"/>
    </row>
    <row r="4916" spans="1:1" ht="15" x14ac:dyDescent="0.2">
      <c r="A4916"/>
    </row>
    <row r="4917" spans="1:1" ht="15" x14ac:dyDescent="0.2">
      <c r="A4917"/>
    </row>
    <row r="4918" spans="1:1" ht="15" x14ac:dyDescent="0.2">
      <c r="A4918"/>
    </row>
    <row r="4919" spans="1:1" ht="15" x14ac:dyDescent="0.2">
      <c r="A4919"/>
    </row>
    <row r="4920" spans="1:1" ht="15" x14ac:dyDescent="0.2">
      <c r="A4920"/>
    </row>
    <row r="4921" spans="1:1" ht="15" x14ac:dyDescent="0.2">
      <c r="A4921"/>
    </row>
    <row r="4922" spans="1:1" ht="15" x14ac:dyDescent="0.2">
      <c r="A4922"/>
    </row>
    <row r="4923" spans="1:1" ht="15" x14ac:dyDescent="0.2">
      <c r="A4923"/>
    </row>
    <row r="4924" spans="1:1" ht="15" x14ac:dyDescent="0.2">
      <c r="A4924"/>
    </row>
    <row r="4925" spans="1:1" ht="15" x14ac:dyDescent="0.2">
      <c r="A4925"/>
    </row>
    <row r="4926" spans="1:1" ht="15" x14ac:dyDescent="0.2">
      <c r="A4926"/>
    </row>
    <row r="4927" spans="1:1" ht="15" x14ac:dyDescent="0.2">
      <c r="A4927"/>
    </row>
    <row r="4928" spans="1:1" ht="15" x14ac:dyDescent="0.2">
      <c r="A4928"/>
    </row>
    <row r="4929" spans="1:1" ht="15" x14ac:dyDescent="0.2">
      <c r="A4929"/>
    </row>
    <row r="4930" spans="1:1" ht="15" x14ac:dyDescent="0.2">
      <c r="A4930"/>
    </row>
    <row r="4931" spans="1:1" ht="15" x14ac:dyDescent="0.2">
      <c r="A4931"/>
    </row>
    <row r="4932" spans="1:1" ht="15" x14ac:dyDescent="0.2">
      <c r="A4932"/>
    </row>
    <row r="4933" spans="1:1" ht="15" x14ac:dyDescent="0.2">
      <c r="A4933"/>
    </row>
    <row r="4934" spans="1:1" ht="15" x14ac:dyDescent="0.2">
      <c r="A4934"/>
    </row>
    <row r="4935" spans="1:1" ht="15" x14ac:dyDescent="0.2">
      <c r="A4935"/>
    </row>
    <row r="4936" spans="1:1" ht="15" x14ac:dyDescent="0.2">
      <c r="A4936"/>
    </row>
    <row r="4937" spans="1:1" ht="15" x14ac:dyDescent="0.2">
      <c r="A4937"/>
    </row>
    <row r="4938" spans="1:1" ht="15" x14ac:dyDescent="0.2">
      <c r="A4938"/>
    </row>
    <row r="4939" spans="1:1" ht="15" x14ac:dyDescent="0.2">
      <c r="A4939"/>
    </row>
    <row r="4940" spans="1:1" ht="15" x14ac:dyDescent="0.2">
      <c r="A4940"/>
    </row>
    <row r="4941" spans="1:1" ht="15" x14ac:dyDescent="0.2">
      <c r="A4941"/>
    </row>
    <row r="4942" spans="1:1" ht="15" x14ac:dyDescent="0.2">
      <c r="A4942"/>
    </row>
    <row r="4943" spans="1:1" ht="15" x14ac:dyDescent="0.2">
      <c r="A4943"/>
    </row>
    <row r="4944" spans="1:1" ht="15" x14ac:dyDescent="0.2">
      <c r="A4944"/>
    </row>
    <row r="4945" spans="1:1" ht="15" x14ac:dyDescent="0.2">
      <c r="A4945"/>
    </row>
    <row r="4946" spans="1:1" ht="15" x14ac:dyDescent="0.2">
      <c r="A4946"/>
    </row>
    <row r="4947" spans="1:1" ht="15" x14ac:dyDescent="0.2">
      <c r="A4947"/>
    </row>
    <row r="4948" spans="1:1" ht="15" x14ac:dyDescent="0.2">
      <c r="A4948"/>
    </row>
    <row r="4949" spans="1:1" ht="15" x14ac:dyDescent="0.2">
      <c r="A4949"/>
    </row>
    <row r="4950" spans="1:1" ht="15" x14ac:dyDescent="0.2">
      <c r="A4950"/>
    </row>
    <row r="4951" spans="1:1" ht="15" x14ac:dyDescent="0.2">
      <c r="A4951"/>
    </row>
    <row r="4952" spans="1:1" ht="15" x14ac:dyDescent="0.2">
      <c r="A4952"/>
    </row>
    <row r="4953" spans="1:1" ht="15" x14ac:dyDescent="0.2">
      <c r="A4953"/>
    </row>
    <row r="4954" spans="1:1" ht="15" x14ac:dyDescent="0.2">
      <c r="A4954"/>
    </row>
    <row r="4955" spans="1:1" ht="15" x14ac:dyDescent="0.2">
      <c r="A4955"/>
    </row>
    <row r="4956" spans="1:1" ht="15" x14ac:dyDescent="0.2">
      <c r="A4956"/>
    </row>
    <row r="4957" spans="1:1" ht="15" x14ac:dyDescent="0.2">
      <c r="A4957"/>
    </row>
    <row r="4958" spans="1:1" ht="15" x14ac:dyDescent="0.2">
      <c r="A4958"/>
    </row>
    <row r="4959" spans="1:1" ht="15" x14ac:dyDescent="0.2">
      <c r="A4959"/>
    </row>
    <row r="4960" spans="1:1" ht="15" x14ac:dyDescent="0.2">
      <c r="A4960"/>
    </row>
    <row r="4961" spans="1:1" ht="15" x14ac:dyDescent="0.2">
      <c r="A4961"/>
    </row>
    <row r="4962" spans="1:1" ht="15" x14ac:dyDescent="0.2">
      <c r="A4962"/>
    </row>
    <row r="4963" spans="1:1" ht="15" x14ac:dyDescent="0.2">
      <c r="A4963"/>
    </row>
    <row r="4964" spans="1:1" ht="15" x14ac:dyDescent="0.2">
      <c r="A4964"/>
    </row>
    <row r="4965" spans="1:1" ht="15" x14ac:dyDescent="0.2">
      <c r="A4965"/>
    </row>
    <row r="4966" spans="1:1" ht="15" x14ac:dyDescent="0.2">
      <c r="A4966"/>
    </row>
    <row r="4967" spans="1:1" ht="15" x14ac:dyDescent="0.2">
      <c r="A4967"/>
    </row>
    <row r="4968" spans="1:1" ht="15" x14ac:dyDescent="0.2">
      <c r="A4968"/>
    </row>
    <row r="4969" spans="1:1" ht="15" x14ac:dyDescent="0.2">
      <c r="A4969"/>
    </row>
    <row r="4970" spans="1:1" ht="15" x14ac:dyDescent="0.2">
      <c r="A4970"/>
    </row>
    <row r="4971" spans="1:1" ht="15" x14ac:dyDescent="0.2">
      <c r="A4971"/>
    </row>
    <row r="4972" spans="1:1" ht="15" x14ac:dyDescent="0.2">
      <c r="A4972"/>
    </row>
    <row r="4973" spans="1:1" ht="15" x14ac:dyDescent="0.2">
      <c r="A4973"/>
    </row>
    <row r="4974" spans="1:1" ht="15" x14ac:dyDescent="0.2">
      <c r="A4974"/>
    </row>
    <row r="4975" spans="1:1" ht="15" x14ac:dyDescent="0.2">
      <c r="A4975"/>
    </row>
    <row r="4976" spans="1:1" ht="15" x14ac:dyDescent="0.2">
      <c r="A4976"/>
    </row>
    <row r="4977" spans="1:1" ht="15" x14ac:dyDescent="0.2">
      <c r="A4977"/>
    </row>
    <row r="4978" spans="1:1" ht="15" x14ac:dyDescent="0.2">
      <c r="A4978"/>
    </row>
    <row r="4979" spans="1:1" ht="15" x14ac:dyDescent="0.2">
      <c r="A4979"/>
    </row>
    <row r="4980" spans="1:1" ht="15" x14ac:dyDescent="0.2">
      <c r="A4980"/>
    </row>
    <row r="4981" spans="1:1" ht="15" x14ac:dyDescent="0.2">
      <c r="A4981"/>
    </row>
    <row r="4982" spans="1:1" ht="15" x14ac:dyDescent="0.2">
      <c r="A4982"/>
    </row>
    <row r="4983" spans="1:1" ht="15" x14ac:dyDescent="0.2">
      <c r="A4983"/>
    </row>
    <row r="4984" spans="1:1" ht="15" x14ac:dyDescent="0.2">
      <c r="A4984"/>
    </row>
    <row r="4985" spans="1:1" ht="15" x14ac:dyDescent="0.2">
      <c r="A4985"/>
    </row>
    <row r="4986" spans="1:1" ht="15" x14ac:dyDescent="0.2">
      <c r="A4986"/>
    </row>
    <row r="4987" spans="1:1" ht="15" x14ac:dyDescent="0.2">
      <c r="A4987"/>
    </row>
    <row r="4988" spans="1:1" ht="15" x14ac:dyDescent="0.2">
      <c r="A4988"/>
    </row>
    <row r="4989" spans="1:1" ht="15" x14ac:dyDescent="0.2">
      <c r="A4989"/>
    </row>
    <row r="4990" spans="1:1" ht="15" x14ac:dyDescent="0.2">
      <c r="A4990"/>
    </row>
    <row r="4991" spans="1:1" ht="15" x14ac:dyDescent="0.2">
      <c r="A4991"/>
    </row>
    <row r="4992" spans="1:1" ht="15" x14ac:dyDescent="0.2">
      <c r="A4992"/>
    </row>
    <row r="4993" spans="1:1" ht="15" x14ac:dyDescent="0.2">
      <c r="A4993"/>
    </row>
    <row r="4994" spans="1:1" ht="15" x14ac:dyDescent="0.2">
      <c r="A4994"/>
    </row>
    <row r="4995" spans="1:1" ht="15" x14ac:dyDescent="0.2">
      <c r="A4995"/>
    </row>
    <row r="4996" spans="1:1" ht="15" x14ac:dyDescent="0.2">
      <c r="A4996"/>
    </row>
    <row r="4997" spans="1:1" ht="15" x14ac:dyDescent="0.2">
      <c r="A4997"/>
    </row>
    <row r="4998" spans="1:1" ht="15" x14ac:dyDescent="0.2">
      <c r="A4998"/>
    </row>
    <row r="4999" spans="1:1" ht="15" x14ac:dyDescent="0.2">
      <c r="A4999"/>
    </row>
    <row r="5000" spans="1:1" ht="15" x14ac:dyDescent="0.2">
      <c r="A5000"/>
    </row>
    <row r="5001" spans="1:1" ht="15" x14ac:dyDescent="0.2">
      <c r="A5001"/>
    </row>
    <row r="5002" spans="1:1" ht="15" x14ac:dyDescent="0.2">
      <c r="A5002"/>
    </row>
    <row r="5003" spans="1:1" ht="15" x14ac:dyDescent="0.2">
      <c r="A5003"/>
    </row>
    <row r="5004" spans="1:1" ht="15" x14ac:dyDescent="0.2">
      <c r="A5004"/>
    </row>
    <row r="5005" spans="1:1" ht="15" x14ac:dyDescent="0.2">
      <c r="A5005"/>
    </row>
    <row r="5006" spans="1:1" ht="15" x14ac:dyDescent="0.2">
      <c r="A5006"/>
    </row>
    <row r="5007" spans="1:1" ht="15" x14ac:dyDescent="0.2">
      <c r="A5007"/>
    </row>
    <row r="5008" spans="1:1" ht="15" x14ac:dyDescent="0.2">
      <c r="A5008"/>
    </row>
    <row r="5009" spans="1:1" ht="15" x14ac:dyDescent="0.2">
      <c r="A5009"/>
    </row>
    <row r="5010" spans="1:1" ht="15" x14ac:dyDescent="0.2">
      <c r="A5010"/>
    </row>
    <row r="5011" spans="1:1" ht="15" x14ac:dyDescent="0.2">
      <c r="A5011"/>
    </row>
    <row r="5012" spans="1:1" ht="15" x14ac:dyDescent="0.2">
      <c r="A5012"/>
    </row>
    <row r="5013" spans="1:1" ht="15" x14ac:dyDescent="0.2">
      <c r="A5013"/>
    </row>
    <row r="5014" spans="1:1" ht="15" x14ac:dyDescent="0.2">
      <c r="A5014"/>
    </row>
    <row r="5015" spans="1:1" ht="15" x14ac:dyDescent="0.2">
      <c r="A5015"/>
    </row>
    <row r="5016" spans="1:1" ht="15" x14ac:dyDescent="0.2">
      <c r="A5016"/>
    </row>
    <row r="5017" spans="1:1" ht="15" x14ac:dyDescent="0.2">
      <c r="A5017"/>
    </row>
    <row r="5018" spans="1:1" ht="15" x14ac:dyDescent="0.2">
      <c r="A5018"/>
    </row>
    <row r="5019" spans="1:1" ht="15" x14ac:dyDescent="0.2">
      <c r="A5019"/>
    </row>
    <row r="5020" spans="1:1" ht="15" x14ac:dyDescent="0.2">
      <c r="A5020"/>
    </row>
    <row r="5021" spans="1:1" ht="15" x14ac:dyDescent="0.2">
      <c r="A5021"/>
    </row>
    <row r="5022" spans="1:1" ht="15" x14ac:dyDescent="0.2">
      <c r="A5022"/>
    </row>
    <row r="5023" spans="1:1" ht="15" x14ac:dyDescent="0.2">
      <c r="A5023"/>
    </row>
    <row r="5024" spans="1:1" ht="15" x14ac:dyDescent="0.2">
      <c r="A5024"/>
    </row>
    <row r="5025" spans="1:1" ht="15" x14ac:dyDescent="0.2">
      <c r="A5025"/>
    </row>
    <row r="5026" spans="1:1" ht="15" x14ac:dyDescent="0.2">
      <c r="A5026"/>
    </row>
    <row r="5027" spans="1:1" ht="15" x14ac:dyDescent="0.2">
      <c r="A5027"/>
    </row>
    <row r="5028" spans="1:1" ht="15" x14ac:dyDescent="0.2">
      <c r="A5028"/>
    </row>
    <row r="5029" spans="1:1" ht="15" x14ac:dyDescent="0.2">
      <c r="A5029"/>
    </row>
    <row r="5030" spans="1:1" ht="15" x14ac:dyDescent="0.2">
      <c r="A5030"/>
    </row>
    <row r="5031" spans="1:1" ht="15" x14ac:dyDescent="0.2">
      <c r="A5031"/>
    </row>
    <row r="5032" spans="1:1" ht="15" x14ac:dyDescent="0.2">
      <c r="A5032"/>
    </row>
    <row r="5033" spans="1:1" ht="15" x14ac:dyDescent="0.2">
      <c r="A5033"/>
    </row>
    <row r="5034" spans="1:1" ht="15" x14ac:dyDescent="0.2">
      <c r="A5034"/>
    </row>
    <row r="5035" spans="1:1" ht="15" x14ac:dyDescent="0.2">
      <c r="A5035"/>
    </row>
    <row r="5036" spans="1:1" ht="15" x14ac:dyDescent="0.2">
      <c r="A5036"/>
    </row>
    <row r="5037" spans="1:1" ht="15" x14ac:dyDescent="0.2">
      <c r="A5037"/>
    </row>
    <row r="5038" spans="1:1" ht="15" x14ac:dyDescent="0.2">
      <c r="A5038"/>
    </row>
    <row r="5039" spans="1:1" ht="15" x14ac:dyDescent="0.2">
      <c r="A5039"/>
    </row>
    <row r="5040" spans="1:1" ht="15" x14ac:dyDescent="0.2">
      <c r="A5040"/>
    </row>
    <row r="5041" spans="1:1" ht="15" x14ac:dyDescent="0.2">
      <c r="A5041"/>
    </row>
    <row r="5042" spans="1:1" ht="15" x14ac:dyDescent="0.2">
      <c r="A5042"/>
    </row>
    <row r="5043" spans="1:1" ht="15" x14ac:dyDescent="0.2">
      <c r="A5043"/>
    </row>
    <row r="5044" spans="1:1" ht="15" x14ac:dyDescent="0.2">
      <c r="A5044"/>
    </row>
    <row r="5045" spans="1:1" ht="15" x14ac:dyDescent="0.2">
      <c r="A5045"/>
    </row>
    <row r="5046" spans="1:1" ht="15" x14ac:dyDescent="0.2">
      <c r="A5046"/>
    </row>
    <row r="5047" spans="1:1" ht="15" x14ac:dyDescent="0.2">
      <c r="A5047"/>
    </row>
    <row r="5048" spans="1:1" ht="15" x14ac:dyDescent="0.2">
      <c r="A5048"/>
    </row>
    <row r="5049" spans="1:1" ht="15" x14ac:dyDescent="0.2">
      <c r="A5049"/>
    </row>
    <row r="5050" spans="1:1" ht="15" x14ac:dyDescent="0.2">
      <c r="A5050"/>
    </row>
    <row r="5051" spans="1:1" ht="15" x14ac:dyDescent="0.2">
      <c r="A5051"/>
    </row>
    <row r="5052" spans="1:1" ht="15" x14ac:dyDescent="0.2">
      <c r="A5052"/>
    </row>
    <row r="5053" spans="1:1" ht="15" x14ac:dyDescent="0.2">
      <c r="A5053"/>
    </row>
    <row r="5054" spans="1:1" ht="15" x14ac:dyDescent="0.2">
      <c r="A5054"/>
    </row>
    <row r="5055" spans="1:1" ht="15" x14ac:dyDescent="0.2">
      <c r="A5055"/>
    </row>
    <row r="5056" spans="1:1" ht="15" x14ac:dyDescent="0.2">
      <c r="A5056"/>
    </row>
    <row r="5057" spans="1:1" ht="15" x14ac:dyDescent="0.2">
      <c r="A5057"/>
    </row>
    <row r="5058" spans="1:1" ht="15" x14ac:dyDescent="0.2">
      <c r="A5058"/>
    </row>
    <row r="5059" spans="1:1" ht="15" x14ac:dyDescent="0.2">
      <c r="A5059"/>
    </row>
    <row r="5060" spans="1:1" ht="15" x14ac:dyDescent="0.2">
      <c r="A5060"/>
    </row>
    <row r="5061" spans="1:1" ht="15" x14ac:dyDescent="0.2">
      <c r="A5061"/>
    </row>
    <row r="5062" spans="1:1" ht="15" x14ac:dyDescent="0.2">
      <c r="A5062"/>
    </row>
    <row r="5063" spans="1:1" ht="15" x14ac:dyDescent="0.2">
      <c r="A5063"/>
    </row>
    <row r="5064" spans="1:1" ht="15" x14ac:dyDescent="0.2">
      <c r="A5064"/>
    </row>
    <row r="5065" spans="1:1" ht="15" x14ac:dyDescent="0.2">
      <c r="A5065"/>
    </row>
    <row r="5066" spans="1:1" ht="15" x14ac:dyDescent="0.2">
      <c r="A5066"/>
    </row>
    <row r="5067" spans="1:1" ht="15" x14ac:dyDescent="0.2">
      <c r="A5067"/>
    </row>
    <row r="5068" spans="1:1" ht="15" x14ac:dyDescent="0.2">
      <c r="A5068"/>
    </row>
    <row r="5069" spans="1:1" ht="15" x14ac:dyDescent="0.2">
      <c r="A5069"/>
    </row>
    <row r="5070" spans="1:1" ht="15" x14ac:dyDescent="0.2">
      <c r="A5070"/>
    </row>
    <row r="5071" spans="1:1" ht="15" x14ac:dyDescent="0.2">
      <c r="A5071"/>
    </row>
    <row r="5072" spans="1:1" ht="15" x14ac:dyDescent="0.2">
      <c r="A5072"/>
    </row>
    <row r="5073" spans="1:1" ht="15" x14ac:dyDescent="0.2">
      <c r="A5073"/>
    </row>
    <row r="5074" spans="1:1" ht="15" x14ac:dyDescent="0.2">
      <c r="A5074"/>
    </row>
    <row r="5075" spans="1:1" ht="15" x14ac:dyDescent="0.2">
      <c r="A5075"/>
    </row>
    <row r="5076" spans="1:1" ht="15" x14ac:dyDescent="0.2">
      <c r="A5076"/>
    </row>
    <row r="5077" spans="1:1" ht="15" x14ac:dyDescent="0.2">
      <c r="A5077"/>
    </row>
    <row r="5078" spans="1:1" ht="15" x14ac:dyDescent="0.2">
      <c r="A5078"/>
    </row>
    <row r="5079" spans="1:1" ht="15" x14ac:dyDescent="0.2">
      <c r="A5079"/>
    </row>
    <row r="5080" spans="1:1" ht="15" x14ac:dyDescent="0.2">
      <c r="A5080"/>
    </row>
    <row r="5081" spans="1:1" ht="15" x14ac:dyDescent="0.2">
      <c r="A5081"/>
    </row>
    <row r="5082" spans="1:1" ht="15" x14ac:dyDescent="0.2">
      <c r="A5082"/>
    </row>
    <row r="5083" spans="1:1" ht="15" x14ac:dyDescent="0.2">
      <c r="A5083"/>
    </row>
    <row r="5084" spans="1:1" ht="15" x14ac:dyDescent="0.2">
      <c r="A5084"/>
    </row>
    <row r="5085" spans="1:1" ht="15" x14ac:dyDescent="0.2">
      <c r="A5085"/>
    </row>
    <row r="5086" spans="1:1" ht="15" x14ac:dyDescent="0.2">
      <c r="A5086"/>
    </row>
    <row r="5087" spans="1:1" ht="15" x14ac:dyDescent="0.2">
      <c r="A5087"/>
    </row>
    <row r="5088" spans="1:1" ht="15" x14ac:dyDescent="0.2">
      <c r="A5088"/>
    </row>
    <row r="5089" spans="1:1" ht="15" x14ac:dyDescent="0.2">
      <c r="A5089"/>
    </row>
    <row r="5090" spans="1:1" ht="15" x14ac:dyDescent="0.2">
      <c r="A5090"/>
    </row>
    <row r="5091" spans="1:1" ht="15" x14ac:dyDescent="0.2">
      <c r="A5091"/>
    </row>
    <row r="5092" spans="1:1" ht="15" x14ac:dyDescent="0.2">
      <c r="A5092"/>
    </row>
    <row r="5093" spans="1:1" ht="15" x14ac:dyDescent="0.2">
      <c r="A5093"/>
    </row>
    <row r="5094" spans="1:1" ht="15" x14ac:dyDescent="0.2">
      <c r="A5094"/>
    </row>
    <row r="5095" spans="1:1" ht="15" x14ac:dyDescent="0.2">
      <c r="A5095"/>
    </row>
    <row r="5096" spans="1:1" ht="15" x14ac:dyDescent="0.2">
      <c r="A5096"/>
    </row>
    <row r="5097" spans="1:1" ht="15" x14ac:dyDescent="0.2">
      <c r="A5097"/>
    </row>
    <row r="5098" spans="1:1" ht="15" x14ac:dyDescent="0.2">
      <c r="A5098"/>
    </row>
    <row r="5099" spans="1:1" ht="15" x14ac:dyDescent="0.2">
      <c r="A5099"/>
    </row>
    <row r="5100" spans="1:1" ht="15" x14ac:dyDescent="0.2">
      <c r="A5100"/>
    </row>
    <row r="5101" spans="1:1" ht="15" x14ac:dyDescent="0.2">
      <c r="A5101"/>
    </row>
    <row r="5102" spans="1:1" ht="15" x14ac:dyDescent="0.2">
      <c r="A5102"/>
    </row>
    <row r="5103" spans="1:1" ht="15" x14ac:dyDescent="0.2">
      <c r="A5103"/>
    </row>
    <row r="5104" spans="1:1" ht="15" x14ac:dyDescent="0.2">
      <c r="A5104"/>
    </row>
    <row r="5105" spans="1:1" ht="15" x14ac:dyDescent="0.2">
      <c r="A5105"/>
    </row>
    <row r="5106" spans="1:1" ht="15" x14ac:dyDescent="0.2">
      <c r="A5106"/>
    </row>
    <row r="5107" spans="1:1" ht="15" x14ac:dyDescent="0.2">
      <c r="A5107"/>
    </row>
    <row r="5108" spans="1:1" ht="15" x14ac:dyDescent="0.2">
      <c r="A5108"/>
    </row>
    <row r="5109" spans="1:1" ht="15" x14ac:dyDescent="0.2">
      <c r="A5109"/>
    </row>
    <row r="5110" spans="1:1" ht="15" x14ac:dyDescent="0.2">
      <c r="A5110"/>
    </row>
    <row r="5111" spans="1:1" ht="15" x14ac:dyDescent="0.2">
      <c r="A5111"/>
    </row>
    <row r="5112" spans="1:1" ht="15" x14ac:dyDescent="0.2">
      <c r="A5112"/>
    </row>
    <row r="5113" spans="1:1" ht="15" x14ac:dyDescent="0.2">
      <c r="A5113"/>
    </row>
    <row r="5114" spans="1:1" ht="15" x14ac:dyDescent="0.2">
      <c r="A5114"/>
    </row>
    <row r="5115" spans="1:1" ht="15" x14ac:dyDescent="0.2">
      <c r="A5115"/>
    </row>
    <row r="5116" spans="1:1" ht="15" x14ac:dyDescent="0.2">
      <c r="A5116"/>
    </row>
    <row r="5117" spans="1:1" ht="15" x14ac:dyDescent="0.2">
      <c r="A5117"/>
    </row>
    <row r="5118" spans="1:1" ht="15" x14ac:dyDescent="0.2">
      <c r="A5118"/>
    </row>
    <row r="5119" spans="1:1" ht="15" x14ac:dyDescent="0.2">
      <c r="A5119"/>
    </row>
    <row r="5120" spans="1:1" ht="15" x14ac:dyDescent="0.2">
      <c r="A5120"/>
    </row>
    <row r="5121" spans="1:1" ht="15" x14ac:dyDescent="0.2">
      <c r="A5121"/>
    </row>
    <row r="5122" spans="1:1" ht="15" x14ac:dyDescent="0.2">
      <c r="A5122"/>
    </row>
    <row r="5123" spans="1:1" ht="15" x14ac:dyDescent="0.2">
      <c r="A5123"/>
    </row>
    <row r="5124" spans="1:1" ht="15" x14ac:dyDescent="0.2">
      <c r="A5124"/>
    </row>
    <row r="5125" spans="1:1" ht="15" x14ac:dyDescent="0.2">
      <c r="A5125"/>
    </row>
    <row r="5126" spans="1:1" ht="15" x14ac:dyDescent="0.2">
      <c r="A5126"/>
    </row>
    <row r="5127" spans="1:1" ht="15" x14ac:dyDescent="0.2">
      <c r="A5127"/>
    </row>
    <row r="5128" spans="1:1" ht="15" x14ac:dyDescent="0.2">
      <c r="A5128"/>
    </row>
    <row r="5129" spans="1:1" ht="15" x14ac:dyDescent="0.2">
      <c r="A5129"/>
    </row>
    <row r="5130" spans="1:1" ht="15" x14ac:dyDescent="0.2">
      <c r="A5130"/>
    </row>
    <row r="5131" spans="1:1" ht="15" x14ac:dyDescent="0.2">
      <c r="A5131"/>
    </row>
    <row r="5132" spans="1:1" ht="15" x14ac:dyDescent="0.2">
      <c r="A5132"/>
    </row>
    <row r="5133" spans="1:1" ht="15" x14ac:dyDescent="0.2">
      <c r="A5133"/>
    </row>
    <row r="5134" spans="1:1" ht="15" x14ac:dyDescent="0.2">
      <c r="A5134"/>
    </row>
    <row r="5135" spans="1:1" ht="15" x14ac:dyDescent="0.2">
      <c r="A5135"/>
    </row>
    <row r="5136" spans="1:1" ht="15" x14ac:dyDescent="0.2">
      <c r="A5136"/>
    </row>
    <row r="5137" spans="1:1" ht="15" x14ac:dyDescent="0.2">
      <c r="A5137"/>
    </row>
    <row r="5138" spans="1:1" ht="15" x14ac:dyDescent="0.2">
      <c r="A5138"/>
    </row>
    <row r="5139" spans="1:1" ht="15" x14ac:dyDescent="0.2">
      <c r="A5139"/>
    </row>
    <row r="5140" spans="1:1" ht="15" x14ac:dyDescent="0.2">
      <c r="A5140"/>
    </row>
    <row r="5141" spans="1:1" ht="15" x14ac:dyDescent="0.2">
      <c r="A5141"/>
    </row>
    <row r="5142" spans="1:1" ht="15" x14ac:dyDescent="0.2">
      <c r="A5142"/>
    </row>
    <row r="5143" spans="1:1" ht="15" x14ac:dyDescent="0.2">
      <c r="A5143"/>
    </row>
    <row r="5144" spans="1:1" ht="15" x14ac:dyDescent="0.2">
      <c r="A5144"/>
    </row>
    <row r="5145" spans="1:1" ht="15" x14ac:dyDescent="0.2">
      <c r="A5145"/>
    </row>
    <row r="5146" spans="1:1" ht="15" x14ac:dyDescent="0.2">
      <c r="A5146"/>
    </row>
    <row r="5147" spans="1:1" ht="15" x14ac:dyDescent="0.2">
      <c r="A5147"/>
    </row>
    <row r="5148" spans="1:1" ht="15" x14ac:dyDescent="0.2">
      <c r="A5148"/>
    </row>
    <row r="5149" spans="1:1" ht="15" x14ac:dyDescent="0.2">
      <c r="A5149"/>
    </row>
    <row r="5150" spans="1:1" ht="15" x14ac:dyDescent="0.2">
      <c r="A5150"/>
    </row>
    <row r="5151" spans="1:1" ht="15" x14ac:dyDescent="0.2">
      <c r="A5151"/>
    </row>
    <row r="5152" spans="1:1" ht="15" x14ac:dyDescent="0.2">
      <c r="A5152"/>
    </row>
    <row r="5153" spans="1:1" ht="15" x14ac:dyDescent="0.2">
      <c r="A5153"/>
    </row>
    <row r="5154" spans="1:1" ht="15" x14ac:dyDescent="0.2">
      <c r="A5154"/>
    </row>
    <row r="5155" spans="1:1" ht="15" x14ac:dyDescent="0.2">
      <c r="A5155"/>
    </row>
    <row r="5156" spans="1:1" ht="15" x14ac:dyDescent="0.2">
      <c r="A5156"/>
    </row>
    <row r="5157" spans="1:1" ht="15" x14ac:dyDescent="0.2">
      <c r="A5157"/>
    </row>
    <row r="5158" spans="1:1" ht="15" x14ac:dyDescent="0.2">
      <c r="A5158"/>
    </row>
    <row r="5159" spans="1:1" ht="15" x14ac:dyDescent="0.2">
      <c r="A5159"/>
    </row>
    <row r="5160" spans="1:1" ht="15" x14ac:dyDescent="0.2">
      <c r="A5160"/>
    </row>
    <row r="5161" spans="1:1" ht="15" x14ac:dyDescent="0.2">
      <c r="A5161"/>
    </row>
    <row r="5162" spans="1:1" ht="15" x14ac:dyDescent="0.2">
      <c r="A5162"/>
    </row>
    <row r="5163" spans="1:1" ht="15" x14ac:dyDescent="0.2">
      <c r="A5163"/>
    </row>
    <row r="5164" spans="1:1" ht="15" x14ac:dyDescent="0.2">
      <c r="A5164"/>
    </row>
    <row r="5165" spans="1:1" ht="15" x14ac:dyDescent="0.2">
      <c r="A5165"/>
    </row>
    <row r="5166" spans="1:1" ht="15" x14ac:dyDescent="0.2">
      <c r="A5166"/>
    </row>
    <row r="5167" spans="1:1" ht="15" x14ac:dyDescent="0.2">
      <c r="A5167"/>
    </row>
    <row r="5168" spans="1:1" ht="15" x14ac:dyDescent="0.2">
      <c r="A5168"/>
    </row>
    <row r="5169" spans="1:1" ht="15" x14ac:dyDescent="0.2">
      <c r="A5169"/>
    </row>
    <row r="5170" spans="1:1" ht="15" x14ac:dyDescent="0.2">
      <c r="A5170"/>
    </row>
    <row r="5171" spans="1:1" ht="15" x14ac:dyDescent="0.2">
      <c r="A5171"/>
    </row>
    <row r="5172" spans="1:1" ht="15" x14ac:dyDescent="0.2">
      <c r="A5172"/>
    </row>
    <row r="5173" spans="1:1" ht="15" x14ac:dyDescent="0.2">
      <c r="A5173"/>
    </row>
    <row r="5174" spans="1:1" ht="15" x14ac:dyDescent="0.2">
      <c r="A5174"/>
    </row>
    <row r="5175" spans="1:1" ht="15" x14ac:dyDescent="0.2">
      <c r="A5175"/>
    </row>
    <row r="5176" spans="1:1" ht="15" x14ac:dyDescent="0.2">
      <c r="A5176"/>
    </row>
    <row r="5177" spans="1:1" ht="15" x14ac:dyDescent="0.2">
      <c r="A5177"/>
    </row>
    <row r="5178" spans="1:1" ht="15" x14ac:dyDescent="0.2">
      <c r="A5178"/>
    </row>
    <row r="5179" spans="1:1" ht="15" x14ac:dyDescent="0.2">
      <c r="A5179"/>
    </row>
    <row r="5180" spans="1:1" ht="15" x14ac:dyDescent="0.2">
      <c r="A5180"/>
    </row>
    <row r="5181" spans="1:1" ht="15" x14ac:dyDescent="0.2">
      <c r="A5181"/>
    </row>
    <row r="5182" spans="1:1" ht="15" x14ac:dyDescent="0.2">
      <c r="A5182"/>
    </row>
    <row r="5183" spans="1:1" ht="15" x14ac:dyDescent="0.2">
      <c r="A5183"/>
    </row>
    <row r="5184" spans="1:1" ht="15" x14ac:dyDescent="0.2">
      <c r="A5184"/>
    </row>
    <row r="5185" spans="1:1" ht="15" x14ac:dyDescent="0.2">
      <c r="A5185"/>
    </row>
    <row r="5186" spans="1:1" ht="15" x14ac:dyDescent="0.2">
      <c r="A5186"/>
    </row>
    <row r="5187" spans="1:1" ht="15" x14ac:dyDescent="0.2">
      <c r="A5187"/>
    </row>
    <row r="5188" spans="1:1" ht="15" x14ac:dyDescent="0.2">
      <c r="A5188"/>
    </row>
    <row r="5189" spans="1:1" ht="15" x14ac:dyDescent="0.2">
      <c r="A5189"/>
    </row>
    <row r="5190" spans="1:1" ht="15" x14ac:dyDescent="0.2">
      <c r="A5190"/>
    </row>
    <row r="5191" spans="1:1" ht="15" x14ac:dyDescent="0.2">
      <c r="A5191"/>
    </row>
    <row r="5192" spans="1:1" ht="15" x14ac:dyDescent="0.2">
      <c r="A5192"/>
    </row>
    <row r="5193" spans="1:1" ht="15" x14ac:dyDescent="0.2">
      <c r="A5193"/>
    </row>
    <row r="5194" spans="1:1" ht="15" x14ac:dyDescent="0.2">
      <c r="A5194"/>
    </row>
    <row r="5195" spans="1:1" ht="15" x14ac:dyDescent="0.2">
      <c r="A5195"/>
    </row>
    <row r="5196" spans="1:1" ht="15" x14ac:dyDescent="0.2">
      <c r="A5196"/>
    </row>
    <row r="5197" spans="1:1" ht="15" x14ac:dyDescent="0.2">
      <c r="A5197"/>
    </row>
    <row r="5198" spans="1:1" ht="15" x14ac:dyDescent="0.2">
      <c r="A5198"/>
    </row>
    <row r="5199" spans="1:1" ht="15" x14ac:dyDescent="0.2">
      <c r="A5199"/>
    </row>
    <row r="5200" spans="1:1" ht="15" x14ac:dyDescent="0.2">
      <c r="A5200"/>
    </row>
    <row r="5201" spans="1:1" ht="15" x14ac:dyDescent="0.2">
      <c r="A5201"/>
    </row>
    <row r="5202" spans="1:1" ht="15" x14ac:dyDescent="0.2">
      <c r="A5202"/>
    </row>
    <row r="5203" spans="1:1" ht="15" x14ac:dyDescent="0.2">
      <c r="A5203"/>
    </row>
    <row r="5204" spans="1:1" ht="15" x14ac:dyDescent="0.2">
      <c r="A5204"/>
    </row>
    <row r="5205" spans="1:1" ht="15" x14ac:dyDescent="0.2">
      <c r="A5205"/>
    </row>
    <row r="5206" spans="1:1" ht="15" x14ac:dyDescent="0.2">
      <c r="A5206"/>
    </row>
    <row r="5207" spans="1:1" ht="15" x14ac:dyDescent="0.2">
      <c r="A5207"/>
    </row>
    <row r="5208" spans="1:1" ht="15" x14ac:dyDescent="0.2">
      <c r="A5208"/>
    </row>
    <row r="5209" spans="1:1" ht="15" x14ac:dyDescent="0.2">
      <c r="A5209"/>
    </row>
    <row r="5210" spans="1:1" ht="15" x14ac:dyDescent="0.2">
      <c r="A5210"/>
    </row>
    <row r="5211" spans="1:1" ht="15" x14ac:dyDescent="0.2">
      <c r="A5211"/>
    </row>
    <row r="5212" spans="1:1" ht="15" x14ac:dyDescent="0.2">
      <c r="A5212"/>
    </row>
    <row r="5213" spans="1:1" ht="15" x14ac:dyDescent="0.2">
      <c r="A5213"/>
    </row>
    <row r="5214" spans="1:1" ht="15" x14ac:dyDescent="0.2">
      <c r="A5214"/>
    </row>
    <row r="5215" spans="1:1" ht="15" x14ac:dyDescent="0.2">
      <c r="A5215"/>
    </row>
    <row r="5216" spans="1:1" ht="15" x14ac:dyDescent="0.2">
      <c r="A5216"/>
    </row>
    <row r="5217" spans="1:1" ht="15" x14ac:dyDescent="0.2">
      <c r="A5217"/>
    </row>
    <row r="5218" spans="1:1" ht="15" x14ac:dyDescent="0.2">
      <c r="A5218"/>
    </row>
    <row r="5219" spans="1:1" ht="15" x14ac:dyDescent="0.2">
      <c r="A5219"/>
    </row>
    <row r="5220" spans="1:1" ht="15" x14ac:dyDescent="0.2">
      <c r="A5220"/>
    </row>
    <row r="5221" spans="1:1" ht="15" x14ac:dyDescent="0.2">
      <c r="A5221"/>
    </row>
    <row r="5222" spans="1:1" ht="15" x14ac:dyDescent="0.2">
      <c r="A5222"/>
    </row>
    <row r="5223" spans="1:1" ht="15" x14ac:dyDescent="0.2">
      <c r="A5223"/>
    </row>
    <row r="5224" spans="1:1" ht="15" x14ac:dyDescent="0.2">
      <c r="A5224"/>
    </row>
    <row r="5225" spans="1:1" ht="15" x14ac:dyDescent="0.2">
      <c r="A5225"/>
    </row>
    <row r="5226" spans="1:1" ht="15" x14ac:dyDescent="0.2">
      <c r="A5226"/>
    </row>
    <row r="5227" spans="1:1" ht="15" x14ac:dyDescent="0.2">
      <c r="A5227"/>
    </row>
    <row r="5228" spans="1:1" ht="15" x14ac:dyDescent="0.2">
      <c r="A5228"/>
    </row>
    <row r="5229" spans="1:1" ht="15" x14ac:dyDescent="0.2">
      <c r="A5229"/>
    </row>
    <row r="5230" spans="1:1" ht="15" x14ac:dyDescent="0.2">
      <c r="A5230"/>
    </row>
    <row r="5231" spans="1:1" ht="15" x14ac:dyDescent="0.2">
      <c r="A5231"/>
    </row>
    <row r="5232" spans="1:1" ht="15" x14ac:dyDescent="0.2">
      <c r="A5232"/>
    </row>
    <row r="5233" spans="1:1" ht="15" x14ac:dyDescent="0.2">
      <c r="A5233"/>
    </row>
    <row r="5234" spans="1:1" ht="15" x14ac:dyDescent="0.2">
      <c r="A5234"/>
    </row>
    <row r="5235" spans="1:1" ht="15" x14ac:dyDescent="0.2">
      <c r="A5235"/>
    </row>
    <row r="5236" spans="1:1" ht="15" x14ac:dyDescent="0.2">
      <c r="A5236"/>
    </row>
    <row r="5237" spans="1:1" ht="15" x14ac:dyDescent="0.2">
      <c r="A5237"/>
    </row>
    <row r="5238" spans="1:1" ht="15" x14ac:dyDescent="0.2">
      <c r="A5238"/>
    </row>
    <row r="5239" spans="1:1" ht="15" x14ac:dyDescent="0.2">
      <c r="A5239"/>
    </row>
    <row r="5240" spans="1:1" ht="15" x14ac:dyDescent="0.2">
      <c r="A5240"/>
    </row>
    <row r="5241" spans="1:1" ht="15" x14ac:dyDescent="0.2">
      <c r="A5241"/>
    </row>
    <row r="5242" spans="1:1" ht="15" x14ac:dyDescent="0.2">
      <c r="A5242"/>
    </row>
    <row r="5243" spans="1:1" ht="15" x14ac:dyDescent="0.2">
      <c r="A5243"/>
    </row>
    <row r="5244" spans="1:1" ht="15" x14ac:dyDescent="0.2">
      <c r="A5244"/>
    </row>
    <row r="5245" spans="1:1" ht="15" x14ac:dyDescent="0.2">
      <c r="A5245"/>
    </row>
    <row r="5246" spans="1:1" ht="15" x14ac:dyDescent="0.2">
      <c r="A5246"/>
    </row>
    <row r="5247" spans="1:1" ht="15" x14ac:dyDescent="0.2">
      <c r="A5247"/>
    </row>
    <row r="5248" spans="1:1" ht="15" x14ac:dyDescent="0.2">
      <c r="A5248"/>
    </row>
    <row r="5249" spans="1:1" ht="15" x14ac:dyDescent="0.2">
      <c r="A5249"/>
    </row>
    <row r="5250" spans="1:1" ht="15" x14ac:dyDescent="0.2">
      <c r="A5250"/>
    </row>
    <row r="5251" spans="1:1" ht="15" x14ac:dyDescent="0.2">
      <c r="A5251"/>
    </row>
    <row r="5252" spans="1:1" ht="15" x14ac:dyDescent="0.2">
      <c r="A5252"/>
    </row>
    <row r="5253" spans="1:1" ht="15" x14ac:dyDescent="0.2">
      <c r="A5253"/>
    </row>
    <row r="5254" spans="1:1" ht="15" x14ac:dyDescent="0.2">
      <c r="A5254"/>
    </row>
    <row r="5255" spans="1:1" ht="15" x14ac:dyDescent="0.2">
      <c r="A5255"/>
    </row>
    <row r="5256" spans="1:1" ht="15" x14ac:dyDescent="0.2">
      <c r="A5256"/>
    </row>
    <row r="5257" spans="1:1" ht="15" x14ac:dyDescent="0.2">
      <c r="A5257"/>
    </row>
    <row r="5258" spans="1:1" ht="15" x14ac:dyDescent="0.2">
      <c r="A5258"/>
    </row>
    <row r="5259" spans="1:1" ht="15" x14ac:dyDescent="0.2">
      <c r="A5259"/>
    </row>
    <row r="5260" spans="1:1" ht="15" x14ac:dyDescent="0.2">
      <c r="A5260"/>
    </row>
    <row r="5261" spans="1:1" ht="15" x14ac:dyDescent="0.2">
      <c r="A5261"/>
    </row>
    <row r="5262" spans="1:1" ht="15" x14ac:dyDescent="0.2">
      <c r="A5262"/>
    </row>
    <row r="5263" spans="1:1" ht="15" x14ac:dyDescent="0.2">
      <c r="A5263"/>
    </row>
    <row r="5264" spans="1:1" ht="15" x14ac:dyDescent="0.2">
      <c r="A5264"/>
    </row>
    <row r="5265" spans="1:1" ht="15" x14ac:dyDescent="0.2">
      <c r="A5265"/>
    </row>
    <row r="5266" spans="1:1" ht="15" x14ac:dyDescent="0.2">
      <c r="A5266"/>
    </row>
    <row r="5267" spans="1:1" ht="15" x14ac:dyDescent="0.2">
      <c r="A5267"/>
    </row>
    <row r="5268" spans="1:1" ht="15" x14ac:dyDescent="0.2">
      <c r="A5268"/>
    </row>
    <row r="5269" spans="1:1" ht="15" x14ac:dyDescent="0.2">
      <c r="A5269"/>
    </row>
    <row r="5270" spans="1:1" ht="15" x14ac:dyDescent="0.2">
      <c r="A5270"/>
    </row>
    <row r="5271" spans="1:1" ht="15" x14ac:dyDescent="0.2">
      <c r="A5271"/>
    </row>
    <row r="5272" spans="1:1" ht="15" x14ac:dyDescent="0.2">
      <c r="A5272"/>
    </row>
    <row r="5273" spans="1:1" ht="15" x14ac:dyDescent="0.2">
      <c r="A5273"/>
    </row>
    <row r="5274" spans="1:1" ht="15" x14ac:dyDescent="0.2">
      <c r="A5274"/>
    </row>
    <row r="5275" spans="1:1" ht="15" x14ac:dyDescent="0.2">
      <c r="A5275"/>
    </row>
    <row r="5276" spans="1:1" ht="15" x14ac:dyDescent="0.2">
      <c r="A5276"/>
    </row>
    <row r="5277" spans="1:1" ht="15" x14ac:dyDescent="0.2">
      <c r="A5277"/>
    </row>
    <row r="5278" spans="1:1" ht="15" x14ac:dyDescent="0.2">
      <c r="A5278"/>
    </row>
    <row r="5279" spans="1:1" ht="15" x14ac:dyDescent="0.2">
      <c r="A5279"/>
    </row>
    <row r="5280" spans="1:1" ht="15" x14ac:dyDescent="0.2">
      <c r="A5280"/>
    </row>
    <row r="5281" spans="1:1" ht="15" x14ac:dyDescent="0.2">
      <c r="A5281"/>
    </row>
    <row r="5282" spans="1:1" ht="15" x14ac:dyDescent="0.2">
      <c r="A5282"/>
    </row>
    <row r="5283" spans="1:1" ht="15" x14ac:dyDescent="0.2">
      <c r="A5283"/>
    </row>
    <row r="5284" spans="1:1" ht="15" x14ac:dyDescent="0.2">
      <c r="A5284"/>
    </row>
    <row r="5285" spans="1:1" ht="15" x14ac:dyDescent="0.2">
      <c r="A5285"/>
    </row>
    <row r="5286" spans="1:1" ht="15" x14ac:dyDescent="0.2">
      <c r="A5286"/>
    </row>
    <row r="5287" spans="1:1" ht="15" x14ac:dyDescent="0.2">
      <c r="A5287"/>
    </row>
    <row r="5288" spans="1:1" ht="15" x14ac:dyDescent="0.2">
      <c r="A5288"/>
    </row>
    <row r="5289" spans="1:1" ht="15" x14ac:dyDescent="0.2">
      <c r="A5289"/>
    </row>
    <row r="5290" spans="1:1" ht="15" x14ac:dyDescent="0.2">
      <c r="A5290"/>
    </row>
    <row r="5291" spans="1:1" ht="15" x14ac:dyDescent="0.2">
      <c r="A5291"/>
    </row>
    <row r="5292" spans="1:1" ht="15" x14ac:dyDescent="0.2">
      <c r="A5292"/>
    </row>
    <row r="5293" spans="1:1" ht="15" x14ac:dyDescent="0.2">
      <c r="A5293"/>
    </row>
    <row r="5294" spans="1:1" ht="15" x14ac:dyDescent="0.2">
      <c r="A5294"/>
    </row>
    <row r="5295" spans="1:1" ht="15" x14ac:dyDescent="0.2">
      <c r="A5295"/>
    </row>
    <row r="5296" spans="1:1" ht="15" x14ac:dyDescent="0.2">
      <c r="A5296"/>
    </row>
    <row r="5297" spans="1:1" ht="15" x14ac:dyDescent="0.2">
      <c r="A5297"/>
    </row>
    <row r="5298" spans="1:1" ht="15" x14ac:dyDescent="0.2">
      <c r="A5298"/>
    </row>
    <row r="5299" spans="1:1" ht="15" x14ac:dyDescent="0.2">
      <c r="A5299"/>
    </row>
    <row r="5300" spans="1:1" ht="15" x14ac:dyDescent="0.2">
      <c r="A5300"/>
    </row>
    <row r="5301" spans="1:1" ht="15" x14ac:dyDescent="0.2">
      <c r="A5301"/>
    </row>
    <row r="5302" spans="1:1" ht="15" x14ac:dyDescent="0.2">
      <c r="A5302"/>
    </row>
    <row r="5303" spans="1:1" ht="15" x14ac:dyDescent="0.2">
      <c r="A5303"/>
    </row>
    <row r="5304" spans="1:1" ht="15" x14ac:dyDescent="0.2">
      <c r="A5304"/>
    </row>
    <row r="5305" spans="1:1" ht="15" x14ac:dyDescent="0.2">
      <c r="A5305"/>
    </row>
    <row r="5306" spans="1:1" ht="15" x14ac:dyDescent="0.2">
      <c r="A5306"/>
    </row>
    <row r="5307" spans="1:1" ht="15" x14ac:dyDescent="0.2">
      <c r="A5307"/>
    </row>
    <row r="5308" spans="1:1" ht="15" x14ac:dyDescent="0.2">
      <c r="A5308"/>
    </row>
    <row r="5309" spans="1:1" ht="15" x14ac:dyDescent="0.2">
      <c r="A5309"/>
    </row>
    <row r="5310" spans="1:1" ht="15" x14ac:dyDescent="0.2">
      <c r="A5310"/>
    </row>
    <row r="5311" spans="1:1" ht="15" x14ac:dyDescent="0.2">
      <c r="A5311"/>
    </row>
    <row r="5312" spans="1:1" ht="15" x14ac:dyDescent="0.2">
      <c r="A5312"/>
    </row>
    <row r="5313" spans="1:1" ht="15" x14ac:dyDescent="0.2">
      <c r="A5313"/>
    </row>
    <row r="5314" spans="1:1" ht="15" x14ac:dyDescent="0.2">
      <c r="A5314"/>
    </row>
    <row r="5315" spans="1:1" ht="15" x14ac:dyDescent="0.2">
      <c r="A5315"/>
    </row>
    <row r="5316" spans="1:1" ht="15" x14ac:dyDescent="0.2">
      <c r="A5316"/>
    </row>
    <row r="5317" spans="1:1" ht="15" x14ac:dyDescent="0.2">
      <c r="A5317"/>
    </row>
    <row r="5318" spans="1:1" ht="15" x14ac:dyDescent="0.2">
      <c r="A5318"/>
    </row>
    <row r="5319" spans="1:1" ht="15" x14ac:dyDescent="0.2">
      <c r="A5319"/>
    </row>
    <row r="5320" spans="1:1" ht="15" x14ac:dyDescent="0.2">
      <c r="A5320"/>
    </row>
    <row r="5321" spans="1:1" ht="15" x14ac:dyDescent="0.2">
      <c r="A5321"/>
    </row>
    <row r="5322" spans="1:1" ht="15" x14ac:dyDescent="0.2">
      <c r="A5322"/>
    </row>
    <row r="5323" spans="1:1" ht="15" x14ac:dyDescent="0.2">
      <c r="A5323"/>
    </row>
    <row r="5324" spans="1:1" ht="15" x14ac:dyDescent="0.2">
      <c r="A5324"/>
    </row>
    <row r="5325" spans="1:1" ht="15" x14ac:dyDescent="0.2">
      <c r="A5325"/>
    </row>
    <row r="5326" spans="1:1" ht="15" x14ac:dyDescent="0.2">
      <c r="A5326"/>
    </row>
    <row r="5327" spans="1:1" ht="15" x14ac:dyDescent="0.2">
      <c r="A5327"/>
    </row>
    <row r="5328" spans="1:1" ht="15" x14ac:dyDescent="0.2">
      <c r="A5328"/>
    </row>
    <row r="5329" spans="1:1" ht="15" x14ac:dyDescent="0.2">
      <c r="A5329"/>
    </row>
    <row r="5330" spans="1:1" ht="15" x14ac:dyDescent="0.2">
      <c r="A5330"/>
    </row>
    <row r="5331" spans="1:1" ht="15" x14ac:dyDescent="0.2">
      <c r="A5331"/>
    </row>
    <row r="5332" spans="1:1" ht="15" x14ac:dyDescent="0.2">
      <c r="A5332"/>
    </row>
    <row r="5333" spans="1:1" ht="15" x14ac:dyDescent="0.2">
      <c r="A5333"/>
    </row>
    <row r="5334" spans="1:1" ht="15" x14ac:dyDescent="0.2">
      <c r="A5334"/>
    </row>
    <row r="5335" spans="1:1" ht="15" x14ac:dyDescent="0.2">
      <c r="A5335"/>
    </row>
    <row r="5336" spans="1:1" ht="15" x14ac:dyDescent="0.2">
      <c r="A5336"/>
    </row>
    <row r="5337" spans="1:1" ht="15" x14ac:dyDescent="0.2">
      <c r="A5337"/>
    </row>
    <row r="5338" spans="1:1" ht="15" x14ac:dyDescent="0.2">
      <c r="A5338"/>
    </row>
    <row r="5339" spans="1:1" ht="15" x14ac:dyDescent="0.2">
      <c r="A5339"/>
    </row>
    <row r="5340" spans="1:1" ht="15" x14ac:dyDescent="0.2">
      <c r="A5340"/>
    </row>
    <row r="5341" spans="1:1" ht="15" x14ac:dyDescent="0.2">
      <c r="A5341"/>
    </row>
    <row r="5342" spans="1:1" ht="15" x14ac:dyDescent="0.2">
      <c r="A5342"/>
    </row>
    <row r="5343" spans="1:1" ht="15" x14ac:dyDescent="0.2">
      <c r="A5343"/>
    </row>
    <row r="5344" spans="1:1" ht="15" x14ac:dyDescent="0.2">
      <c r="A5344"/>
    </row>
    <row r="5345" spans="1:1" ht="15" x14ac:dyDescent="0.2">
      <c r="A5345"/>
    </row>
    <row r="5346" spans="1:1" ht="15" x14ac:dyDescent="0.2">
      <c r="A5346"/>
    </row>
    <row r="5347" spans="1:1" ht="15" x14ac:dyDescent="0.2">
      <c r="A5347"/>
    </row>
    <row r="5348" spans="1:1" ht="15" x14ac:dyDescent="0.2">
      <c r="A5348"/>
    </row>
    <row r="5349" spans="1:1" ht="15" x14ac:dyDescent="0.2">
      <c r="A5349"/>
    </row>
    <row r="5350" spans="1:1" ht="15" x14ac:dyDescent="0.2">
      <c r="A5350"/>
    </row>
    <row r="5351" spans="1:1" ht="15" x14ac:dyDescent="0.2">
      <c r="A5351"/>
    </row>
    <row r="5352" spans="1:1" ht="15" x14ac:dyDescent="0.2">
      <c r="A5352"/>
    </row>
    <row r="5353" spans="1:1" ht="15" x14ac:dyDescent="0.2">
      <c r="A5353"/>
    </row>
    <row r="5354" spans="1:1" ht="15" x14ac:dyDescent="0.2">
      <c r="A5354"/>
    </row>
    <row r="5355" spans="1:1" ht="15" x14ac:dyDescent="0.2">
      <c r="A5355"/>
    </row>
    <row r="5356" spans="1:1" ht="15" x14ac:dyDescent="0.2">
      <c r="A5356"/>
    </row>
    <row r="5357" spans="1:1" ht="15" x14ac:dyDescent="0.2">
      <c r="A5357"/>
    </row>
    <row r="5358" spans="1:1" ht="15" x14ac:dyDescent="0.2">
      <c r="A5358"/>
    </row>
    <row r="5359" spans="1:1" ht="15" x14ac:dyDescent="0.2">
      <c r="A5359"/>
    </row>
    <row r="5360" spans="1:1" ht="15" x14ac:dyDescent="0.2">
      <c r="A5360"/>
    </row>
    <row r="5361" spans="1:1" ht="15" x14ac:dyDescent="0.2">
      <c r="A5361"/>
    </row>
    <row r="5362" spans="1:1" ht="15" x14ac:dyDescent="0.2">
      <c r="A5362"/>
    </row>
    <row r="5363" spans="1:1" ht="15" x14ac:dyDescent="0.2">
      <c r="A5363"/>
    </row>
    <row r="5364" spans="1:1" ht="15" x14ac:dyDescent="0.2">
      <c r="A5364"/>
    </row>
    <row r="5365" spans="1:1" ht="15" x14ac:dyDescent="0.2">
      <c r="A5365"/>
    </row>
    <row r="5366" spans="1:1" ht="15" x14ac:dyDescent="0.2">
      <c r="A5366"/>
    </row>
    <row r="5367" spans="1:1" ht="15" x14ac:dyDescent="0.2">
      <c r="A5367"/>
    </row>
    <row r="5368" spans="1:1" ht="15" x14ac:dyDescent="0.2">
      <c r="A5368"/>
    </row>
    <row r="5369" spans="1:1" ht="15" x14ac:dyDescent="0.2">
      <c r="A5369"/>
    </row>
    <row r="5370" spans="1:1" ht="15" x14ac:dyDescent="0.2">
      <c r="A5370"/>
    </row>
    <row r="5371" spans="1:1" ht="15" x14ac:dyDescent="0.2">
      <c r="A5371"/>
    </row>
    <row r="5372" spans="1:1" ht="15" x14ac:dyDescent="0.2">
      <c r="A5372"/>
    </row>
    <row r="5373" spans="1:1" ht="15" x14ac:dyDescent="0.2">
      <c r="A5373"/>
    </row>
    <row r="5374" spans="1:1" ht="15" x14ac:dyDescent="0.2">
      <c r="A5374"/>
    </row>
    <row r="5375" spans="1:1" ht="15" x14ac:dyDescent="0.2">
      <c r="A5375"/>
    </row>
    <row r="5376" spans="1:1" ht="15" x14ac:dyDescent="0.2">
      <c r="A5376"/>
    </row>
    <row r="5377" spans="1:1" ht="15" x14ac:dyDescent="0.2">
      <c r="A5377"/>
    </row>
    <row r="5378" spans="1:1" ht="15" x14ac:dyDescent="0.2">
      <c r="A5378"/>
    </row>
    <row r="5379" spans="1:1" ht="15" x14ac:dyDescent="0.2">
      <c r="A5379"/>
    </row>
    <row r="5380" spans="1:1" ht="15" x14ac:dyDescent="0.2">
      <c r="A5380"/>
    </row>
    <row r="5381" spans="1:1" ht="15" x14ac:dyDescent="0.2">
      <c r="A5381"/>
    </row>
    <row r="5382" spans="1:1" ht="15" x14ac:dyDescent="0.2">
      <c r="A5382"/>
    </row>
    <row r="5383" spans="1:1" ht="15" x14ac:dyDescent="0.2">
      <c r="A5383"/>
    </row>
    <row r="5384" spans="1:1" ht="15" x14ac:dyDescent="0.2">
      <c r="A5384"/>
    </row>
    <row r="5385" spans="1:1" ht="15" x14ac:dyDescent="0.2">
      <c r="A5385"/>
    </row>
    <row r="5386" spans="1:1" ht="15" x14ac:dyDescent="0.2">
      <c r="A5386"/>
    </row>
    <row r="5387" spans="1:1" ht="15" x14ac:dyDescent="0.2">
      <c r="A5387"/>
    </row>
    <row r="5388" spans="1:1" ht="15" x14ac:dyDescent="0.2">
      <c r="A5388"/>
    </row>
    <row r="5389" spans="1:1" ht="15" x14ac:dyDescent="0.2">
      <c r="A5389"/>
    </row>
    <row r="5390" spans="1:1" ht="15" x14ac:dyDescent="0.2">
      <c r="A5390"/>
    </row>
    <row r="5391" spans="1:1" ht="15" x14ac:dyDescent="0.2">
      <c r="A5391"/>
    </row>
    <row r="5392" spans="1:1" ht="15" x14ac:dyDescent="0.2">
      <c r="A5392"/>
    </row>
    <row r="5393" spans="1:1" ht="15" x14ac:dyDescent="0.2">
      <c r="A5393"/>
    </row>
    <row r="5394" spans="1:1" ht="15" x14ac:dyDescent="0.2">
      <c r="A5394"/>
    </row>
    <row r="5395" spans="1:1" ht="15" x14ac:dyDescent="0.2">
      <c r="A5395"/>
    </row>
    <row r="5396" spans="1:1" ht="15" x14ac:dyDescent="0.2">
      <c r="A5396"/>
    </row>
    <row r="5397" spans="1:1" ht="15" x14ac:dyDescent="0.2">
      <c r="A5397"/>
    </row>
    <row r="5398" spans="1:1" ht="15" x14ac:dyDescent="0.2">
      <c r="A5398"/>
    </row>
    <row r="5399" spans="1:1" ht="15" x14ac:dyDescent="0.2">
      <c r="A5399"/>
    </row>
    <row r="5400" spans="1:1" ht="15" x14ac:dyDescent="0.2">
      <c r="A5400"/>
    </row>
    <row r="5401" spans="1:1" ht="15" x14ac:dyDescent="0.2">
      <c r="A5401"/>
    </row>
    <row r="5402" spans="1:1" ht="15" x14ac:dyDescent="0.2">
      <c r="A5402"/>
    </row>
    <row r="5403" spans="1:1" ht="15" x14ac:dyDescent="0.2">
      <c r="A5403"/>
    </row>
    <row r="5404" spans="1:1" ht="15" x14ac:dyDescent="0.2">
      <c r="A5404"/>
    </row>
    <row r="5405" spans="1:1" ht="15" x14ac:dyDescent="0.2">
      <c r="A5405"/>
    </row>
    <row r="5406" spans="1:1" ht="15" x14ac:dyDescent="0.2">
      <c r="A5406"/>
    </row>
    <row r="5407" spans="1:1" ht="15" x14ac:dyDescent="0.2">
      <c r="A5407"/>
    </row>
    <row r="5408" spans="1:1" ht="15" x14ac:dyDescent="0.2">
      <c r="A5408"/>
    </row>
    <row r="5409" spans="1:1" ht="15" x14ac:dyDescent="0.2">
      <c r="A5409"/>
    </row>
    <row r="5410" spans="1:1" ht="15" x14ac:dyDescent="0.2">
      <c r="A5410"/>
    </row>
    <row r="5411" spans="1:1" ht="15" x14ac:dyDescent="0.2">
      <c r="A5411"/>
    </row>
    <row r="5412" spans="1:1" ht="15" x14ac:dyDescent="0.2">
      <c r="A5412"/>
    </row>
    <row r="5413" spans="1:1" ht="15" x14ac:dyDescent="0.2">
      <c r="A5413"/>
    </row>
    <row r="5414" spans="1:1" ht="15" x14ac:dyDescent="0.2">
      <c r="A5414"/>
    </row>
    <row r="5415" spans="1:1" ht="15" x14ac:dyDescent="0.2">
      <c r="A5415"/>
    </row>
    <row r="5416" spans="1:1" ht="15" x14ac:dyDescent="0.2">
      <c r="A5416"/>
    </row>
    <row r="5417" spans="1:1" ht="15" x14ac:dyDescent="0.2">
      <c r="A5417"/>
    </row>
    <row r="5418" spans="1:1" ht="15" x14ac:dyDescent="0.2">
      <c r="A5418"/>
    </row>
    <row r="5419" spans="1:1" ht="15" x14ac:dyDescent="0.2">
      <c r="A5419"/>
    </row>
    <row r="5420" spans="1:1" ht="15" x14ac:dyDescent="0.2">
      <c r="A5420"/>
    </row>
    <row r="5421" spans="1:1" ht="15" x14ac:dyDescent="0.2">
      <c r="A5421"/>
    </row>
    <row r="5422" spans="1:1" ht="15" x14ac:dyDescent="0.2">
      <c r="A5422"/>
    </row>
    <row r="5423" spans="1:1" ht="15" x14ac:dyDescent="0.2">
      <c r="A5423"/>
    </row>
    <row r="5424" spans="1:1" ht="15" x14ac:dyDescent="0.2">
      <c r="A5424"/>
    </row>
    <row r="5425" spans="1:1" ht="15" x14ac:dyDescent="0.2">
      <c r="A5425"/>
    </row>
    <row r="5426" spans="1:1" ht="15" x14ac:dyDescent="0.2">
      <c r="A5426"/>
    </row>
    <row r="5427" spans="1:1" ht="15" x14ac:dyDescent="0.2">
      <c r="A5427"/>
    </row>
    <row r="5428" spans="1:1" ht="15" x14ac:dyDescent="0.2">
      <c r="A5428"/>
    </row>
    <row r="5429" spans="1:1" ht="15" x14ac:dyDescent="0.2">
      <c r="A5429"/>
    </row>
    <row r="5430" spans="1:1" ht="15" x14ac:dyDescent="0.2">
      <c r="A5430"/>
    </row>
    <row r="5431" spans="1:1" ht="15" x14ac:dyDescent="0.2">
      <c r="A5431"/>
    </row>
    <row r="5432" spans="1:1" ht="15" x14ac:dyDescent="0.2">
      <c r="A5432"/>
    </row>
    <row r="5433" spans="1:1" ht="15" x14ac:dyDescent="0.2">
      <c r="A5433"/>
    </row>
    <row r="5434" spans="1:1" ht="15" x14ac:dyDescent="0.2">
      <c r="A5434"/>
    </row>
    <row r="5435" spans="1:1" ht="15" x14ac:dyDescent="0.2">
      <c r="A5435"/>
    </row>
    <row r="5436" spans="1:1" ht="15" x14ac:dyDescent="0.2">
      <c r="A5436"/>
    </row>
    <row r="5437" spans="1:1" ht="15" x14ac:dyDescent="0.2">
      <c r="A5437"/>
    </row>
    <row r="5438" spans="1:1" ht="15" x14ac:dyDescent="0.2">
      <c r="A5438"/>
    </row>
    <row r="5439" spans="1:1" ht="15" x14ac:dyDescent="0.2">
      <c r="A5439"/>
    </row>
    <row r="5440" spans="1:1" ht="15" x14ac:dyDescent="0.2">
      <c r="A5440"/>
    </row>
    <row r="5441" spans="1:1" ht="15" x14ac:dyDescent="0.2">
      <c r="A5441"/>
    </row>
    <row r="5442" spans="1:1" ht="15" x14ac:dyDescent="0.2">
      <c r="A5442"/>
    </row>
    <row r="5443" spans="1:1" ht="15" x14ac:dyDescent="0.2">
      <c r="A5443"/>
    </row>
    <row r="5444" spans="1:1" ht="15" x14ac:dyDescent="0.2">
      <c r="A5444"/>
    </row>
    <row r="5445" spans="1:1" ht="15" x14ac:dyDescent="0.2">
      <c r="A5445"/>
    </row>
    <row r="5446" spans="1:1" ht="15" x14ac:dyDescent="0.2">
      <c r="A5446"/>
    </row>
    <row r="5447" spans="1:1" ht="15" x14ac:dyDescent="0.2">
      <c r="A5447"/>
    </row>
    <row r="5448" spans="1:1" ht="15" x14ac:dyDescent="0.2">
      <c r="A5448"/>
    </row>
    <row r="5449" spans="1:1" ht="15" x14ac:dyDescent="0.2">
      <c r="A5449"/>
    </row>
    <row r="5450" spans="1:1" ht="15" x14ac:dyDescent="0.2">
      <c r="A5450"/>
    </row>
    <row r="5451" spans="1:1" ht="15" x14ac:dyDescent="0.2">
      <c r="A5451"/>
    </row>
    <row r="5452" spans="1:1" ht="15" x14ac:dyDescent="0.2">
      <c r="A5452"/>
    </row>
    <row r="5453" spans="1:1" ht="15" x14ac:dyDescent="0.2">
      <c r="A5453"/>
    </row>
    <row r="5454" spans="1:1" ht="15" x14ac:dyDescent="0.2">
      <c r="A5454"/>
    </row>
    <row r="5455" spans="1:1" ht="15" x14ac:dyDescent="0.2">
      <c r="A5455"/>
    </row>
    <row r="5456" spans="1:1" ht="15" x14ac:dyDescent="0.2">
      <c r="A5456"/>
    </row>
    <row r="5457" spans="1:1" ht="15" x14ac:dyDescent="0.2">
      <c r="A5457"/>
    </row>
    <row r="5458" spans="1:1" ht="15" x14ac:dyDescent="0.2">
      <c r="A5458"/>
    </row>
    <row r="5459" spans="1:1" ht="15" x14ac:dyDescent="0.2">
      <c r="A5459"/>
    </row>
    <row r="5460" spans="1:1" ht="15" x14ac:dyDescent="0.2">
      <c r="A5460"/>
    </row>
    <row r="5461" spans="1:1" ht="15" x14ac:dyDescent="0.2">
      <c r="A5461"/>
    </row>
    <row r="5462" spans="1:1" ht="15" x14ac:dyDescent="0.2">
      <c r="A5462"/>
    </row>
    <row r="5463" spans="1:1" ht="15" x14ac:dyDescent="0.2">
      <c r="A5463"/>
    </row>
    <row r="5464" spans="1:1" ht="15" x14ac:dyDescent="0.2">
      <c r="A5464"/>
    </row>
    <row r="5465" spans="1:1" ht="15" x14ac:dyDescent="0.2">
      <c r="A5465"/>
    </row>
    <row r="5466" spans="1:1" ht="15" x14ac:dyDescent="0.2">
      <c r="A5466"/>
    </row>
    <row r="5467" spans="1:1" ht="15" x14ac:dyDescent="0.2">
      <c r="A5467"/>
    </row>
    <row r="5468" spans="1:1" ht="15" x14ac:dyDescent="0.2">
      <c r="A5468"/>
    </row>
    <row r="5469" spans="1:1" ht="15" x14ac:dyDescent="0.2">
      <c r="A5469"/>
    </row>
    <row r="5470" spans="1:1" ht="15" x14ac:dyDescent="0.2">
      <c r="A5470"/>
    </row>
    <row r="5471" spans="1:1" ht="15" x14ac:dyDescent="0.2">
      <c r="A5471"/>
    </row>
    <row r="5472" spans="1:1" ht="15" x14ac:dyDescent="0.2">
      <c r="A5472"/>
    </row>
    <row r="5473" spans="1:1" ht="15" x14ac:dyDescent="0.2">
      <c r="A5473"/>
    </row>
    <row r="5474" spans="1:1" ht="15" x14ac:dyDescent="0.2">
      <c r="A5474"/>
    </row>
    <row r="5475" spans="1:1" ht="15" x14ac:dyDescent="0.2">
      <c r="A5475"/>
    </row>
    <row r="5476" spans="1:1" ht="15" x14ac:dyDescent="0.2">
      <c r="A5476"/>
    </row>
    <row r="5477" spans="1:1" ht="15" x14ac:dyDescent="0.2">
      <c r="A5477"/>
    </row>
    <row r="5478" spans="1:1" ht="15" x14ac:dyDescent="0.2">
      <c r="A5478"/>
    </row>
    <row r="5479" spans="1:1" ht="15" x14ac:dyDescent="0.2">
      <c r="A5479"/>
    </row>
    <row r="5480" spans="1:1" ht="15" x14ac:dyDescent="0.2">
      <c r="A5480"/>
    </row>
    <row r="5481" spans="1:1" ht="15" x14ac:dyDescent="0.2">
      <c r="A5481"/>
    </row>
    <row r="5482" spans="1:1" ht="15" x14ac:dyDescent="0.2">
      <c r="A5482"/>
    </row>
    <row r="5483" spans="1:1" ht="15" x14ac:dyDescent="0.2">
      <c r="A5483"/>
    </row>
    <row r="5484" spans="1:1" ht="15" x14ac:dyDescent="0.2">
      <c r="A5484"/>
    </row>
    <row r="5485" spans="1:1" ht="15" x14ac:dyDescent="0.2">
      <c r="A5485"/>
    </row>
    <row r="5486" spans="1:1" ht="15" x14ac:dyDescent="0.2">
      <c r="A5486"/>
    </row>
    <row r="5487" spans="1:1" ht="15" x14ac:dyDescent="0.2">
      <c r="A5487"/>
    </row>
    <row r="5488" spans="1:1" ht="15" x14ac:dyDescent="0.2">
      <c r="A5488"/>
    </row>
    <row r="5489" spans="1:1" ht="15" x14ac:dyDescent="0.2">
      <c r="A5489"/>
    </row>
    <row r="5490" spans="1:1" ht="15" x14ac:dyDescent="0.2">
      <c r="A5490"/>
    </row>
    <row r="5491" spans="1:1" ht="15" x14ac:dyDescent="0.2">
      <c r="A5491"/>
    </row>
    <row r="5492" spans="1:1" ht="15" x14ac:dyDescent="0.2">
      <c r="A5492"/>
    </row>
    <row r="5493" spans="1:1" ht="15" x14ac:dyDescent="0.2">
      <c r="A5493"/>
    </row>
    <row r="5494" spans="1:1" ht="15" x14ac:dyDescent="0.2">
      <c r="A5494"/>
    </row>
    <row r="5495" spans="1:1" ht="15" x14ac:dyDescent="0.2">
      <c r="A5495"/>
    </row>
    <row r="5496" spans="1:1" ht="15" x14ac:dyDescent="0.2">
      <c r="A5496"/>
    </row>
    <row r="5497" spans="1:1" ht="15" x14ac:dyDescent="0.2">
      <c r="A5497"/>
    </row>
    <row r="5498" spans="1:1" ht="15" x14ac:dyDescent="0.2">
      <c r="A5498"/>
    </row>
    <row r="5499" spans="1:1" ht="15" x14ac:dyDescent="0.2">
      <c r="A5499"/>
    </row>
    <row r="5500" spans="1:1" ht="15" x14ac:dyDescent="0.2">
      <c r="A5500"/>
    </row>
    <row r="5501" spans="1:1" ht="15" x14ac:dyDescent="0.2">
      <c r="A5501"/>
    </row>
    <row r="5502" spans="1:1" ht="15" x14ac:dyDescent="0.2">
      <c r="A5502"/>
    </row>
    <row r="5503" spans="1:1" ht="15" x14ac:dyDescent="0.2">
      <c r="A5503"/>
    </row>
    <row r="5504" spans="1:1" ht="15" x14ac:dyDescent="0.2">
      <c r="A5504"/>
    </row>
    <row r="5505" spans="1:1" ht="15" x14ac:dyDescent="0.2">
      <c r="A5505"/>
    </row>
    <row r="5506" spans="1:1" ht="15" x14ac:dyDescent="0.2">
      <c r="A5506"/>
    </row>
    <row r="5507" spans="1:1" ht="15" x14ac:dyDescent="0.2">
      <c r="A5507"/>
    </row>
    <row r="5508" spans="1:1" ht="15" x14ac:dyDescent="0.2">
      <c r="A5508"/>
    </row>
    <row r="5509" spans="1:1" ht="15" x14ac:dyDescent="0.2">
      <c r="A5509"/>
    </row>
    <row r="5510" spans="1:1" ht="15" x14ac:dyDescent="0.2">
      <c r="A5510"/>
    </row>
    <row r="5511" spans="1:1" ht="15" x14ac:dyDescent="0.2">
      <c r="A5511"/>
    </row>
    <row r="5512" spans="1:1" ht="15" x14ac:dyDescent="0.2">
      <c r="A5512"/>
    </row>
    <row r="5513" spans="1:1" ht="15" x14ac:dyDescent="0.2">
      <c r="A5513"/>
    </row>
    <row r="5514" spans="1:1" ht="15" x14ac:dyDescent="0.2">
      <c r="A5514"/>
    </row>
    <row r="5515" spans="1:1" ht="15" x14ac:dyDescent="0.2">
      <c r="A5515"/>
    </row>
    <row r="5516" spans="1:1" ht="15" x14ac:dyDescent="0.2">
      <c r="A5516"/>
    </row>
    <row r="5517" spans="1:1" ht="15" x14ac:dyDescent="0.2">
      <c r="A5517"/>
    </row>
    <row r="5518" spans="1:1" ht="15" x14ac:dyDescent="0.2">
      <c r="A5518"/>
    </row>
    <row r="5519" spans="1:1" ht="15" x14ac:dyDescent="0.2">
      <c r="A5519"/>
    </row>
    <row r="5520" spans="1:1" ht="15" x14ac:dyDescent="0.2">
      <c r="A5520"/>
    </row>
    <row r="5521" spans="1:1" ht="15" x14ac:dyDescent="0.2">
      <c r="A5521"/>
    </row>
    <row r="5522" spans="1:1" ht="15" x14ac:dyDescent="0.2">
      <c r="A5522"/>
    </row>
    <row r="5523" spans="1:1" ht="15" x14ac:dyDescent="0.2">
      <c r="A5523"/>
    </row>
    <row r="5524" spans="1:1" ht="15" x14ac:dyDescent="0.2">
      <c r="A5524"/>
    </row>
    <row r="5525" spans="1:1" ht="15" x14ac:dyDescent="0.2">
      <c r="A5525"/>
    </row>
    <row r="5526" spans="1:1" ht="15" x14ac:dyDescent="0.2">
      <c r="A5526"/>
    </row>
    <row r="5527" spans="1:1" ht="15" x14ac:dyDescent="0.2">
      <c r="A5527"/>
    </row>
    <row r="5528" spans="1:1" ht="15" x14ac:dyDescent="0.2">
      <c r="A5528"/>
    </row>
    <row r="5529" spans="1:1" ht="15" x14ac:dyDescent="0.2">
      <c r="A5529"/>
    </row>
    <row r="5530" spans="1:1" ht="15" x14ac:dyDescent="0.2">
      <c r="A5530"/>
    </row>
    <row r="5531" spans="1:1" ht="15" x14ac:dyDescent="0.2">
      <c r="A5531"/>
    </row>
    <row r="5532" spans="1:1" ht="15" x14ac:dyDescent="0.2">
      <c r="A5532"/>
    </row>
    <row r="5533" spans="1:1" ht="15" x14ac:dyDescent="0.2">
      <c r="A5533"/>
    </row>
    <row r="5534" spans="1:1" ht="15" x14ac:dyDescent="0.2">
      <c r="A5534"/>
    </row>
    <row r="5535" spans="1:1" ht="15" x14ac:dyDescent="0.2">
      <c r="A5535"/>
    </row>
    <row r="5536" spans="1:1" ht="15" x14ac:dyDescent="0.2">
      <c r="A5536"/>
    </row>
    <row r="5537" spans="1:1" ht="15" x14ac:dyDescent="0.2">
      <c r="A5537"/>
    </row>
    <row r="5538" spans="1:1" ht="15" x14ac:dyDescent="0.2">
      <c r="A5538"/>
    </row>
    <row r="5539" spans="1:1" ht="15" x14ac:dyDescent="0.2">
      <c r="A5539"/>
    </row>
    <row r="5540" spans="1:1" ht="15" x14ac:dyDescent="0.2">
      <c r="A5540"/>
    </row>
    <row r="5541" spans="1:1" ht="15" x14ac:dyDescent="0.2">
      <c r="A5541"/>
    </row>
    <row r="5542" spans="1:1" ht="15" x14ac:dyDescent="0.2">
      <c r="A5542"/>
    </row>
    <row r="5543" spans="1:1" ht="15" x14ac:dyDescent="0.2">
      <c r="A5543"/>
    </row>
    <row r="5544" spans="1:1" ht="15" x14ac:dyDescent="0.2">
      <c r="A5544"/>
    </row>
    <row r="5545" spans="1:1" ht="15" x14ac:dyDescent="0.2">
      <c r="A5545"/>
    </row>
    <row r="5546" spans="1:1" ht="15" x14ac:dyDescent="0.2">
      <c r="A5546"/>
    </row>
    <row r="5547" spans="1:1" ht="15" x14ac:dyDescent="0.2">
      <c r="A5547"/>
    </row>
    <row r="5548" spans="1:1" ht="15" x14ac:dyDescent="0.2">
      <c r="A5548"/>
    </row>
    <row r="5549" spans="1:1" ht="15" x14ac:dyDescent="0.2">
      <c r="A5549"/>
    </row>
    <row r="5550" spans="1:1" ht="15" x14ac:dyDescent="0.2">
      <c r="A5550"/>
    </row>
    <row r="5551" spans="1:1" ht="15" x14ac:dyDescent="0.2">
      <c r="A5551"/>
    </row>
    <row r="5552" spans="1:1" ht="15" x14ac:dyDescent="0.2">
      <c r="A5552"/>
    </row>
    <row r="5553" spans="1:1" ht="15" x14ac:dyDescent="0.2">
      <c r="A5553"/>
    </row>
    <row r="5554" spans="1:1" ht="15" x14ac:dyDescent="0.2">
      <c r="A5554"/>
    </row>
    <row r="5555" spans="1:1" ht="15" x14ac:dyDescent="0.2">
      <c r="A5555"/>
    </row>
    <row r="5556" spans="1:1" ht="15" x14ac:dyDescent="0.2">
      <c r="A5556"/>
    </row>
    <row r="5557" spans="1:1" ht="15" x14ac:dyDescent="0.2">
      <c r="A5557"/>
    </row>
    <row r="5558" spans="1:1" ht="15" x14ac:dyDescent="0.2">
      <c r="A5558"/>
    </row>
    <row r="5559" spans="1:1" ht="15" x14ac:dyDescent="0.2">
      <c r="A5559"/>
    </row>
    <row r="5560" spans="1:1" ht="15" x14ac:dyDescent="0.2">
      <c r="A5560"/>
    </row>
    <row r="5561" spans="1:1" ht="15" x14ac:dyDescent="0.2">
      <c r="A5561"/>
    </row>
    <row r="5562" spans="1:1" ht="15" x14ac:dyDescent="0.2">
      <c r="A5562"/>
    </row>
    <row r="5563" spans="1:1" ht="15" x14ac:dyDescent="0.2">
      <c r="A5563"/>
    </row>
    <row r="5564" spans="1:1" ht="15" x14ac:dyDescent="0.2">
      <c r="A5564"/>
    </row>
    <row r="5565" spans="1:1" ht="15" x14ac:dyDescent="0.2">
      <c r="A5565"/>
    </row>
    <row r="5566" spans="1:1" ht="15" x14ac:dyDescent="0.2">
      <c r="A5566"/>
    </row>
    <row r="5567" spans="1:1" ht="15" x14ac:dyDescent="0.2">
      <c r="A5567"/>
    </row>
    <row r="5568" spans="1:1" ht="15" x14ac:dyDescent="0.2">
      <c r="A5568"/>
    </row>
    <row r="5569" spans="1:1" ht="15" x14ac:dyDescent="0.2">
      <c r="A5569"/>
    </row>
    <row r="5570" spans="1:1" ht="15" x14ac:dyDescent="0.2">
      <c r="A5570"/>
    </row>
    <row r="5571" spans="1:1" ht="15" x14ac:dyDescent="0.2">
      <c r="A5571"/>
    </row>
    <row r="5572" spans="1:1" ht="15" x14ac:dyDescent="0.2">
      <c r="A5572"/>
    </row>
    <row r="5573" spans="1:1" ht="15" x14ac:dyDescent="0.2">
      <c r="A5573"/>
    </row>
    <row r="5574" spans="1:1" ht="15" x14ac:dyDescent="0.2">
      <c r="A5574"/>
    </row>
    <row r="5575" spans="1:1" ht="15" x14ac:dyDescent="0.2">
      <c r="A5575"/>
    </row>
    <row r="5576" spans="1:1" ht="15" x14ac:dyDescent="0.2">
      <c r="A5576"/>
    </row>
    <row r="5577" spans="1:1" ht="15" x14ac:dyDescent="0.2">
      <c r="A5577"/>
    </row>
    <row r="5578" spans="1:1" ht="15" x14ac:dyDescent="0.2">
      <c r="A5578"/>
    </row>
    <row r="5579" spans="1:1" ht="15" x14ac:dyDescent="0.2">
      <c r="A5579"/>
    </row>
    <row r="5580" spans="1:1" ht="15" x14ac:dyDescent="0.2">
      <c r="A5580"/>
    </row>
    <row r="5581" spans="1:1" ht="15" x14ac:dyDescent="0.2">
      <c r="A5581"/>
    </row>
    <row r="5582" spans="1:1" ht="15" x14ac:dyDescent="0.2">
      <c r="A5582"/>
    </row>
    <row r="5583" spans="1:1" ht="15" x14ac:dyDescent="0.2">
      <c r="A5583"/>
    </row>
    <row r="5584" spans="1:1" ht="15" x14ac:dyDescent="0.2">
      <c r="A5584"/>
    </row>
    <row r="5585" spans="1:1" ht="15" x14ac:dyDescent="0.2">
      <c r="A5585"/>
    </row>
    <row r="5586" spans="1:1" ht="15" x14ac:dyDescent="0.2">
      <c r="A5586"/>
    </row>
    <row r="5587" spans="1:1" ht="15" x14ac:dyDescent="0.2">
      <c r="A5587"/>
    </row>
    <row r="5588" spans="1:1" ht="15" x14ac:dyDescent="0.2">
      <c r="A5588"/>
    </row>
    <row r="5589" spans="1:1" ht="15" x14ac:dyDescent="0.2">
      <c r="A5589"/>
    </row>
    <row r="5590" spans="1:1" ht="15" x14ac:dyDescent="0.2">
      <c r="A5590"/>
    </row>
    <row r="5591" spans="1:1" ht="15" x14ac:dyDescent="0.2">
      <c r="A5591"/>
    </row>
    <row r="5592" spans="1:1" ht="15" x14ac:dyDescent="0.2">
      <c r="A5592"/>
    </row>
    <row r="5593" spans="1:1" ht="15" x14ac:dyDescent="0.2">
      <c r="A5593"/>
    </row>
    <row r="5594" spans="1:1" ht="15" x14ac:dyDescent="0.2">
      <c r="A5594"/>
    </row>
    <row r="5595" spans="1:1" ht="15" x14ac:dyDescent="0.2">
      <c r="A5595"/>
    </row>
    <row r="5596" spans="1:1" ht="15" x14ac:dyDescent="0.2">
      <c r="A5596"/>
    </row>
    <row r="5597" spans="1:1" ht="15" x14ac:dyDescent="0.2">
      <c r="A5597"/>
    </row>
    <row r="5598" spans="1:1" ht="15" x14ac:dyDescent="0.2">
      <c r="A5598"/>
    </row>
    <row r="5599" spans="1:1" ht="15" x14ac:dyDescent="0.2">
      <c r="A5599"/>
    </row>
    <row r="5600" spans="1:1" ht="15" x14ac:dyDescent="0.2">
      <c r="A5600"/>
    </row>
    <row r="5601" spans="1:1" ht="15" x14ac:dyDescent="0.2">
      <c r="A5601"/>
    </row>
    <row r="5602" spans="1:1" ht="15" x14ac:dyDescent="0.2">
      <c r="A5602"/>
    </row>
    <row r="5603" spans="1:1" ht="15" x14ac:dyDescent="0.2">
      <c r="A5603"/>
    </row>
    <row r="5604" spans="1:1" ht="15" x14ac:dyDescent="0.2">
      <c r="A5604"/>
    </row>
    <row r="5605" spans="1:1" ht="15" x14ac:dyDescent="0.2">
      <c r="A5605"/>
    </row>
    <row r="5606" spans="1:1" ht="15" x14ac:dyDescent="0.2">
      <c r="A5606"/>
    </row>
    <row r="5607" spans="1:1" ht="15" x14ac:dyDescent="0.2">
      <c r="A5607"/>
    </row>
    <row r="5608" spans="1:1" ht="15" x14ac:dyDescent="0.2">
      <c r="A5608"/>
    </row>
    <row r="5609" spans="1:1" ht="15" x14ac:dyDescent="0.2">
      <c r="A5609"/>
    </row>
    <row r="5610" spans="1:1" ht="15" x14ac:dyDescent="0.2">
      <c r="A5610"/>
    </row>
    <row r="5611" spans="1:1" ht="15" x14ac:dyDescent="0.2">
      <c r="A5611"/>
    </row>
    <row r="5612" spans="1:1" ht="15" x14ac:dyDescent="0.2">
      <c r="A5612"/>
    </row>
    <row r="5613" spans="1:1" ht="15" x14ac:dyDescent="0.2">
      <c r="A5613"/>
    </row>
    <row r="5614" spans="1:1" ht="15" x14ac:dyDescent="0.2">
      <c r="A5614"/>
    </row>
    <row r="5615" spans="1:1" ht="15" x14ac:dyDescent="0.2">
      <c r="A5615"/>
    </row>
    <row r="5616" spans="1:1" ht="15" x14ac:dyDescent="0.2">
      <c r="A5616"/>
    </row>
    <row r="5617" spans="1:1" ht="15" x14ac:dyDescent="0.2">
      <c r="A5617"/>
    </row>
    <row r="5618" spans="1:1" ht="15" x14ac:dyDescent="0.2">
      <c r="A5618"/>
    </row>
    <row r="5619" spans="1:1" ht="15" x14ac:dyDescent="0.2">
      <c r="A5619"/>
    </row>
    <row r="5620" spans="1:1" ht="15" x14ac:dyDescent="0.2">
      <c r="A5620"/>
    </row>
    <row r="5621" spans="1:1" ht="15" x14ac:dyDescent="0.2">
      <c r="A5621"/>
    </row>
    <row r="5622" spans="1:1" ht="15" x14ac:dyDescent="0.2">
      <c r="A5622"/>
    </row>
    <row r="5623" spans="1:1" ht="15" x14ac:dyDescent="0.2">
      <c r="A5623"/>
    </row>
    <row r="5624" spans="1:1" ht="15" x14ac:dyDescent="0.2">
      <c r="A5624"/>
    </row>
    <row r="5625" spans="1:1" ht="15" x14ac:dyDescent="0.2">
      <c r="A5625"/>
    </row>
    <row r="5626" spans="1:1" ht="15" x14ac:dyDescent="0.2">
      <c r="A5626"/>
    </row>
    <row r="5627" spans="1:1" ht="15" x14ac:dyDescent="0.2">
      <c r="A5627"/>
    </row>
    <row r="5628" spans="1:1" ht="15" x14ac:dyDescent="0.2">
      <c r="A5628"/>
    </row>
    <row r="5629" spans="1:1" ht="15" x14ac:dyDescent="0.2">
      <c r="A5629"/>
    </row>
    <row r="5630" spans="1:1" ht="15" x14ac:dyDescent="0.2">
      <c r="A5630"/>
    </row>
    <row r="5631" spans="1:1" ht="15" x14ac:dyDescent="0.2">
      <c r="A5631"/>
    </row>
    <row r="5632" spans="1:1" ht="15" x14ac:dyDescent="0.2">
      <c r="A5632"/>
    </row>
    <row r="5633" spans="1:1" ht="15" x14ac:dyDescent="0.2">
      <c r="A5633"/>
    </row>
    <row r="5634" spans="1:1" ht="15" x14ac:dyDescent="0.2">
      <c r="A5634"/>
    </row>
    <row r="5635" spans="1:1" ht="15" x14ac:dyDescent="0.2">
      <c r="A5635"/>
    </row>
    <row r="5636" spans="1:1" ht="15" x14ac:dyDescent="0.2">
      <c r="A5636"/>
    </row>
    <row r="5637" spans="1:1" ht="15" x14ac:dyDescent="0.2">
      <c r="A5637"/>
    </row>
    <row r="5638" spans="1:1" ht="15" x14ac:dyDescent="0.2">
      <c r="A5638"/>
    </row>
    <row r="5639" spans="1:1" ht="15" x14ac:dyDescent="0.2">
      <c r="A5639"/>
    </row>
    <row r="5640" spans="1:1" ht="15" x14ac:dyDescent="0.2">
      <c r="A5640"/>
    </row>
    <row r="5641" spans="1:1" ht="15" x14ac:dyDescent="0.2">
      <c r="A5641"/>
    </row>
    <row r="5642" spans="1:1" ht="15" x14ac:dyDescent="0.2">
      <c r="A5642"/>
    </row>
    <row r="5643" spans="1:1" ht="15" x14ac:dyDescent="0.2">
      <c r="A5643"/>
    </row>
    <row r="5644" spans="1:1" ht="15" x14ac:dyDescent="0.2">
      <c r="A5644"/>
    </row>
    <row r="5645" spans="1:1" ht="15" x14ac:dyDescent="0.2">
      <c r="A5645"/>
    </row>
    <row r="5646" spans="1:1" ht="15" x14ac:dyDescent="0.2">
      <c r="A5646"/>
    </row>
    <row r="5647" spans="1:1" ht="15" x14ac:dyDescent="0.2">
      <c r="A5647"/>
    </row>
    <row r="5648" spans="1:1" ht="15" x14ac:dyDescent="0.2">
      <c r="A5648"/>
    </row>
    <row r="5649" spans="1:1" ht="15" x14ac:dyDescent="0.2">
      <c r="A5649"/>
    </row>
    <row r="5650" spans="1:1" ht="15" x14ac:dyDescent="0.2">
      <c r="A5650"/>
    </row>
    <row r="5651" spans="1:1" ht="15" x14ac:dyDescent="0.2">
      <c r="A5651"/>
    </row>
    <row r="5652" spans="1:1" ht="15" x14ac:dyDescent="0.2">
      <c r="A5652"/>
    </row>
    <row r="5653" spans="1:1" ht="15" x14ac:dyDescent="0.2">
      <c r="A5653"/>
    </row>
    <row r="5654" spans="1:1" ht="15" x14ac:dyDescent="0.2">
      <c r="A5654"/>
    </row>
    <row r="5655" spans="1:1" ht="15" x14ac:dyDescent="0.2">
      <c r="A5655"/>
    </row>
    <row r="5656" spans="1:1" ht="15" x14ac:dyDescent="0.2">
      <c r="A5656"/>
    </row>
    <row r="5657" spans="1:1" ht="15" x14ac:dyDescent="0.2">
      <c r="A5657"/>
    </row>
    <row r="5658" spans="1:1" ht="15" x14ac:dyDescent="0.2">
      <c r="A5658"/>
    </row>
    <row r="5659" spans="1:1" ht="15" x14ac:dyDescent="0.2">
      <c r="A5659"/>
    </row>
    <row r="5660" spans="1:1" ht="15" x14ac:dyDescent="0.2">
      <c r="A5660"/>
    </row>
    <row r="5661" spans="1:1" ht="15" x14ac:dyDescent="0.2">
      <c r="A5661"/>
    </row>
    <row r="5662" spans="1:1" ht="15" x14ac:dyDescent="0.2">
      <c r="A5662"/>
    </row>
    <row r="5663" spans="1:1" ht="15" x14ac:dyDescent="0.2">
      <c r="A5663"/>
    </row>
    <row r="5664" spans="1:1" ht="15" x14ac:dyDescent="0.2">
      <c r="A5664"/>
    </row>
    <row r="5665" spans="1:1" ht="15" x14ac:dyDescent="0.2">
      <c r="A5665"/>
    </row>
    <row r="5666" spans="1:1" ht="15" x14ac:dyDescent="0.2">
      <c r="A5666"/>
    </row>
    <row r="5667" spans="1:1" ht="15" x14ac:dyDescent="0.2">
      <c r="A5667"/>
    </row>
    <row r="5668" spans="1:1" ht="15" x14ac:dyDescent="0.2">
      <c r="A5668"/>
    </row>
    <row r="5669" spans="1:1" ht="15" x14ac:dyDescent="0.2">
      <c r="A5669"/>
    </row>
    <row r="5670" spans="1:1" ht="15" x14ac:dyDescent="0.2">
      <c r="A5670"/>
    </row>
    <row r="5671" spans="1:1" ht="15" x14ac:dyDescent="0.2">
      <c r="A5671"/>
    </row>
    <row r="5672" spans="1:1" ht="15" x14ac:dyDescent="0.2">
      <c r="A5672"/>
    </row>
    <row r="5673" spans="1:1" ht="15" x14ac:dyDescent="0.2">
      <c r="A5673"/>
    </row>
  </sheetData>
  <sortState ref="A2:A5">
    <sortCondition ref="A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Arcs" enableFormatConditionsCalculation="0"/>
  <dimension ref="A1:P3167"/>
  <sheetViews>
    <sheetView showGridLines="0" workbookViewId="0">
      <pane ySplit="1" topLeftCell="A2" activePane="bottomLeft" state="frozen"/>
      <selection activeCell="A10" sqref="A10"/>
      <selection pane="bottomLeft" activeCell="F2" sqref="F2"/>
    </sheetView>
  </sheetViews>
  <sheetFormatPr baseColWidth="10" defaultColWidth="8.83203125" defaultRowHeight="14" x14ac:dyDescent="0.2"/>
  <cols>
    <col min="1" max="1" width="10.1640625" style="14" customWidth="1"/>
    <col min="2" max="3" width="9" style="14" customWidth="1"/>
    <col min="4" max="4" width="14.5" style="14" hidden="1" customWidth="1"/>
    <col min="5" max="5" width="11.5" style="14" customWidth="1"/>
    <col min="6" max="6" width="16.83203125" style="14" customWidth="1"/>
    <col min="7" max="13" width="11.5" style="14" customWidth="1"/>
    <col min="14" max="16" width="9.1640625" style="14" hidden="1" customWidth="1"/>
    <col min="17" max="16384" width="8.83203125" style="14"/>
  </cols>
  <sheetData>
    <row r="1" spans="1:16" ht="60" customHeight="1" x14ac:dyDescent="0.2">
      <c r="A1" s="9" t="s">
        <v>7</v>
      </c>
      <c r="B1" s="22" t="s">
        <v>8</v>
      </c>
      <c r="C1" s="9" t="s">
        <v>9</v>
      </c>
      <c r="D1" s="10" t="s">
        <v>180</v>
      </c>
      <c r="E1" s="10" t="s">
        <v>111</v>
      </c>
      <c r="F1" s="10" t="s">
        <v>1</v>
      </c>
      <c r="G1" s="10" t="s">
        <v>112</v>
      </c>
      <c r="H1" s="10" t="s">
        <v>113</v>
      </c>
      <c r="I1" s="10" t="s">
        <v>114</v>
      </c>
      <c r="J1" s="10" t="s">
        <v>115</v>
      </c>
      <c r="K1" s="10" t="s">
        <v>116</v>
      </c>
      <c r="L1" s="10" t="s">
        <v>117</v>
      </c>
      <c r="M1" s="10" t="s">
        <v>118</v>
      </c>
      <c r="N1" s="14" t="s">
        <v>129</v>
      </c>
      <c r="O1" s="14" t="s">
        <v>148</v>
      </c>
      <c r="P1" s="14" t="s">
        <v>182</v>
      </c>
    </row>
    <row r="2" spans="1:16" x14ac:dyDescent="0.2">
      <c r="A2" s="25"/>
      <c r="B2" s="128" t="s">
        <v>0</v>
      </c>
      <c r="C2" s="128" t="s">
        <v>1</v>
      </c>
      <c r="D2" s="18">
        <v>7</v>
      </c>
      <c r="E2" s="129">
        <v>7</v>
      </c>
      <c r="F2" s="16"/>
      <c r="G2" s="16"/>
      <c r="H2" s="16"/>
      <c r="I2" s="16"/>
      <c r="J2" s="16"/>
      <c r="K2" s="16"/>
      <c r="L2" s="16"/>
      <c r="M2" s="16"/>
      <c r="O2" s="21"/>
    </row>
    <row r="3" spans="1:16" x14ac:dyDescent="0.2">
      <c r="A3" s="25"/>
      <c r="B3" s="128" t="s">
        <v>0</v>
      </c>
      <c r="C3" s="128" t="s">
        <v>6</v>
      </c>
      <c r="D3" s="18">
        <v>5</v>
      </c>
      <c r="E3" s="129">
        <v>5</v>
      </c>
      <c r="F3" s="16"/>
      <c r="G3" s="16"/>
      <c r="H3" s="16"/>
      <c r="I3" s="16"/>
      <c r="J3" s="16"/>
      <c r="K3" s="16"/>
      <c r="L3" s="16"/>
      <c r="M3" s="16"/>
      <c r="O3" s="21"/>
    </row>
    <row r="4" spans="1:16" x14ac:dyDescent="0.2">
      <c r="A4" s="25"/>
      <c r="B4" s="128" t="s">
        <v>0</v>
      </c>
      <c r="C4" s="128" t="s">
        <v>12</v>
      </c>
      <c r="D4" s="18">
        <v>15</v>
      </c>
      <c r="E4" s="129">
        <v>15</v>
      </c>
      <c r="F4" s="16"/>
      <c r="G4" s="16"/>
      <c r="H4" s="16"/>
      <c r="I4" s="16"/>
      <c r="J4" s="16"/>
      <c r="K4" s="16"/>
      <c r="L4" s="16"/>
      <c r="M4" s="16"/>
      <c r="O4" s="21"/>
    </row>
    <row r="5" spans="1:16" x14ac:dyDescent="0.2">
      <c r="A5" s="25"/>
      <c r="B5" s="128" t="s">
        <v>1</v>
      </c>
      <c r="C5" s="128" t="s">
        <v>0</v>
      </c>
      <c r="D5" s="18">
        <v>7</v>
      </c>
      <c r="E5" s="129">
        <v>7</v>
      </c>
      <c r="F5" s="16"/>
      <c r="G5" s="16"/>
      <c r="H5" s="16"/>
      <c r="I5" s="16"/>
      <c r="J5" s="16"/>
      <c r="K5" s="16"/>
      <c r="L5" s="16"/>
      <c r="M5" s="16"/>
      <c r="O5" s="21"/>
    </row>
    <row r="6" spans="1:16" x14ac:dyDescent="0.2">
      <c r="A6" s="25"/>
      <c r="B6" s="128" t="s">
        <v>1</v>
      </c>
      <c r="C6" s="128" t="s">
        <v>12</v>
      </c>
      <c r="D6" s="18">
        <v>11</v>
      </c>
      <c r="E6" s="129">
        <v>11</v>
      </c>
      <c r="F6" s="16"/>
      <c r="G6" s="16"/>
      <c r="H6" s="16"/>
      <c r="I6" s="16"/>
      <c r="J6" s="16"/>
      <c r="K6" s="16"/>
      <c r="L6" s="16"/>
      <c r="M6" s="16"/>
      <c r="O6" s="21"/>
    </row>
    <row r="7" spans="1:16" x14ac:dyDescent="0.2">
      <c r="A7" s="25"/>
      <c r="B7" s="128" t="s">
        <v>1</v>
      </c>
      <c r="C7" s="128" t="s">
        <v>13</v>
      </c>
      <c r="D7" s="18">
        <v>11</v>
      </c>
      <c r="E7" s="129">
        <v>11</v>
      </c>
      <c r="F7" s="16"/>
      <c r="G7" s="16"/>
      <c r="H7" s="16"/>
      <c r="I7" s="16"/>
      <c r="J7" s="16"/>
      <c r="K7" s="16"/>
      <c r="L7" s="16"/>
      <c r="M7" s="16"/>
      <c r="O7" s="21"/>
    </row>
    <row r="8" spans="1:16" x14ac:dyDescent="0.2">
      <c r="A8" s="25"/>
      <c r="B8" s="128" t="s">
        <v>6</v>
      </c>
      <c r="C8" s="128" t="s">
        <v>0</v>
      </c>
      <c r="D8" s="18">
        <v>5</v>
      </c>
      <c r="E8" s="129">
        <v>5</v>
      </c>
      <c r="F8" s="16"/>
      <c r="G8" s="16"/>
      <c r="H8" s="16"/>
      <c r="I8" s="16"/>
      <c r="J8" s="16"/>
      <c r="K8" s="16"/>
      <c r="L8" s="16"/>
      <c r="M8" s="16"/>
    </row>
    <row r="9" spans="1:16" x14ac:dyDescent="0.2">
      <c r="A9" s="25"/>
      <c r="B9" s="128" t="s">
        <v>6</v>
      </c>
      <c r="C9" s="128" t="s">
        <v>12</v>
      </c>
      <c r="D9" s="18">
        <v>7</v>
      </c>
      <c r="E9" s="129">
        <v>7</v>
      </c>
      <c r="F9" s="16"/>
      <c r="G9" s="16"/>
      <c r="H9" s="16"/>
      <c r="I9" s="16"/>
      <c r="J9" s="16"/>
      <c r="K9" s="16"/>
      <c r="L9" s="16"/>
      <c r="M9" s="16"/>
    </row>
    <row r="10" spans="1:16" x14ac:dyDescent="0.2">
      <c r="A10" s="25"/>
      <c r="B10" s="128" t="s">
        <v>6</v>
      </c>
      <c r="C10" s="128" t="s">
        <v>14</v>
      </c>
      <c r="D10" s="18">
        <v>11</v>
      </c>
      <c r="E10" s="129">
        <v>11</v>
      </c>
      <c r="F10" s="16"/>
      <c r="G10" s="16"/>
      <c r="H10" s="16"/>
      <c r="I10" s="16"/>
      <c r="J10" s="16"/>
      <c r="K10" s="16"/>
      <c r="L10" s="16"/>
      <c r="M10" s="16"/>
    </row>
    <row r="11" spans="1:16" x14ac:dyDescent="0.2">
      <c r="A11" s="25"/>
      <c r="B11" s="128" t="s">
        <v>6</v>
      </c>
      <c r="C11" s="128" t="s">
        <v>15</v>
      </c>
      <c r="D11" s="18">
        <v>9</v>
      </c>
      <c r="E11" s="129">
        <v>9</v>
      </c>
      <c r="F11" s="16"/>
      <c r="G11" s="16"/>
      <c r="H11" s="16"/>
      <c r="I11" s="16"/>
      <c r="J11" s="16"/>
      <c r="K11" s="16"/>
      <c r="L11" s="16"/>
      <c r="M11" s="16"/>
    </row>
    <row r="12" spans="1:16" x14ac:dyDescent="0.2">
      <c r="A12" s="25"/>
      <c r="B12" s="128" t="s">
        <v>12</v>
      </c>
      <c r="C12" s="128" t="s">
        <v>0</v>
      </c>
      <c r="D12" s="18">
        <v>15</v>
      </c>
      <c r="E12" s="129">
        <v>15</v>
      </c>
      <c r="F12" s="16"/>
      <c r="G12" s="16"/>
      <c r="H12" s="16"/>
      <c r="I12" s="16"/>
      <c r="J12" s="16"/>
      <c r="K12" s="16"/>
      <c r="L12" s="16"/>
      <c r="M12" s="16"/>
    </row>
    <row r="13" spans="1:16" x14ac:dyDescent="0.2">
      <c r="A13" s="25"/>
      <c r="B13" s="128" t="s">
        <v>12</v>
      </c>
      <c r="C13" s="128" t="s">
        <v>1</v>
      </c>
      <c r="D13" s="18">
        <v>11</v>
      </c>
      <c r="E13" s="129">
        <v>11</v>
      </c>
      <c r="F13" s="16"/>
      <c r="G13" s="16"/>
      <c r="H13" s="16"/>
      <c r="I13" s="16"/>
      <c r="J13" s="16"/>
      <c r="K13" s="16"/>
      <c r="L13" s="16"/>
      <c r="M13" s="16"/>
    </row>
    <row r="14" spans="1:16" x14ac:dyDescent="0.2">
      <c r="A14" s="25"/>
      <c r="B14" s="128" t="s">
        <v>12</v>
      </c>
      <c r="C14" s="128" t="s">
        <v>6</v>
      </c>
      <c r="D14" s="18">
        <v>7</v>
      </c>
      <c r="E14" s="129">
        <v>7</v>
      </c>
      <c r="F14" s="16"/>
      <c r="G14" s="16"/>
      <c r="H14" s="16"/>
      <c r="I14" s="16"/>
      <c r="J14" s="16"/>
      <c r="K14" s="16"/>
      <c r="L14" s="16"/>
      <c r="M14" s="16"/>
    </row>
    <row r="15" spans="1:16" x14ac:dyDescent="0.2">
      <c r="A15" s="25"/>
      <c r="B15" s="128" t="s">
        <v>12</v>
      </c>
      <c r="C15" s="128" t="s">
        <v>13</v>
      </c>
      <c r="D15" s="18">
        <v>7</v>
      </c>
      <c r="E15" s="129">
        <v>7</v>
      </c>
      <c r="F15" s="16"/>
      <c r="G15" s="16"/>
      <c r="H15" s="16"/>
      <c r="I15" s="16"/>
      <c r="J15" s="16"/>
      <c r="K15" s="16"/>
      <c r="L15" s="16"/>
      <c r="M15" s="16"/>
    </row>
    <row r="16" spans="1:16" x14ac:dyDescent="0.2">
      <c r="A16" s="25"/>
      <c r="B16" s="128" t="s">
        <v>12</v>
      </c>
      <c r="C16" s="128" t="s">
        <v>15</v>
      </c>
      <c r="D16" s="18">
        <v>7</v>
      </c>
      <c r="E16" s="129">
        <v>7</v>
      </c>
      <c r="F16" s="16"/>
      <c r="G16" s="16"/>
      <c r="H16" s="16"/>
      <c r="I16" s="16"/>
      <c r="J16" s="16"/>
      <c r="K16" s="16"/>
      <c r="L16" s="16"/>
      <c r="M16" s="16"/>
    </row>
    <row r="17" spans="1:13" x14ac:dyDescent="0.2">
      <c r="A17" s="25"/>
      <c r="B17" s="128" t="s">
        <v>12</v>
      </c>
      <c r="C17" s="128" t="s">
        <v>16</v>
      </c>
      <c r="D17" s="18">
        <v>9</v>
      </c>
      <c r="E17" s="129">
        <v>9</v>
      </c>
      <c r="F17" s="16"/>
      <c r="G17" s="16"/>
      <c r="H17" s="16"/>
      <c r="I17" s="16"/>
      <c r="J17" s="16"/>
      <c r="K17" s="16"/>
      <c r="L17" s="16"/>
      <c r="M17" s="16"/>
    </row>
    <row r="18" spans="1:13" x14ac:dyDescent="0.2">
      <c r="A18" s="25"/>
      <c r="B18" s="128" t="s">
        <v>13</v>
      </c>
      <c r="C18" s="128" t="s">
        <v>1</v>
      </c>
      <c r="D18" s="18">
        <v>11</v>
      </c>
      <c r="E18" s="129">
        <v>11</v>
      </c>
      <c r="F18" s="16"/>
      <c r="G18" s="16"/>
      <c r="H18" s="16"/>
      <c r="I18" s="16"/>
      <c r="J18" s="16"/>
      <c r="K18" s="16"/>
      <c r="L18" s="16"/>
      <c r="M18" s="16"/>
    </row>
    <row r="19" spans="1:13" x14ac:dyDescent="0.2">
      <c r="A19" s="25"/>
      <c r="B19" s="128" t="s">
        <v>13</v>
      </c>
      <c r="C19" s="128" t="s">
        <v>12</v>
      </c>
      <c r="D19" s="18">
        <v>7</v>
      </c>
      <c r="E19" s="129">
        <v>7</v>
      </c>
      <c r="F19" s="16"/>
      <c r="G19" s="16"/>
      <c r="H19" s="16"/>
      <c r="I19" s="16"/>
      <c r="J19" s="16"/>
      <c r="K19" s="16"/>
      <c r="L19" s="16"/>
      <c r="M19" s="16"/>
    </row>
    <row r="20" spans="1:13" x14ac:dyDescent="0.2">
      <c r="A20" s="25"/>
      <c r="B20" s="128" t="s">
        <v>13</v>
      </c>
      <c r="C20" s="128" t="s">
        <v>16</v>
      </c>
      <c r="D20" s="18">
        <v>7</v>
      </c>
      <c r="E20" s="129">
        <v>7</v>
      </c>
      <c r="F20" s="16"/>
      <c r="G20" s="16"/>
      <c r="H20" s="16"/>
      <c r="I20" s="16"/>
      <c r="J20" s="16"/>
      <c r="K20" s="16"/>
      <c r="L20" s="16"/>
      <c r="M20" s="16"/>
    </row>
    <row r="21" spans="1:13" x14ac:dyDescent="0.2">
      <c r="A21" s="25"/>
      <c r="B21" s="128" t="s">
        <v>14</v>
      </c>
      <c r="C21" s="128" t="s">
        <v>6</v>
      </c>
      <c r="D21" s="18">
        <v>11</v>
      </c>
      <c r="E21" s="129">
        <v>11</v>
      </c>
      <c r="F21" s="16"/>
      <c r="G21" s="16"/>
      <c r="H21" s="16"/>
      <c r="I21" s="16"/>
      <c r="J21" s="16"/>
      <c r="K21" s="16"/>
      <c r="L21" s="16"/>
      <c r="M21" s="16"/>
    </row>
    <row r="22" spans="1:13" x14ac:dyDescent="0.2">
      <c r="A22" s="25"/>
      <c r="B22" s="128" t="s">
        <v>14</v>
      </c>
      <c r="C22" s="128" t="s">
        <v>15</v>
      </c>
      <c r="D22" s="18">
        <v>9</v>
      </c>
      <c r="E22" s="129">
        <v>9</v>
      </c>
      <c r="F22" s="16"/>
      <c r="G22" s="16"/>
      <c r="H22" s="16"/>
      <c r="I22" s="16"/>
      <c r="J22" s="16"/>
      <c r="K22" s="16"/>
      <c r="L22" s="16"/>
      <c r="M22" s="16"/>
    </row>
    <row r="23" spans="1:13" x14ac:dyDescent="0.2">
      <c r="A23" s="25"/>
      <c r="B23" s="128" t="s">
        <v>14</v>
      </c>
      <c r="C23" s="128" t="s">
        <v>17</v>
      </c>
      <c r="D23" s="18">
        <v>13</v>
      </c>
      <c r="E23" s="129">
        <v>13</v>
      </c>
      <c r="F23" s="16"/>
      <c r="G23" s="16"/>
      <c r="H23" s="16"/>
      <c r="I23" s="16"/>
      <c r="J23" s="16"/>
      <c r="K23" s="16"/>
      <c r="L23" s="16"/>
      <c r="M23" s="16"/>
    </row>
    <row r="24" spans="1:13" x14ac:dyDescent="0.2">
      <c r="A24" s="25"/>
      <c r="B24" s="128" t="s">
        <v>15</v>
      </c>
      <c r="C24" s="128" t="s">
        <v>6</v>
      </c>
      <c r="D24" s="18">
        <v>9</v>
      </c>
      <c r="E24" s="129">
        <v>9</v>
      </c>
      <c r="F24" s="16"/>
      <c r="G24" s="16"/>
      <c r="H24" s="16"/>
      <c r="I24" s="16"/>
      <c r="J24" s="16"/>
      <c r="K24" s="16"/>
      <c r="L24" s="16"/>
      <c r="M24" s="16"/>
    </row>
    <row r="25" spans="1:13" x14ac:dyDescent="0.2">
      <c r="A25" s="25"/>
      <c r="B25" s="128" t="s">
        <v>15</v>
      </c>
      <c r="C25" s="128" t="s">
        <v>12</v>
      </c>
      <c r="D25" s="18">
        <v>7</v>
      </c>
      <c r="E25" s="129">
        <v>7</v>
      </c>
      <c r="F25" s="16"/>
      <c r="G25" s="16"/>
      <c r="H25" s="16"/>
      <c r="I25" s="16"/>
      <c r="J25" s="16"/>
      <c r="K25" s="16"/>
      <c r="L25" s="16"/>
      <c r="M25" s="16"/>
    </row>
    <row r="26" spans="1:13" x14ac:dyDescent="0.2">
      <c r="A26" s="25"/>
      <c r="B26" s="128" t="s">
        <v>15</v>
      </c>
      <c r="C26" s="128" t="s">
        <v>14</v>
      </c>
      <c r="D26" s="18">
        <v>9</v>
      </c>
      <c r="E26" s="129">
        <v>9</v>
      </c>
      <c r="F26" s="16"/>
      <c r="G26" s="16"/>
      <c r="H26" s="16"/>
      <c r="I26" s="16"/>
      <c r="J26" s="16"/>
      <c r="K26" s="16"/>
      <c r="L26" s="16"/>
      <c r="M26" s="16"/>
    </row>
    <row r="27" spans="1:13" x14ac:dyDescent="0.2">
      <c r="A27" s="25"/>
      <c r="B27" s="128" t="s">
        <v>15</v>
      </c>
      <c r="C27" s="128" t="s">
        <v>16</v>
      </c>
      <c r="D27" s="18">
        <v>9</v>
      </c>
      <c r="E27" s="129">
        <v>9</v>
      </c>
      <c r="F27" s="16"/>
      <c r="G27" s="16"/>
      <c r="H27" s="16"/>
      <c r="I27" s="16"/>
      <c r="J27" s="16"/>
      <c r="K27" s="16"/>
      <c r="L27" s="16"/>
      <c r="M27" s="16"/>
    </row>
    <row r="28" spans="1:13" x14ac:dyDescent="0.2">
      <c r="A28" s="25"/>
      <c r="B28" s="128" t="s">
        <v>15</v>
      </c>
      <c r="C28" s="128" t="s">
        <v>18</v>
      </c>
      <c r="D28" s="18">
        <v>3</v>
      </c>
      <c r="E28" s="129">
        <v>3</v>
      </c>
      <c r="F28" s="16"/>
      <c r="G28" s="16"/>
      <c r="H28" s="16"/>
      <c r="I28" s="16"/>
      <c r="J28" s="16"/>
      <c r="K28" s="16"/>
      <c r="L28" s="16"/>
      <c r="M28" s="16"/>
    </row>
    <row r="29" spans="1:13" x14ac:dyDescent="0.2">
      <c r="A29" s="25"/>
      <c r="B29" s="128" t="s">
        <v>15</v>
      </c>
      <c r="C29" s="128" t="s">
        <v>19</v>
      </c>
      <c r="D29" s="18">
        <v>13</v>
      </c>
      <c r="E29" s="129">
        <v>13</v>
      </c>
      <c r="F29" s="16"/>
      <c r="G29" s="16"/>
      <c r="H29" s="16"/>
      <c r="I29" s="16"/>
      <c r="J29" s="16"/>
      <c r="K29" s="16"/>
      <c r="L29" s="16"/>
      <c r="M29" s="16"/>
    </row>
    <row r="30" spans="1:13" x14ac:dyDescent="0.2">
      <c r="A30" s="25"/>
      <c r="B30" s="128" t="s">
        <v>16</v>
      </c>
      <c r="C30" s="128" t="s">
        <v>12</v>
      </c>
      <c r="D30" s="18">
        <v>9</v>
      </c>
      <c r="E30" s="129">
        <v>9</v>
      </c>
      <c r="F30" s="16"/>
      <c r="G30" s="16"/>
      <c r="H30" s="16"/>
      <c r="I30" s="16"/>
      <c r="J30" s="16"/>
      <c r="K30" s="16"/>
      <c r="L30" s="16"/>
      <c r="M30" s="16"/>
    </row>
    <row r="31" spans="1:13" x14ac:dyDescent="0.2">
      <c r="A31" s="25"/>
      <c r="B31" s="128" t="s">
        <v>16</v>
      </c>
      <c r="C31" s="128" t="s">
        <v>13</v>
      </c>
      <c r="D31" s="18">
        <v>7</v>
      </c>
      <c r="E31" s="129">
        <v>7</v>
      </c>
      <c r="F31" s="16"/>
      <c r="G31" s="16"/>
      <c r="H31" s="16"/>
      <c r="I31" s="16"/>
      <c r="J31" s="16"/>
      <c r="K31" s="16"/>
      <c r="L31" s="16"/>
      <c r="M31" s="16"/>
    </row>
    <row r="32" spans="1:13" x14ac:dyDescent="0.2">
      <c r="A32" s="25"/>
      <c r="B32" s="128" t="s">
        <v>16</v>
      </c>
      <c r="C32" s="128" t="s">
        <v>15</v>
      </c>
      <c r="D32" s="18">
        <v>9</v>
      </c>
      <c r="E32" s="129">
        <v>9</v>
      </c>
      <c r="F32" s="16"/>
      <c r="G32" s="16"/>
      <c r="H32" s="16"/>
      <c r="I32" s="16"/>
      <c r="J32" s="16"/>
      <c r="K32" s="16"/>
      <c r="L32" s="16"/>
      <c r="M32" s="16"/>
    </row>
    <row r="33" spans="1:13" x14ac:dyDescent="0.2">
      <c r="A33" s="25"/>
      <c r="B33" s="128" t="s">
        <v>16</v>
      </c>
      <c r="C33" s="128" t="s">
        <v>19</v>
      </c>
      <c r="D33" s="18">
        <v>3</v>
      </c>
      <c r="E33" s="129">
        <v>3</v>
      </c>
      <c r="F33" s="16"/>
      <c r="G33" s="16"/>
      <c r="H33" s="16"/>
      <c r="I33" s="16"/>
      <c r="J33" s="16"/>
      <c r="K33" s="16"/>
      <c r="L33" s="16"/>
      <c r="M33" s="16"/>
    </row>
    <row r="34" spans="1:13" x14ac:dyDescent="0.2">
      <c r="A34" s="25"/>
      <c r="B34" s="128" t="s">
        <v>17</v>
      </c>
      <c r="C34" s="128" t="s">
        <v>14</v>
      </c>
      <c r="D34" s="18">
        <v>13</v>
      </c>
      <c r="E34" s="129">
        <v>13</v>
      </c>
      <c r="F34" s="16"/>
      <c r="G34" s="16"/>
      <c r="H34" s="16"/>
      <c r="I34" s="16"/>
      <c r="J34" s="16"/>
      <c r="K34" s="16"/>
      <c r="L34" s="16"/>
      <c r="M34" s="16"/>
    </row>
    <row r="35" spans="1:13" x14ac:dyDescent="0.2">
      <c r="A35" s="25"/>
      <c r="B35" s="128" t="s">
        <v>17</v>
      </c>
      <c r="C35" s="128" t="s">
        <v>18</v>
      </c>
      <c r="D35" s="18">
        <v>9</v>
      </c>
      <c r="E35" s="129">
        <v>9</v>
      </c>
      <c r="F35" s="16"/>
      <c r="G35" s="16"/>
      <c r="H35" s="16"/>
      <c r="I35" s="16"/>
      <c r="J35" s="16"/>
      <c r="K35" s="16"/>
      <c r="L35" s="16"/>
      <c r="M35" s="16"/>
    </row>
    <row r="36" spans="1:13" x14ac:dyDescent="0.2">
      <c r="A36" s="25"/>
      <c r="B36" s="128" t="s">
        <v>17</v>
      </c>
      <c r="C36" s="128" t="s">
        <v>4</v>
      </c>
      <c r="D36" s="18">
        <v>2</v>
      </c>
      <c r="E36" s="129">
        <v>2</v>
      </c>
      <c r="F36" s="16"/>
      <c r="G36" s="16"/>
      <c r="H36" s="16"/>
      <c r="I36" s="16"/>
      <c r="J36" s="16"/>
      <c r="K36" s="16"/>
      <c r="L36" s="16"/>
      <c r="M36" s="16"/>
    </row>
    <row r="37" spans="1:13" x14ac:dyDescent="0.2">
      <c r="A37" s="25"/>
      <c r="B37" s="128" t="s">
        <v>18</v>
      </c>
      <c r="C37" s="128" t="s">
        <v>15</v>
      </c>
      <c r="D37" s="18">
        <v>3</v>
      </c>
      <c r="E37" s="129">
        <v>3</v>
      </c>
      <c r="F37" s="16"/>
      <c r="G37" s="16"/>
      <c r="H37" s="16"/>
      <c r="I37" s="16"/>
      <c r="J37" s="16"/>
      <c r="K37" s="16"/>
      <c r="L37" s="16"/>
      <c r="M37" s="16"/>
    </row>
    <row r="38" spans="1:13" x14ac:dyDescent="0.2">
      <c r="A38" s="25"/>
      <c r="B38" s="128" t="s">
        <v>18</v>
      </c>
      <c r="C38" s="128" t="s">
        <v>17</v>
      </c>
      <c r="D38" s="18">
        <v>9</v>
      </c>
      <c r="E38" s="129">
        <v>9</v>
      </c>
      <c r="F38" s="16"/>
      <c r="G38" s="16"/>
      <c r="H38" s="16"/>
      <c r="I38" s="16"/>
      <c r="J38" s="16"/>
      <c r="K38" s="16"/>
      <c r="L38" s="16"/>
      <c r="M38" s="16"/>
    </row>
    <row r="39" spans="1:13" x14ac:dyDescent="0.2">
      <c r="A39" s="25"/>
      <c r="B39" s="128" t="s">
        <v>18</v>
      </c>
      <c r="C39" s="128" t="s">
        <v>19</v>
      </c>
      <c r="D39" s="18">
        <v>9</v>
      </c>
      <c r="E39" s="129">
        <v>9</v>
      </c>
      <c r="F39" s="16"/>
      <c r="G39" s="16"/>
      <c r="H39" s="16"/>
      <c r="I39" s="16"/>
      <c r="J39" s="16"/>
      <c r="K39" s="16"/>
      <c r="L39" s="16"/>
      <c r="M39" s="16"/>
    </row>
    <row r="40" spans="1:13" x14ac:dyDescent="0.2">
      <c r="A40" s="25"/>
      <c r="B40" s="128" t="s">
        <v>18</v>
      </c>
      <c r="C40" s="128" t="s">
        <v>4</v>
      </c>
      <c r="D40" s="18">
        <v>12</v>
      </c>
      <c r="E40" s="129">
        <v>12</v>
      </c>
      <c r="F40" s="16"/>
      <c r="G40" s="16"/>
      <c r="H40" s="16"/>
      <c r="I40" s="16"/>
      <c r="J40" s="16"/>
      <c r="K40" s="16"/>
      <c r="L40" s="16"/>
      <c r="M40" s="16"/>
    </row>
    <row r="41" spans="1:13" x14ac:dyDescent="0.2">
      <c r="A41" s="25"/>
      <c r="B41" s="128" t="s">
        <v>18</v>
      </c>
      <c r="C41" s="128" t="s">
        <v>20</v>
      </c>
      <c r="D41" s="18">
        <v>12</v>
      </c>
      <c r="E41" s="129">
        <v>12</v>
      </c>
      <c r="F41" s="16"/>
      <c r="G41" s="16"/>
      <c r="H41" s="16"/>
      <c r="I41" s="16"/>
      <c r="J41" s="16"/>
      <c r="K41" s="16"/>
      <c r="L41" s="16"/>
      <c r="M41" s="16"/>
    </row>
    <row r="42" spans="1:13" x14ac:dyDescent="0.2">
      <c r="A42" s="25"/>
      <c r="B42" s="128" t="s">
        <v>19</v>
      </c>
      <c r="C42" s="128" t="s">
        <v>15</v>
      </c>
      <c r="D42" s="18">
        <v>13</v>
      </c>
      <c r="E42" s="129">
        <v>13</v>
      </c>
      <c r="F42" s="16"/>
      <c r="G42" s="16"/>
      <c r="H42" s="16"/>
      <c r="I42" s="16"/>
      <c r="J42" s="16"/>
      <c r="K42" s="16"/>
      <c r="L42" s="16"/>
      <c r="M42" s="16"/>
    </row>
    <row r="43" spans="1:13" x14ac:dyDescent="0.2">
      <c r="A43" s="25"/>
      <c r="B43" s="128" t="s">
        <v>19</v>
      </c>
      <c r="C43" s="128" t="s">
        <v>16</v>
      </c>
      <c r="D43" s="18">
        <v>3</v>
      </c>
      <c r="E43" s="129">
        <v>3</v>
      </c>
      <c r="F43" s="16"/>
      <c r="G43" s="16"/>
      <c r="H43" s="16"/>
      <c r="I43" s="16"/>
      <c r="J43" s="16"/>
      <c r="K43" s="16"/>
      <c r="L43" s="16"/>
      <c r="M43" s="16"/>
    </row>
    <row r="44" spans="1:13" x14ac:dyDescent="0.2">
      <c r="A44" s="25"/>
      <c r="B44" s="128" t="s">
        <v>19</v>
      </c>
      <c r="C44" s="128" t="s">
        <v>18</v>
      </c>
      <c r="D44" s="18">
        <v>9</v>
      </c>
      <c r="E44" s="129">
        <v>9</v>
      </c>
      <c r="F44" s="16"/>
      <c r="G44" s="16"/>
      <c r="H44" s="16"/>
      <c r="I44" s="16"/>
      <c r="J44" s="16"/>
      <c r="K44" s="16"/>
      <c r="L44" s="16"/>
      <c r="M44" s="16"/>
    </row>
    <row r="45" spans="1:13" x14ac:dyDescent="0.2">
      <c r="A45" s="25"/>
      <c r="B45" s="128" t="s">
        <v>19</v>
      </c>
      <c r="C45" s="128" t="s">
        <v>20</v>
      </c>
      <c r="D45" s="18">
        <v>2</v>
      </c>
      <c r="E45" s="129">
        <v>2</v>
      </c>
      <c r="F45" s="16"/>
      <c r="G45" s="16"/>
      <c r="H45" s="16"/>
      <c r="I45" s="16"/>
      <c r="J45" s="16"/>
      <c r="K45" s="16"/>
      <c r="L45" s="16"/>
      <c r="M45" s="16"/>
    </row>
    <row r="46" spans="1:13" x14ac:dyDescent="0.2">
      <c r="A46" s="25"/>
      <c r="B46" s="128" t="s">
        <v>4</v>
      </c>
      <c r="C46" s="128" t="s">
        <v>17</v>
      </c>
      <c r="D46" s="18">
        <v>2</v>
      </c>
      <c r="E46" s="129">
        <v>2</v>
      </c>
      <c r="F46" s="16"/>
      <c r="G46" s="16"/>
      <c r="H46" s="16"/>
      <c r="I46" s="16"/>
      <c r="J46" s="16"/>
      <c r="K46" s="16"/>
      <c r="L46" s="16"/>
      <c r="M46" s="16"/>
    </row>
    <row r="47" spans="1:13" x14ac:dyDescent="0.2">
      <c r="A47" s="25"/>
      <c r="B47" s="128" t="s">
        <v>4</v>
      </c>
      <c r="C47" s="128" t="s">
        <v>18</v>
      </c>
      <c r="D47" s="18">
        <v>12</v>
      </c>
      <c r="E47" s="129">
        <v>12</v>
      </c>
      <c r="F47" s="16"/>
      <c r="G47" s="16"/>
      <c r="H47" s="16"/>
      <c r="I47" s="16"/>
      <c r="J47" s="16"/>
      <c r="K47" s="16"/>
      <c r="L47" s="16"/>
      <c r="M47" s="16"/>
    </row>
    <row r="48" spans="1:13" x14ac:dyDescent="0.2">
      <c r="A48" s="25"/>
      <c r="B48" s="128" t="s">
        <v>20</v>
      </c>
      <c r="C48" s="128" t="s">
        <v>18</v>
      </c>
      <c r="D48" s="18">
        <v>12</v>
      </c>
      <c r="E48" s="129">
        <v>12</v>
      </c>
      <c r="F48" s="16"/>
      <c r="G48" s="16"/>
      <c r="H48" s="16"/>
      <c r="I48" s="16"/>
      <c r="J48" s="16"/>
      <c r="K48" s="16"/>
      <c r="L48" s="16"/>
      <c r="M48" s="16"/>
    </row>
    <row r="49" spans="1:13" x14ac:dyDescent="0.2">
      <c r="A49" s="25"/>
      <c r="B49" s="128" t="s">
        <v>20</v>
      </c>
      <c r="C49" s="128" t="s">
        <v>19</v>
      </c>
      <c r="D49" s="18">
        <v>2</v>
      </c>
      <c r="E49" s="129">
        <v>2</v>
      </c>
      <c r="F49" s="16"/>
      <c r="G49" s="16"/>
      <c r="H49" s="16"/>
      <c r="I49" s="16"/>
      <c r="J49" s="16"/>
      <c r="K49" s="16"/>
      <c r="L49" s="16"/>
      <c r="M49" s="16"/>
    </row>
    <row r="50" spans="1:13" x14ac:dyDescent="0.2">
      <c r="A50" s="25"/>
      <c r="B50" s="23"/>
      <c r="C50" s="23"/>
      <c r="D50" s="18"/>
      <c r="E50" s="16"/>
      <c r="F50" s="16"/>
      <c r="G50" s="16"/>
      <c r="H50" s="16"/>
      <c r="I50" s="16"/>
      <c r="J50" s="16"/>
      <c r="K50" s="16"/>
      <c r="L50" s="16"/>
      <c r="M50" s="16"/>
    </row>
    <row r="51" spans="1:13" x14ac:dyDescent="0.2">
      <c r="A51" s="25"/>
      <c r="B51" s="23"/>
      <c r="C51" s="23"/>
      <c r="D51" s="18"/>
      <c r="E51" s="16"/>
      <c r="F51" s="16"/>
      <c r="G51" s="16"/>
      <c r="H51" s="16"/>
      <c r="I51" s="16"/>
      <c r="J51" s="16"/>
      <c r="K51" s="16"/>
      <c r="L51" s="16"/>
      <c r="M51" s="16"/>
    </row>
    <row r="52" spans="1:13" x14ac:dyDescent="0.2">
      <c r="A52" s="25"/>
      <c r="B52" s="23"/>
      <c r="C52" s="23"/>
      <c r="D52" s="18"/>
      <c r="E52" s="16"/>
      <c r="F52" s="16"/>
      <c r="G52" s="16"/>
      <c r="H52" s="16"/>
      <c r="I52" s="16"/>
      <c r="J52" s="16"/>
      <c r="K52" s="16"/>
      <c r="L52" s="16"/>
      <c r="M52" s="16"/>
    </row>
    <row r="53" spans="1:13" x14ac:dyDescent="0.2">
      <c r="A53" s="25"/>
      <c r="B53" s="23"/>
      <c r="C53" s="23"/>
      <c r="D53" s="18"/>
      <c r="E53" s="16"/>
      <c r="F53" s="16"/>
      <c r="G53" s="16"/>
      <c r="H53" s="16"/>
      <c r="I53" s="16"/>
      <c r="J53" s="16"/>
      <c r="K53" s="16"/>
      <c r="L53" s="16"/>
      <c r="M53" s="16"/>
    </row>
    <row r="54" spans="1:13" x14ac:dyDescent="0.2">
      <c r="A54" s="25"/>
      <c r="B54" s="23"/>
      <c r="C54" s="23"/>
      <c r="D54" s="18"/>
      <c r="E54" s="16"/>
      <c r="F54" s="16"/>
      <c r="G54" s="16"/>
      <c r="H54" s="16"/>
      <c r="I54" s="16"/>
      <c r="J54" s="16"/>
      <c r="K54" s="16"/>
      <c r="L54" s="16"/>
      <c r="M54" s="16"/>
    </row>
    <row r="55" spans="1:13" x14ac:dyDescent="0.2">
      <c r="A55" s="25"/>
      <c r="B55" s="23"/>
      <c r="C55" s="23"/>
      <c r="D55" s="18"/>
      <c r="E55" s="16"/>
      <c r="F55" s="16"/>
      <c r="G55" s="16"/>
      <c r="H55" s="16"/>
      <c r="I55" s="16"/>
      <c r="J55" s="16"/>
      <c r="K55" s="16"/>
      <c r="L55" s="16"/>
      <c r="M55" s="16"/>
    </row>
    <row r="56" spans="1:13" x14ac:dyDescent="0.2">
      <c r="A56" s="25"/>
      <c r="B56" s="23"/>
      <c r="C56" s="23"/>
      <c r="D56" s="18"/>
      <c r="E56" s="16"/>
      <c r="F56" s="16"/>
      <c r="G56" s="16"/>
      <c r="H56" s="16"/>
      <c r="I56" s="16"/>
      <c r="J56" s="16"/>
      <c r="K56" s="16"/>
      <c r="L56" s="16"/>
      <c r="M56" s="16"/>
    </row>
    <row r="57" spans="1:13" x14ac:dyDescent="0.2">
      <c r="A57" s="25"/>
      <c r="B57" s="23"/>
      <c r="C57" s="23"/>
      <c r="D57" s="18"/>
      <c r="E57" s="16"/>
      <c r="F57" s="16"/>
      <c r="G57" s="16"/>
      <c r="H57" s="16"/>
      <c r="I57" s="16"/>
      <c r="J57" s="16"/>
      <c r="K57" s="16"/>
      <c r="L57" s="16"/>
      <c r="M57" s="16"/>
    </row>
    <row r="58" spans="1:13" x14ac:dyDescent="0.2">
      <c r="A58" s="25"/>
      <c r="B58" s="23"/>
      <c r="C58" s="23"/>
      <c r="D58" s="18"/>
      <c r="E58" s="16"/>
      <c r="F58" s="16"/>
      <c r="G58" s="16"/>
      <c r="H58" s="16"/>
      <c r="I58" s="16"/>
      <c r="J58" s="16"/>
      <c r="K58" s="16"/>
      <c r="L58" s="16"/>
      <c r="M58" s="16"/>
    </row>
    <row r="59" spans="1:13" x14ac:dyDescent="0.2">
      <c r="A59" s="25"/>
      <c r="B59" s="23"/>
      <c r="C59" s="23"/>
      <c r="D59" s="18"/>
      <c r="E59" s="16"/>
      <c r="F59" s="16"/>
      <c r="G59" s="16"/>
      <c r="H59" s="16"/>
      <c r="I59" s="16"/>
      <c r="J59" s="16"/>
      <c r="K59" s="16"/>
      <c r="L59" s="16"/>
      <c r="M59" s="16"/>
    </row>
    <row r="60" spans="1:13" x14ac:dyDescent="0.2">
      <c r="A60" s="25"/>
      <c r="B60" s="23"/>
      <c r="C60" s="23"/>
      <c r="D60" s="18"/>
      <c r="E60" s="16"/>
      <c r="F60" s="16"/>
      <c r="G60" s="16"/>
      <c r="H60" s="16"/>
      <c r="I60" s="16"/>
      <c r="J60" s="16"/>
      <c r="K60" s="16"/>
      <c r="L60" s="16"/>
      <c r="M60" s="16"/>
    </row>
    <row r="61" spans="1:13" x14ac:dyDescent="0.2">
      <c r="A61" s="25"/>
      <c r="B61" s="23"/>
      <c r="C61" s="23"/>
      <c r="D61" s="18"/>
      <c r="E61" s="16"/>
      <c r="F61" s="16"/>
      <c r="G61" s="16"/>
      <c r="H61" s="16"/>
      <c r="I61" s="16"/>
      <c r="J61" s="16"/>
      <c r="K61" s="16"/>
      <c r="L61" s="16"/>
      <c r="M61" s="16"/>
    </row>
    <row r="62" spans="1:13" x14ac:dyDescent="0.2">
      <c r="A62" s="25"/>
      <c r="B62" s="23"/>
      <c r="C62" s="23"/>
      <c r="D62" s="18"/>
      <c r="E62" s="16"/>
      <c r="F62" s="16"/>
      <c r="G62" s="16"/>
      <c r="H62" s="16"/>
      <c r="I62" s="16"/>
      <c r="J62" s="16"/>
      <c r="K62" s="16"/>
      <c r="L62" s="16"/>
      <c r="M62" s="16"/>
    </row>
    <row r="63" spans="1:13" x14ac:dyDescent="0.2">
      <c r="A63" s="25"/>
      <c r="B63" s="23"/>
      <c r="C63" s="23"/>
      <c r="D63" s="18"/>
      <c r="E63" s="16"/>
      <c r="F63" s="16"/>
      <c r="G63" s="16"/>
      <c r="H63" s="16"/>
      <c r="I63" s="16"/>
      <c r="J63" s="16"/>
      <c r="K63" s="16"/>
      <c r="L63" s="16"/>
      <c r="M63" s="16"/>
    </row>
    <row r="64" spans="1:13" x14ac:dyDescent="0.2">
      <c r="A64" s="25"/>
      <c r="B64" s="23"/>
      <c r="C64" s="23"/>
      <c r="D64" s="18"/>
      <c r="E64" s="16"/>
      <c r="F64" s="16"/>
      <c r="G64" s="16"/>
      <c r="H64" s="16"/>
      <c r="I64" s="16"/>
      <c r="J64" s="16"/>
      <c r="K64" s="16"/>
      <c r="L64" s="16"/>
      <c r="M64" s="16"/>
    </row>
    <row r="65" spans="1:13" x14ac:dyDescent="0.2">
      <c r="A65" s="25"/>
      <c r="B65" s="23"/>
      <c r="C65" s="23"/>
      <c r="D65" s="18"/>
      <c r="E65" s="16"/>
      <c r="F65" s="16"/>
      <c r="G65" s="16"/>
      <c r="H65" s="16"/>
      <c r="I65" s="16"/>
      <c r="J65" s="16"/>
      <c r="K65" s="16"/>
      <c r="L65" s="16"/>
      <c r="M65" s="16"/>
    </row>
    <row r="66" spans="1:13" x14ac:dyDescent="0.2">
      <c r="A66" s="25"/>
      <c r="B66" s="23"/>
      <c r="C66" s="23"/>
      <c r="D66" s="18"/>
      <c r="E66" s="16"/>
      <c r="F66" s="16"/>
      <c r="G66" s="16"/>
      <c r="H66" s="16"/>
      <c r="I66" s="16"/>
      <c r="J66" s="16"/>
      <c r="K66" s="16"/>
      <c r="L66" s="16"/>
      <c r="M66" s="16"/>
    </row>
    <row r="67" spans="1:13" x14ac:dyDescent="0.2">
      <c r="A67" s="25"/>
      <c r="B67" s="23"/>
      <c r="C67" s="23"/>
      <c r="D67" s="18"/>
      <c r="E67" s="16"/>
      <c r="F67" s="16"/>
      <c r="G67" s="16"/>
      <c r="H67" s="16"/>
      <c r="I67" s="16"/>
      <c r="J67" s="16"/>
      <c r="K67" s="16"/>
      <c r="L67" s="16"/>
      <c r="M67" s="16"/>
    </row>
    <row r="68" spans="1:13" x14ac:dyDescent="0.2">
      <c r="A68" s="25"/>
      <c r="B68" s="23"/>
      <c r="C68" s="23"/>
      <c r="D68" s="18"/>
      <c r="E68" s="16"/>
      <c r="F68" s="16"/>
      <c r="G68" s="16"/>
      <c r="H68" s="16"/>
      <c r="I68" s="16"/>
      <c r="J68" s="16"/>
      <c r="K68" s="16"/>
      <c r="L68" s="16"/>
      <c r="M68" s="16"/>
    </row>
    <row r="69" spans="1:13" x14ac:dyDescent="0.2">
      <c r="A69" s="25"/>
      <c r="B69" s="23"/>
      <c r="C69" s="23"/>
      <c r="D69" s="18"/>
      <c r="E69" s="16"/>
      <c r="F69" s="16"/>
      <c r="G69" s="16"/>
      <c r="H69" s="16"/>
      <c r="I69" s="16"/>
      <c r="J69" s="16"/>
      <c r="K69" s="16"/>
      <c r="L69" s="16"/>
      <c r="M69" s="16"/>
    </row>
    <row r="70" spans="1:13" x14ac:dyDescent="0.2">
      <c r="A70" s="25"/>
      <c r="B70" s="23"/>
      <c r="C70" s="23"/>
      <c r="D70" s="18"/>
      <c r="E70" s="16"/>
      <c r="F70" s="16"/>
      <c r="G70" s="16"/>
      <c r="H70" s="16"/>
      <c r="I70" s="16"/>
      <c r="J70" s="16"/>
      <c r="K70" s="16"/>
      <c r="L70" s="16"/>
      <c r="M70" s="16"/>
    </row>
    <row r="71" spans="1:13" x14ac:dyDescent="0.2">
      <c r="A71" s="25"/>
      <c r="B71" s="23"/>
      <c r="C71" s="23"/>
      <c r="D71" s="18"/>
      <c r="E71" s="16"/>
      <c r="F71" s="16"/>
      <c r="G71" s="16"/>
      <c r="H71" s="16"/>
      <c r="I71" s="16"/>
      <c r="J71" s="16"/>
      <c r="K71" s="16"/>
      <c r="L71" s="16"/>
      <c r="M71" s="16"/>
    </row>
    <row r="72" spans="1:13" x14ac:dyDescent="0.2">
      <c r="A72" s="25"/>
      <c r="B72" s="23"/>
      <c r="C72" s="23"/>
      <c r="D72" s="18"/>
      <c r="E72" s="16"/>
      <c r="F72" s="16"/>
      <c r="G72" s="16"/>
      <c r="H72" s="16"/>
      <c r="I72" s="16"/>
      <c r="J72" s="16"/>
      <c r="K72" s="16"/>
      <c r="L72" s="16"/>
      <c r="M72" s="16"/>
    </row>
    <row r="73" spans="1:13" x14ac:dyDescent="0.2">
      <c r="A73" s="25"/>
      <c r="B73" s="23"/>
      <c r="C73" s="23"/>
      <c r="D73" s="18"/>
      <c r="E73" s="16"/>
      <c r="F73" s="16"/>
      <c r="G73" s="16"/>
      <c r="H73" s="16"/>
      <c r="I73" s="16"/>
      <c r="J73" s="16"/>
      <c r="K73" s="16"/>
      <c r="L73" s="16"/>
      <c r="M73" s="16"/>
    </row>
    <row r="74" spans="1:13" x14ac:dyDescent="0.2">
      <c r="A74" s="25"/>
      <c r="B74" s="23"/>
      <c r="C74" s="23"/>
      <c r="D74" s="18"/>
      <c r="E74" s="16"/>
      <c r="F74" s="16"/>
      <c r="G74" s="16"/>
      <c r="H74" s="16"/>
      <c r="I74" s="16"/>
      <c r="J74" s="16"/>
      <c r="K74" s="16"/>
      <c r="L74" s="16"/>
      <c r="M74" s="16"/>
    </row>
    <row r="75" spans="1:13" x14ac:dyDescent="0.2">
      <c r="A75" s="25"/>
      <c r="B75" s="23"/>
      <c r="C75" s="23"/>
      <c r="D75" s="18"/>
      <c r="E75" s="16"/>
      <c r="F75" s="16"/>
      <c r="G75" s="16"/>
      <c r="H75" s="16"/>
      <c r="I75" s="16"/>
      <c r="J75" s="16"/>
      <c r="K75" s="16"/>
      <c r="L75" s="16"/>
      <c r="M75" s="16"/>
    </row>
    <row r="76" spans="1:13" x14ac:dyDescent="0.2">
      <c r="A76" s="25"/>
      <c r="B76" s="23"/>
      <c r="C76" s="23"/>
      <c r="D76" s="18"/>
      <c r="E76" s="16"/>
      <c r="F76" s="16"/>
      <c r="G76" s="16"/>
      <c r="H76" s="16"/>
      <c r="I76" s="16"/>
      <c r="J76" s="16"/>
      <c r="K76" s="16"/>
      <c r="L76" s="16"/>
      <c r="M76" s="16"/>
    </row>
    <row r="77" spans="1:13" x14ac:dyDescent="0.2">
      <c r="A77" s="25"/>
      <c r="B77" s="23"/>
      <c r="C77" s="23"/>
      <c r="D77" s="18"/>
      <c r="E77" s="16"/>
      <c r="F77" s="16"/>
      <c r="G77" s="16"/>
      <c r="H77" s="16"/>
      <c r="I77" s="16"/>
      <c r="J77" s="16"/>
      <c r="K77" s="16"/>
      <c r="L77" s="16"/>
      <c r="M77" s="16"/>
    </row>
    <row r="78" spans="1:13" x14ac:dyDescent="0.2">
      <c r="A78" s="25"/>
      <c r="B78" s="23"/>
      <c r="C78" s="23"/>
      <c r="D78" s="18"/>
      <c r="E78" s="16"/>
      <c r="F78" s="16"/>
      <c r="G78" s="16"/>
      <c r="H78" s="16"/>
      <c r="I78" s="16"/>
      <c r="J78" s="16"/>
      <c r="K78" s="16"/>
      <c r="L78" s="16"/>
      <c r="M78" s="16"/>
    </row>
    <row r="79" spans="1:13" x14ac:dyDescent="0.2">
      <c r="A79" s="25"/>
      <c r="B79" s="23"/>
      <c r="C79" s="23"/>
      <c r="D79" s="18"/>
      <c r="E79" s="16"/>
      <c r="F79" s="16"/>
      <c r="G79" s="16"/>
      <c r="H79" s="16"/>
      <c r="I79" s="16"/>
      <c r="J79" s="16"/>
      <c r="K79" s="16"/>
      <c r="L79" s="16"/>
      <c r="M79" s="16"/>
    </row>
    <row r="80" spans="1:13" x14ac:dyDescent="0.2">
      <c r="A80" s="25"/>
      <c r="B80" s="23"/>
      <c r="C80" s="23"/>
      <c r="D80" s="18"/>
      <c r="E80" s="16"/>
      <c r="F80" s="16"/>
      <c r="G80" s="16"/>
      <c r="H80" s="16"/>
      <c r="I80" s="16"/>
      <c r="J80" s="16"/>
      <c r="K80" s="16"/>
      <c r="L80" s="16"/>
      <c r="M80" s="16"/>
    </row>
    <row r="81" spans="1:13" x14ac:dyDescent="0.2">
      <c r="A81" s="25"/>
      <c r="B81" s="23"/>
      <c r="C81" s="23"/>
      <c r="D81" s="18"/>
      <c r="E81" s="16"/>
      <c r="F81" s="16"/>
      <c r="G81" s="16"/>
      <c r="H81" s="16"/>
      <c r="I81" s="16"/>
      <c r="J81" s="16"/>
      <c r="K81" s="16"/>
      <c r="L81" s="16"/>
      <c r="M81" s="16"/>
    </row>
    <row r="82" spans="1:13" x14ac:dyDescent="0.2">
      <c r="A82" s="25"/>
      <c r="B82" s="23"/>
      <c r="C82" s="23"/>
      <c r="D82" s="18"/>
      <c r="E82" s="16"/>
      <c r="F82" s="16"/>
      <c r="G82" s="16"/>
      <c r="H82" s="16"/>
      <c r="I82" s="16"/>
      <c r="J82" s="16"/>
      <c r="K82" s="16"/>
      <c r="L82" s="16"/>
      <c r="M82" s="16"/>
    </row>
    <row r="83" spans="1:13" x14ac:dyDescent="0.2">
      <c r="A83" s="25"/>
      <c r="B83" s="23"/>
      <c r="C83" s="23"/>
      <c r="D83" s="18"/>
      <c r="E83" s="16"/>
      <c r="F83" s="16"/>
      <c r="G83" s="16"/>
      <c r="H83" s="16"/>
      <c r="I83" s="16"/>
      <c r="J83" s="16"/>
      <c r="K83" s="16"/>
      <c r="L83" s="16"/>
      <c r="M83" s="16"/>
    </row>
    <row r="84" spans="1:13" x14ac:dyDescent="0.2">
      <c r="A84" s="25"/>
      <c r="B84" s="23"/>
      <c r="C84" s="23"/>
      <c r="D84" s="18"/>
      <c r="E84" s="16"/>
      <c r="F84" s="16"/>
      <c r="G84" s="16"/>
      <c r="H84" s="16"/>
      <c r="I84" s="16"/>
      <c r="J84" s="16"/>
      <c r="K84" s="16"/>
      <c r="L84" s="16"/>
      <c r="M84" s="16"/>
    </row>
    <row r="85" spans="1:13" x14ac:dyDescent="0.2">
      <c r="A85" s="25"/>
      <c r="B85" s="23"/>
      <c r="C85" s="23"/>
      <c r="D85" s="18"/>
      <c r="E85" s="16"/>
      <c r="F85" s="16"/>
      <c r="G85" s="16"/>
      <c r="H85" s="16"/>
      <c r="I85" s="16"/>
      <c r="J85" s="16"/>
      <c r="K85" s="16"/>
      <c r="L85" s="16"/>
      <c r="M85" s="16"/>
    </row>
    <row r="86" spans="1:13" x14ac:dyDescent="0.2">
      <c r="A86" s="25"/>
      <c r="B86" s="23"/>
      <c r="C86" s="23"/>
      <c r="D86" s="18"/>
      <c r="E86" s="16"/>
      <c r="F86" s="16"/>
      <c r="G86" s="16"/>
      <c r="H86" s="16"/>
      <c r="I86" s="16"/>
      <c r="J86" s="16"/>
      <c r="K86" s="16"/>
      <c r="L86" s="16"/>
      <c r="M86" s="16"/>
    </row>
    <row r="87" spans="1:13" x14ac:dyDescent="0.2">
      <c r="A87" s="25"/>
      <c r="B87" s="23"/>
      <c r="C87" s="23"/>
      <c r="D87" s="18"/>
      <c r="E87" s="16"/>
      <c r="F87" s="16"/>
      <c r="G87" s="16"/>
      <c r="H87" s="16"/>
      <c r="I87" s="16"/>
      <c r="J87" s="16"/>
      <c r="K87" s="16"/>
      <c r="L87" s="16"/>
      <c r="M87" s="16"/>
    </row>
    <row r="88" spans="1:13" x14ac:dyDescent="0.2">
      <c r="A88" s="25"/>
      <c r="B88" s="23"/>
      <c r="C88" s="23"/>
      <c r="D88" s="18"/>
      <c r="E88" s="16"/>
      <c r="F88" s="16"/>
      <c r="G88" s="16"/>
      <c r="H88" s="16"/>
      <c r="I88" s="16"/>
      <c r="J88" s="16"/>
      <c r="K88" s="16"/>
      <c r="L88" s="16"/>
      <c r="M88" s="16"/>
    </row>
    <row r="89" spans="1:13" x14ac:dyDescent="0.2">
      <c r="A89" s="25"/>
      <c r="B89" s="23"/>
      <c r="C89" s="23"/>
      <c r="D89" s="18"/>
      <c r="E89" s="16"/>
      <c r="F89" s="16"/>
      <c r="G89" s="16"/>
      <c r="H89" s="16"/>
      <c r="I89" s="16"/>
      <c r="J89" s="16"/>
      <c r="K89" s="16"/>
      <c r="L89" s="16"/>
      <c r="M89" s="16"/>
    </row>
    <row r="90" spans="1:13" x14ac:dyDescent="0.2">
      <c r="A90" s="25"/>
      <c r="B90" s="23"/>
      <c r="C90" s="23"/>
      <c r="D90" s="18"/>
      <c r="E90" s="16"/>
      <c r="F90" s="16"/>
      <c r="G90" s="16"/>
      <c r="H90" s="16"/>
      <c r="I90" s="16"/>
      <c r="J90" s="16"/>
      <c r="K90" s="16"/>
      <c r="L90" s="16"/>
      <c r="M90" s="16"/>
    </row>
    <row r="91" spans="1:13" x14ac:dyDescent="0.2">
      <c r="A91" s="25"/>
      <c r="B91" s="23"/>
      <c r="C91" s="23"/>
      <c r="D91" s="18"/>
      <c r="E91" s="16"/>
      <c r="F91" s="16"/>
      <c r="G91" s="16"/>
      <c r="H91" s="16"/>
      <c r="I91" s="16"/>
      <c r="J91" s="16"/>
      <c r="K91" s="16"/>
      <c r="L91" s="16"/>
      <c r="M91" s="16"/>
    </row>
    <row r="92" spans="1:13" x14ac:dyDescent="0.2">
      <c r="A92" s="25"/>
      <c r="B92" s="23"/>
      <c r="C92" s="23"/>
      <c r="D92" s="18"/>
      <c r="E92" s="16"/>
      <c r="F92" s="16"/>
      <c r="G92" s="16"/>
      <c r="H92" s="16"/>
      <c r="I92" s="16"/>
      <c r="J92" s="16"/>
      <c r="K92" s="16"/>
      <c r="L92" s="16"/>
      <c r="M92" s="16"/>
    </row>
    <row r="93" spans="1:13" x14ac:dyDescent="0.2">
      <c r="A93" s="25"/>
      <c r="B93" s="23"/>
      <c r="C93" s="23"/>
      <c r="D93" s="18"/>
      <c r="E93" s="16"/>
      <c r="F93" s="16"/>
      <c r="G93" s="16"/>
      <c r="H93" s="16"/>
      <c r="I93" s="16"/>
      <c r="J93" s="16"/>
      <c r="K93" s="16"/>
      <c r="L93" s="16"/>
      <c r="M93" s="16"/>
    </row>
    <row r="94" spans="1:13" x14ac:dyDescent="0.2">
      <c r="A94" s="25"/>
      <c r="B94" s="23"/>
      <c r="C94" s="23"/>
      <c r="D94" s="18"/>
      <c r="E94" s="16"/>
      <c r="F94" s="16"/>
      <c r="G94" s="16"/>
      <c r="H94" s="16"/>
      <c r="I94" s="16"/>
      <c r="J94" s="16"/>
      <c r="K94" s="16"/>
      <c r="L94" s="16"/>
      <c r="M94" s="16"/>
    </row>
    <row r="95" spans="1:13" x14ac:dyDescent="0.2">
      <c r="A95" s="25"/>
      <c r="B95" s="23"/>
      <c r="C95" s="23"/>
      <c r="D95" s="18"/>
      <c r="E95" s="16"/>
      <c r="F95" s="16"/>
      <c r="G95" s="16"/>
      <c r="H95" s="16"/>
      <c r="I95" s="16"/>
      <c r="J95" s="16"/>
      <c r="K95" s="16"/>
      <c r="L95" s="16"/>
      <c r="M95" s="16"/>
    </row>
    <row r="96" spans="1:13" x14ac:dyDescent="0.2">
      <c r="A96" s="25"/>
      <c r="B96" s="23"/>
      <c r="C96" s="23"/>
      <c r="D96" s="18"/>
      <c r="E96" s="16"/>
      <c r="F96" s="16"/>
      <c r="G96" s="16"/>
      <c r="H96" s="16"/>
      <c r="I96" s="16"/>
      <c r="J96" s="16"/>
      <c r="K96" s="16"/>
      <c r="L96" s="16"/>
      <c r="M96" s="16"/>
    </row>
    <row r="97" spans="1:16" x14ac:dyDescent="0.2">
      <c r="A97" s="25"/>
      <c r="B97" s="23"/>
      <c r="C97" s="23"/>
      <c r="D97" s="18"/>
      <c r="E97" s="16"/>
      <c r="F97" s="16"/>
      <c r="G97" s="16"/>
      <c r="H97" s="16"/>
      <c r="I97" s="16"/>
      <c r="J97" s="16"/>
      <c r="K97" s="16"/>
      <c r="L97" s="16"/>
      <c r="M97" s="16"/>
    </row>
    <row r="98" spans="1:16" x14ac:dyDescent="0.2">
      <c r="A98" s="25"/>
      <c r="B98" s="23"/>
      <c r="C98" s="23"/>
      <c r="D98" s="18"/>
      <c r="E98" s="16"/>
      <c r="F98" s="16"/>
      <c r="G98" s="16"/>
      <c r="H98" s="16"/>
      <c r="I98" s="16"/>
      <c r="J98" s="16"/>
      <c r="K98" s="16"/>
      <c r="L98" s="16"/>
      <c r="M98" s="16"/>
    </row>
    <row r="99" spans="1:16" x14ac:dyDescent="0.2">
      <c r="A99" s="25"/>
      <c r="B99" s="23"/>
      <c r="C99" s="23"/>
      <c r="D99" s="18"/>
      <c r="E99" s="16"/>
      <c r="F99" s="16"/>
      <c r="G99" s="16"/>
      <c r="H99" s="16"/>
      <c r="I99" s="16"/>
      <c r="J99" s="16"/>
      <c r="K99" s="16"/>
      <c r="L99" s="16"/>
      <c r="M99" s="16"/>
    </row>
    <row r="100" spans="1:16" x14ac:dyDescent="0.2">
      <c r="A100" s="25"/>
      <c r="B100" s="23"/>
      <c r="C100" s="23"/>
      <c r="D100" s="18"/>
      <c r="E100" s="16"/>
      <c r="F100" s="16"/>
      <c r="G100" s="16"/>
      <c r="H100" s="16"/>
      <c r="I100" s="16"/>
      <c r="J100" s="16"/>
      <c r="K100" s="16"/>
      <c r="L100" s="16"/>
      <c r="M100" s="16"/>
    </row>
    <row r="101" spans="1:16" ht="15" x14ac:dyDescent="0.2">
      <c r="A101"/>
      <c r="B101"/>
      <c r="C101"/>
      <c r="D101"/>
      <c r="E101"/>
      <c r="F101"/>
      <c r="G101"/>
      <c r="H101"/>
      <c r="I101"/>
      <c r="J101"/>
      <c r="K101"/>
      <c r="L101"/>
      <c r="M101" s="16"/>
      <c r="N101"/>
      <c r="O101"/>
      <c r="P101"/>
    </row>
    <row r="102" spans="1:16" ht="15" x14ac:dyDescent="0.2">
      <c r="A102"/>
      <c r="B102"/>
      <c r="C102"/>
      <c r="D102"/>
      <c r="E102"/>
      <c r="F102"/>
      <c r="G102"/>
      <c r="H102"/>
      <c r="I102"/>
      <c r="J102"/>
      <c r="K102"/>
      <c r="L102"/>
      <c r="M102" s="16"/>
      <c r="N102"/>
      <c r="O102"/>
      <c r="P102"/>
    </row>
    <row r="103" spans="1:16" ht="15" x14ac:dyDescent="0.2">
      <c r="A103"/>
      <c r="B103"/>
      <c r="C103"/>
      <c r="D103"/>
      <c r="E103"/>
      <c r="F103"/>
      <c r="G103"/>
      <c r="H103"/>
      <c r="I103"/>
      <c r="J103"/>
      <c r="K103"/>
      <c r="L103"/>
      <c r="M103" s="16"/>
      <c r="N103"/>
      <c r="O103"/>
      <c r="P103"/>
    </row>
    <row r="104" spans="1:16" ht="15" x14ac:dyDescent="0.2">
      <c r="A104"/>
      <c r="B104"/>
      <c r="C104"/>
      <c r="D104"/>
      <c r="E104"/>
      <c r="F104"/>
      <c r="G104"/>
      <c r="H104"/>
      <c r="I104"/>
      <c r="J104"/>
      <c r="K104"/>
      <c r="L104"/>
      <c r="M104" s="16"/>
      <c r="N104"/>
      <c r="O104"/>
      <c r="P104"/>
    </row>
    <row r="105" spans="1:16" ht="15" x14ac:dyDescent="0.2">
      <c r="A105"/>
      <c r="B105"/>
      <c r="C105"/>
      <c r="D105"/>
      <c r="E105"/>
      <c r="F105"/>
      <c r="G105"/>
      <c r="H105"/>
      <c r="I105"/>
      <c r="J105"/>
      <c r="K105"/>
      <c r="L105"/>
      <c r="M105" s="16"/>
      <c r="N105"/>
      <c r="O105"/>
      <c r="P105"/>
    </row>
    <row r="106" spans="1:16" ht="15" x14ac:dyDescent="0.2">
      <c r="A106"/>
      <c r="B106"/>
      <c r="C106"/>
      <c r="D106"/>
      <c r="E106"/>
      <c r="F106"/>
      <c r="G106"/>
      <c r="H106"/>
      <c r="I106"/>
      <c r="J106"/>
      <c r="K106"/>
      <c r="L106"/>
      <c r="M106" s="16"/>
      <c r="N106"/>
      <c r="O106"/>
      <c r="P106"/>
    </row>
    <row r="107" spans="1:16" ht="15" x14ac:dyDescent="0.2">
      <c r="A107"/>
      <c r="B107"/>
      <c r="C107"/>
      <c r="D107"/>
      <c r="E107"/>
      <c r="F107"/>
      <c r="G107"/>
      <c r="H107"/>
      <c r="I107"/>
      <c r="J107"/>
      <c r="K107"/>
      <c r="L107"/>
      <c r="M107" s="16"/>
      <c r="N107"/>
      <c r="O107"/>
      <c r="P107"/>
    </row>
    <row r="108" spans="1:16" ht="15" x14ac:dyDescent="0.2">
      <c r="A108"/>
      <c r="B108"/>
      <c r="C108"/>
      <c r="D108"/>
      <c r="E108"/>
      <c r="F108"/>
      <c r="G108"/>
      <c r="H108"/>
      <c r="I108"/>
      <c r="J108"/>
      <c r="K108"/>
      <c r="L108"/>
      <c r="M108" s="16"/>
      <c r="N108"/>
      <c r="O108"/>
      <c r="P108"/>
    </row>
    <row r="109" spans="1:16" ht="15" x14ac:dyDescent="0.2">
      <c r="A109"/>
      <c r="B109"/>
      <c r="C109"/>
      <c r="D109"/>
      <c r="E109"/>
      <c r="F109"/>
      <c r="G109"/>
      <c r="H109"/>
      <c r="I109"/>
      <c r="J109"/>
      <c r="K109"/>
      <c r="L109"/>
      <c r="M109" s="16"/>
      <c r="N109"/>
      <c r="O109"/>
      <c r="P109"/>
    </row>
    <row r="110" spans="1:16" ht="15" x14ac:dyDescent="0.2">
      <c r="A110"/>
      <c r="B110"/>
      <c r="C110"/>
      <c r="D110"/>
      <c r="E110"/>
      <c r="F110"/>
      <c r="G110"/>
      <c r="H110"/>
      <c r="I110"/>
      <c r="J110"/>
      <c r="K110"/>
      <c r="L110"/>
      <c r="M110" s="16"/>
      <c r="N110"/>
      <c r="O110"/>
      <c r="P110"/>
    </row>
    <row r="111" spans="1:16" ht="15" x14ac:dyDescent="0.2">
      <c r="A111"/>
      <c r="B111"/>
      <c r="C111"/>
      <c r="D111"/>
      <c r="E111"/>
      <c r="F111"/>
      <c r="G111"/>
      <c r="H111"/>
      <c r="I111"/>
      <c r="J111"/>
      <c r="K111"/>
      <c r="L111"/>
      <c r="M111" s="16"/>
      <c r="N111"/>
      <c r="O111"/>
      <c r="P111"/>
    </row>
    <row r="112" spans="1:16" ht="15" x14ac:dyDescent="0.2">
      <c r="A112"/>
      <c r="B112"/>
      <c r="C112"/>
      <c r="D112"/>
      <c r="E112"/>
      <c r="F112"/>
      <c r="G112"/>
      <c r="H112"/>
      <c r="I112"/>
      <c r="J112"/>
      <c r="K112"/>
      <c r="L112"/>
      <c r="M112" s="16"/>
      <c r="N112"/>
      <c r="O112"/>
      <c r="P112"/>
    </row>
    <row r="113" spans="1:16" ht="15" x14ac:dyDescent="0.2">
      <c r="A113"/>
      <c r="B113"/>
      <c r="C113"/>
      <c r="D113"/>
      <c r="E113"/>
      <c r="F113"/>
      <c r="G113"/>
      <c r="H113"/>
      <c r="I113"/>
      <c r="J113"/>
      <c r="K113"/>
      <c r="L113"/>
      <c r="M113" s="16"/>
      <c r="N113"/>
      <c r="O113"/>
      <c r="P113"/>
    </row>
    <row r="114" spans="1:16" ht="15" x14ac:dyDescent="0.2">
      <c r="A114"/>
      <c r="B114"/>
      <c r="C114"/>
      <c r="D114"/>
      <c r="E114"/>
      <c r="F114"/>
      <c r="G114"/>
      <c r="H114"/>
      <c r="I114"/>
      <c r="J114"/>
      <c r="K114"/>
      <c r="L114"/>
      <c r="M114" s="16"/>
      <c r="N114"/>
      <c r="O114"/>
      <c r="P114"/>
    </row>
    <row r="115" spans="1:16" ht="15" x14ac:dyDescent="0.2">
      <c r="A115"/>
      <c r="B115"/>
      <c r="C115"/>
      <c r="D115"/>
      <c r="E115"/>
      <c r="F115"/>
      <c r="G115"/>
      <c r="H115"/>
      <c r="I115"/>
      <c r="J115"/>
      <c r="K115"/>
      <c r="L115"/>
      <c r="M115" s="16"/>
      <c r="N115"/>
      <c r="O115"/>
      <c r="P115"/>
    </row>
    <row r="116" spans="1:16" ht="15" x14ac:dyDescent="0.2">
      <c r="A116"/>
      <c r="B116"/>
      <c r="C116"/>
      <c r="D116"/>
      <c r="E116"/>
      <c r="F116"/>
      <c r="G116"/>
      <c r="H116"/>
      <c r="I116"/>
      <c r="J116"/>
      <c r="K116"/>
      <c r="L116"/>
      <c r="M116" s="16"/>
      <c r="N116"/>
      <c r="O116"/>
      <c r="P116"/>
    </row>
    <row r="117" spans="1:16" ht="15" x14ac:dyDescent="0.2">
      <c r="A117"/>
      <c r="B117"/>
      <c r="C117"/>
      <c r="D117"/>
      <c r="E117"/>
      <c r="F117"/>
      <c r="G117"/>
      <c r="H117"/>
      <c r="I117"/>
      <c r="J117"/>
      <c r="K117"/>
      <c r="L117"/>
      <c r="M117" s="16"/>
      <c r="N117"/>
      <c r="O117"/>
      <c r="P117"/>
    </row>
    <row r="118" spans="1:16" ht="15" x14ac:dyDescent="0.2">
      <c r="A118"/>
      <c r="B118"/>
      <c r="C118"/>
      <c r="D118"/>
      <c r="E118"/>
      <c r="F118"/>
      <c r="G118"/>
      <c r="H118"/>
      <c r="I118"/>
      <c r="J118"/>
      <c r="K118"/>
      <c r="L118"/>
      <c r="M118" s="16"/>
      <c r="N118"/>
      <c r="O118"/>
      <c r="P118"/>
    </row>
    <row r="119" spans="1:16" ht="15" x14ac:dyDescent="0.2">
      <c r="A119"/>
      <c r="B119"/>
      <c r="C119"/>
      <c r="D119"/>
      <c r="E119"/>
      <c r="F119"/>
      <c r="G119"/>
      <c r="H119"/>
      <c r="I119"/>
      <c r="J119"/>
      <c r="K119"/>
      <c r="L119"/>
      <c r="M119" s="16"/>
      <c r="N119"/>
      <c r="O119"/>
      <c r="P119"/>
    </row>
    <row r="120" spans="1:16" ht="15" x14ac:dyDescent="0.2">
      <c r="A120"/>
      <c r="B120"/>
      <c r="C120"/>
      <c r="D120"/>
      <c r="E120"/>
      <c r="F120"/>
      <c r="G120"/>
      <c r="H120"/>
      <c r="I120"/>
      <c r="J120"/>
      <c r="K120"/>
      <c r="L120"/>
      <c r="M120" s="16"/>
      <c r="N120"/>
      <c r="O120"/>
      <c r="P120"/>
    </row>
    <row r="121" spans="1:16" ht="15" x14ac:dyDescent="0.2">
      <c r="A121"/>
      <c r="B121"/>
      <c r="C121"/>
      <c r="D121"/>
      <c r="E121"/>
      <c r="F121"/>
      <c r="G121"/>
      <c r="H121"/>
      <c r="I121"/>
      <c r="J121"/>
      <c r="K121"/>
      <c r="L121"/>
      <c r="M121" s="16"/>
      <c r="N121"/>
      <c r="O121"/>
      <c r="P121"/>
    </row>
    <row r="122" spans="1:16" ht="15" x14ac:dyDescent="0.2">
      <c r="A122"/>
      <c r="B122"/>
      <c r="C122"/>
      <c r="D122"/>
      <c r="E122"/>
      <c r="F122"/>
      <c r="G122"/>
      <c r="H122"/>
      <c r="I122"/>
      <c r="J122"/>
      <c r="K122"/>
      <c r="L122"/>
      <c r="M122" s="16"/>
      <c r="N122"/>
      <c r="O122"/>
      <c r="P122"/>
    </row>
    <row r="123" spans="1:16" ht="15" x14ac:dyDescent="0.2">
      <c r="A123"/>
      <c r="B123"/>
      <c r="C123"/>
      <c r="D123"/>
      <c r="E123"/>
      <c r="F123"/>
      <c r="G123"/>
      <c r="H123"/>
      <c r="I123"/>
      <c r="J123"/>
      <c r="K123"/>
      <c r="L123"/>
      <c r="M123" s="16"/>
      <c r="N123"/>
      <c r="O123"/>
      <c r="P123"/>
    </row>
    <row r="124" spans="1:16" ht="15" x14ac:dyDescent="0.2">
      <c r="A124"/>
      <c r="B124"/>
      <c r="C124"/>
      <c r="D124"/>
      <c r="E124"/>
      <c r="F124"/>
      <c r="G124"/>
      <c r="H124"/>
      <c r="I124"/>
      <c r="J124"/>
      <c r="K124"/>
      <c r="L124"/>
      <c r="M124" s="16"/>
      <c r="N124"/>
      <c r="O124"/>
      <c r="P124"/>
    </row>
    <row r="125" spans="1:16" ht="15" x14ac:dyDescent="0.2">
      <c r="A125"/>
      <c r="B125"/>
      <c r="C125"/>
      <c r="D125"/>
      <c r="E125"/>
      <c r="F125"/>
      <c r="G125"/>
      <c r="H125"/>
      <c r="I125"/>
      <c r="J125"/>
      <c r="K125"/>
      <c r="L125"/>
      <c r="M125" s="16"/>
      <c r="N125"/>
      <c r="O125"/>
      <c r="P125"/>
    </row>
    <row r="126" spans="1:16" ht="15" x14ac:dyDescent="0.2">
      <c r="A126"/>
      <c r="B126"/>
      <c r="C126"/>
      <c r="D126"/>
      <c r="E126"/>
      <c r="F126"/>
      <c r="G126"/>
      <c r="H126"/>
      <c r="I126"/>
      <c r="J126"/>
      <c r="K126"/>
      <c r="L126"/>
      <c r="M126" s="16"/>
      <c r="N126"/>
      <c r="O126"/>
      <c r="P126"/>
    </row>
    <row r="127" spans="1:16" ht="15" x14ac:dyDescent="0.2">
      <c r="A127"/>
      <c r="B127"/>
      <c r="C127"/>
      <c r="D127"/>
      <c r="E127"/>
      <c r="F127"/>
      <c r="G127"/>
      <c r="H127"/>
      <c r="I127"/>
      <c r="J127"/>
      <c r="K127"/>
      <c r="L127"/>
      <c r="M127" s="16"/>
      <c r="N127"/>
      <c r="O127"/>
      <c r="P127"/>
    </row>
    <row r="128" spans="1:16" ht="15" x14ac:dyDescent="0.2">
      <c r="A128"/>
      <c r="B128"/>
      <c r="C128"/>
      <c r="D128"/>
      <c r="E128"/>
      <c r="F128"/>
      <c r="G128"/>
      <c r="H128"/>
      <c r="I128"/>
      <c r="J128"/>
      <c r="K128"/>
      <c r="L128"/>
      <c r="M128" s="16"/>
      <c r="N128"/>
      <c r="O128"/>
      <c r="P128"/>
    </row>
    <row r="129" spans="1:16" ht="15" x14ac:dyDescent="0.2">
      <c r="A129"/>
      <c r="B129"/>
      <c r="C129"/>
      <c r="D129"/>
      <c r="E129"/>
      <c r="F129"/>
      <c r="G129"/>
      <c r="H129"/>
      <c r="I129"/>
      <c r="J129"/>
      <c r="K129"/>
      <c r="L129"/>
      <c r="M129" s="16"/>
      <c r="N129"/>
      <c r="O129"/>
      <c r="P129"/>
    </row>
    <row r="130" spans="1:16" ht="15" x14ac:dyDescent="0.2">
      <c r="A130"/>
      <c r="B130"/>
      <c r="C130"/>
      <c r="D130"/>
      <c r="E130"/>
      <c r="F130"/>
      <c r="G130"/>
      <c r="H130"/>
      <c r="I130"/>
      <c r="J130"/>
      <c r="K130"/>
      <c r="L130"/>
      <c r="M130" s="16"/>
      <c r="N130"/>
      <c r="O130"/>
      <c r="P130"/>
    </row>
    <row r="131" spans="1:16" ht="15" x14ac:dyDescent="0.2">
      <c r="A131"/>
      <c r="B131"/>
      <c r="C131"/>
      <c r="D131"/>
      <c r="E131"/>
      <c r="F131"/>
      <c r="G131"/>
      <c r="H131"/>
      <c r="I131"/>
      <c r="J131"/>
      <c r="K131"/>
      <c r="L131"/>
      <c r="M131" s="16"/>
      <c r="N131"/>
      <c r="O131"/>
      <c r="P131"/>
    </row>
    <row r="132" spans="1:16" ht="15" x14ac:dyDescent="0.2">
      <c r="A132"/>
      <c r="B132"/>
      <c r="C132"/>
      <c r="D132"/>
      <c r="E132"/>
      <c r="F132"/>
      <c r="G132"/>
      <c r="H132"/>
      <c r="I132"/>
      <c r="J132"/>
      <c r="K132"/>
      <c r="L132"/>
      <c r="M132" s="16"/>
      <c r="N132"/>
      <c r="O132"/>
      <c r="P132"/>
    </row>
    <row r="133" spans="1:16" ht="15" x14ac:dyDescent="0.2">
      <c r="A133"/>
      <c r="B133"/>
      <c r="C133"/>
      <c r="D133"/>
      <c r="E133"/>
      <c r="F133"/>
      <c r="G133"/>
      <c r="H133"/>
      <c r="I133"/>
      <c r="J133"/>
      <c r="K133"/>
      <c r="L133"/>
      <c r="M133" s="16"/>
      <c r="N133"/>
      <c r="O133"/>
      <c r="P133"/>
    </row>
    <row r="134" spans="1:16" ht="15" x14ac:dyDescent="0.2">
      <c r="A134"/>
      <c r="B134"/>
      <c r="C134"/>
      <c r="D134"/>
      <c r="E134"/>
      <c r="F134"/>
      <c r="G134"/>
      <c r="H134"/>
      <c r="I134"/>
      <c r="J134"/>
      <c r="K134"/>
      <c r="L134"/>
      <c r="M134" s="16"/>
      <c r="N134"/>
      <c r="O134"/>
      <c r="P134"/>
    </row>
    <row r="135" spans="1:16" ht="15" x14ac:dyDescent="0.2">
      <c r="A135"/>
      <c r="B135"/>
      <c r="C135"/>
      <c r="D135"/>
      <c r="E135"/>
      <c r="F135"/>
      <c r="G135"/>
      <c r="H135"/>
      <c r="I135"/>
      <c r="J135"/>
      <c r="K135"/>
      <c r="L135"/>
      <c r="M135" s="16"/>
      <c r="N135"/>
      <c r="O135"/>
      <c r="P135"/>
    </row>
    <row r="136" spans="1:16" ht="15" x14ac:dyDescent="0.2">
      <c r="A136"/>
      <c r="B136"/>
      <c r="C136"/>
      <c r="D136"/>
      <c r="E136"/>
      <c r="F136"/>
      <c r="G136"/>
      <c r="H136"/>
      <c r="I136"/>
      <c r="J136"/>
      <c r="K136"/>
      <c r="L136"/>
      <c r="M136" s="16"/>
      <c r="N136"/>
      <c r="O136"/>
      <c r="P136"/>
    </row>
    <row r="137" spans="1:16" ht="15" x14ac:dyDescent="0.2">
      <c r="A137"/>
      <c r="B137"/>
      <c r="C137"/>
      <c r="D137"/>
      <c r="E137"/>
      <c r="F137"/>
      <c r="G137"/>
      <c r="H137"/>
      <c r="I137"/>
      <c r="J137"/>
      <c r="K137"/>
      <c r="L137"/>
      <c r="M137" s="16"/>
      <c r="N137"/>
      <c r="O137"/>
      <c r="P137"/>
    </row>
    <row r="138" spans="1:16" ht="15" x14ac:dyDescent="0.2">
      <c r="A138"/>
      <c r="B138"/>
      <c r="C138"/>
      <c r="D138"/>
      <c r="E138"/>
      <c r="F138"/>
      <c r="G138"/>
      <c r="H138"/>
      <c r="I138"/>
      <c r="J138"/>
      <c r="K138"/>
      <c r="L138"/>
      <c r="M138" s="16"/>
      <c r="N138"/>
      <c r="O138"/>
      <c r="P138"/>
    </row>
    <row r="139" spans="1:16" ht="15" x14ac:dyDescent="0.2">
      <c r="A139"/>
      <c r="B139"/>
      <c r="C139"/>
      <c r="D139"/>
      <c r="E139"/>
      <c r="F139"/>
      <c r="G139"/>
      <c r="H139"/>
      <c r="I139"/>
      <c r="J139"/>
      <c r="K139"/>
      <c r="L139"/>
      <c r="M139" s="16"/>
      <c r="N139"/>
      <c r="O139"/>
      <c r="P139"/>
    </row>
    <row r="140" spans="1:16" ht="15" x14ac:dyDescent="0.2">
      <c r="A140"/>
      <c r="B140"/>
      <c r="C140"/>
      <c r="D140"/>
      <c r="E140"/>
      <c r="F140"/>
      <c r="G140"/>
      <c r="H140"/>
      <c r="I140"/>
      <c r="J140"/>
      <c r="K140"/>
      <c r="L140"/>
      <c r="M140" s="16"/>
      <c r="N140"/>
      <c r="O140"/>
      <c r="P140"/>
    </row>
    <row r="141" spans="1:16" ht="15" x14ac:dyDescent="0.2">
      <c r="A141"/>
      <c r="B141"/>
      <c r="C141"/>
      <c r="D141"/>
      <c r="E141"/>
      <c r="F141"/>
      <c r="G141"/>
      <c r="H141"/>
      <c r="I141"/>
      <c r="J141"/>
      <c r="K141"/>
      <c r="L141"/>
      <c r="M141" s="16"/>
      <c r="N141"/>
      <c r="O141"/>
      <c r="P141"/>
    </row>
    <row r="142" spans="1:16" ht="15" x14ac:dyDescent="0.2">
      <c r="A142"/>
      <c r="B142"/>
      <c r="C142"/>
      <c r="D142"/>
      <c r="E142"/>
      <c r="F142"/>
      <c r="G142"/>
      <c r="H142"/>
      <c r="I142"/>
      <c r="J142"/>
      <c r="K142"/>
      <c r="L142"/>
      <c r="M142" s="16"/>
      <c r="N142"/>
      <c r="O142"/>
      <c r="P142"/>
    </row>
    <row r="143" spans="1:16" ht="15" x14ac:dyDescent="0.2">
      <c r="A143"/>
      <c r="B143"/>
      <c r="C143"/>
      <c r="D143"/>
      <c r="E143"/>
      <c r="F143"/>
      <c r="G143"/>
      <c r="H143"/>
      <c r="I143"/>
      <c r="J143"/>
      <c r="K143"/>
      <c r="L143"/>
      <c r="M143" s="16"/>
      <c r="N143"/>
      <c r="O143"/>
      <c r="P143"/>
    </row>
    <row r="144" spans="1:16" ht="15" x14ac:dyDescent="0.2">
      <c r="A144"/>
      <c r="B144"/>
      <c r="C144"/>
      <c r="D144"/>
      <c r="E144"/>
      <c r="F144"/>
      <c r="G144"/>
      <c r="H144"/>
      <c r="I144"/>
      <c r="J144"/>
      <c r="K144"/>
      <c r="L144"/>
      <c r="M144" s="16"/>
      <c r="N144"/>
      <c r="O144"/>
      <c r="P144"/>
    </row>
    <row r="145" spans="1:16" ht="15" x14ac:dyDescent="0.2">
      <c r="A145"/>
      <c r="B145"/>
      <c r="C145"/>
      <c r="D145"/>
      <c r="E145"/>
      <c r="F145"/>
      <c r="G145"/>
      <c r="H145"/>
      <c r="I145"/>
      <c r="J145"/>
      <c r="K145"/>
      <c r="L145"/>
      <c r="M145" s="16"/>
      <c r="N145"/>
      <c r="O145"/>
      <c r="P145"/>
    </row>
    <row r="146" spans="1:16" ht="15" x14ac:dyDescent="0.2">
      <c r="A146"/>
      <c r="B146"/>
      <c r="C146"/>
      <c r="D146"/>
      <c r="E146"/>
      <c r="F146"/>
      <c r="G146"/>
      <c r="H146"/>
      <c r="I146"/>
      <c r="J146"/>
      <c r="K146"/>
      <c r="L146"/>
      <c r="M146" s="16"/>
      <c r="N146"/>
      <c r="O146"/>
      <c r="P146"/>
    </row>
    <row r="147" spans="1:16" ht="15" x14ac:dyDescent="0.2">
      <c r="A147"/>
      <c r="B147"/>
      <c r="C147"/>
      <c r="D147"/>
      <c r="E147"/>
      <c r="F147"/>
      <c r="G147"/>
      <c r="H147"/>
      <c r="I147"/>
      <c r="J147"/>
      <c r="K147"/>
      <c r="L147"/>
      <c r="M147" s="16"/>
      <c r="N147"/>
      <c r="O147"/>
      <c r="P147"/>
    </row>
    <row r="148" spans="1:16" ht="15" x14ac:dyDescent="0.2">
      <c r="A148"/>
      <c r="B148"/>
      <c r="C148"/>
      <c r="D148"/>
      <c r="E148"/>
      <c r="F148"/>
      <c r="G148"/>
      <c r="H148"/>
      <c r="I148"/>
      <c r="J148"/>
      <c r="K148"/>
      <c r="L148"/>
      <c r="M148" s="16"/>
      <c r="N148"/>
      <c r="O148"/>
      <c r="P148"/>
    </row>
    <row r="149" spans="1:16" ht="15" x14ac:dyDescent="0.2">
      <c r="A149"/>
      <c r="B149"/>
      <c r="C149"/>
      <c r="D149"/>
      <c r="E149"/>
      <c r="F149"/>
      <c r="G149"/>
      <c r="H149"/>
      <c r="I149"/>
      <c r="J149"/>
      <c r="K149"/>
      <c r="L149"/>
      <c r="M149" s="16"/>
      <c r="N149"/>
      <c r="O149"/>
      <c r="P149"/>
    </row>
    <row r="150" spans="1:16" ht="15" x14ac:dyDescent="0.2">
      <c r="A150"/>
      <c r="B150"/>
      <c r="C150"/>
      <c r="D150"/>
      <c r="E150"/>
      <c r="F150"/>
      <c r="G150"/>
      <c r="H150"/>
      <c r="I150"/>
      <c r="J150"/>
      <c r="K150"/>
      <c r="L150"/>
      <c r="M150" s="16"/>
      <c r="N150"/>
      <c r="O150"/>
      <c r="P150"/>
    </row>
    <row r="151" spans="1:16" ht="15" x14ac:dyDescent="0.2">
      <c r="A151"/>
      <c r="B151"/>
      <c r="C151"/>
      <c r="D151"/>
      <c r="E151"/>
      <c r="F151"/>
      <c r="G151"/>
      <c r="H151"/>
      <c r="I151"/>
      <c r="J151"/>
      <c r="K151"/>
      <c r="L151"/>
      <c r="M151" s="16"/>
      <c r="N151"/>
      <c r="O151"/>
      <c r="P151"/>
    </row>
    <row r="152" spans="1:16" ht="15" x14ac:dyDescent="0.2">
      <c r="A152"/>
      <c r="B152"/>
      <c r="C152"/>
      <c r="D152"/>
      <c r="E152"/>
      <c r="F152"/>
      <c r="G152"/>
      <c r="H152"/>
      <c r="I152"/>
      <c r="J152"/>
      <c r="K152"/>
      <c r="L152"/>
      <c r="M152" s="16"/>
      <c r="N152"/>
      <c r="O152"/>
      <c r="P152"/>
    </row>
    <row r="153" spans="1:16" ht="15" x14ac:dyDescent="0.2">
      <c r="A153"/>
      <c r="B153"/>
      <c r="C153"/>
      <c r="D153"/>
      <c r="E153"/>
      <c r="F153"/>
      <c r="G153"/>
      <c r="H153"/>
      <c r="I153"/>
      <c r="J153"/>
      <c r="K153"/>
      <c r="L153"/>
      <c r="M153" s="16"/>
      <c r="N153"/>
      <c r="O153"/>
      <c r="P153"/>
    </row>
    <row r="154" spans="1:16" ht="15" x14ac:dyDescent="0.2">
      <c r="A154"/>
      <c r="B154"/>
      <c r="C154"/>
      <c r="D154"/>
      <c r="E154"/>
      <c r="F154"/>
      <c r="G154"/>
      <c r="H154"/>
      <c r="I154"/>
      <c r="J154"/>
      <c r="K154"/>
      <c r="L154"/>
      <c r="M154" s="16"/>
      <c r="N154"/>
      <c r="O154"/>
      <c r="P154"/>
    </row>
    <row r="155" spans="1:16" ht="15" x14ac:dyDescent="0.2">
      <c r="A155"/>
      <c r="B155"/>
      <c r="C155"/>
      <c r="D155"/>
      <c r="E155"/>
      <c r="F155"/>
      <c r="G155"/>
      <c r="H155"/>
      <c r="I155"/>
      <c r="J155"/>
      <c r="K155"/>
      <c r="L155"/>
      <c r="M155" s="16"/>
      <c r="N155"/>
      <c r="O155"/>
      <c r="P155"/>
    </row>
    <row r="156" spans="1:16" ht="15" x14ac:dyDescent="0.2">
      <c r="A156"/>
      <c r="B156"/>
      <c r="C156"/>
      <c r="D156"/>
      <c r="E156"/>
      <c r="F156"/>
      <c r="G156"/>
      <c r="H156"/>
      <c r="I156"/>
      <c r="J156"/>
      <c r="K156"/>
      <c r="L156"/>
      <c r="M156" s="16"/>
      <c r="N156"/>
      <c r="O156"/>
      <c r="P156"/>
    </row>
    <row r="157" spans="1:16" ht="15" x14ac:dyDescent="0.2">
      <c r="A157"/>
      <c r="B157"/>
      <c r="C157"/>
      <c r="D157"/>
      <c r="E157"/>
      <c r="F157"/>
      <c r="G157"/>
      <c r="H157"/>
      <c r="I157"/>
      <c r="J157"/>
      <c r="K157"/>
      <c r="L157"/>
      <c r="M157" s="16"/>
      <c r="N157"/>
      <c r="O157"/>
      <c r="P157"/>
    </row>
    <row r="158" spans="1:16" ht="15" x14ac:dyDescent="0.2">
      <c r="A158"/>
      <c r="B158"/>
      <c r="C158"/>
      <c r="D158"/>
      <c r="E158"/>
      <c r="F158"/>
      <c r="G158"/>
      <c r="H158"/>
      <c r="I158"/>
      <c r="J158"/>
      <c r="K158"/>
      <c r="L158"/>
      <c r="M158" s="16"/>
      <c r="N158"/>
      <c r="O158"/>
      <c r="P158"/>
    </row>
    <row r="159" spans="1:16" ht="15" x14ac:dyDescent="0.2">
      <c r="A159"/>
      <c r="B159"/>
      <c r="C159"/>
      <c r="D159"/>
      <c r="E159"/>
      <c r="F159"/>
      <c r="G159"/>
      <c r="H159"/>
      <c r="I159"/>
      <c r="J159"/>
      <c r="K159"/>
      <c r="L159"/>
      <c r="M159" s="16"/>
      <c r="N159"/>
      <c r="O159"/>
      <c r="P159"/>
    </row>
    <row r="160" spans="1:16" ht="15" x14ac:dyDescent="0.2">
      <c r="A160"/>
      <c r="B160"/>
      <c r="C160"/>
      <c r="D160"/>
      <c r="E160"/>
      <c r="F160"/>
      <c r="G160"/>
      <c r="H160"/>
      <c r="I160"/>
      <c r="J160"/>
      <c r="K160"/>
      <c r="L160"/>
      <c r="M160" s="16"/>
      <c r="N160"/>
      <c r="O160"/>
      <c r="P160"/>
    </row>
    <row r="161" spans="1:16" ht="15" x14ac:dyDescent="0.2">
      <c r="A161"/>
      <c r="B161"/>
      <c r="C161"/>
      <c r="D161"/>
      <c r="E161"/>
      <c r="F161"/>
      <c r="G161"/>
      <c r="H161"/>
      <c r="I161"/>
      <c r="J161"/>
      <c r="K161"/>
      <c r="L161"/>
      <c r="M161" s="16"/>
      <c r="N161"/>
      <c r="O161"/>
      <c r="P161"/>
    </row>
    <row r="162" spans="1:16" ht="15" x14ac:dyDescent="0.2">
      <c r="A162"/>
      <c r="B162"/>
      <c r="C162"/>
      <c r="D162"/>
      <c r="E162"/>
      <c r="F162"/>
      <c r="G162"/>
      <c r="H162"/>
      <c r="I162"/>
      <c r="J162"/>
      <c r="K162"/>
      <c r="L162"/>
      <c r="M162" s="16"/>
      <c r="N162"/>
      <c r="O162"/>
      <c r="P162"/>
    </row>
    <row r="163" spans="1:16" ht="15" x14ac:dyDescent="0.2">
      <c r="A163"/>
      <c r="B163"/>
      <c r="C163"/>
      <c r="D163"/>
      <c r="E163"/>
      <c r="F163"/>
      <c r="G163"/>
      <c r="H163"/>
      <c r="I163"/>
      <c r="J163"/>
      <c r="K163"/>
      <c r="L163"/>
      <c r="M163" s="16"/>
      <c r="N163"/>
      <c r="O163"/>
      <c r="P163"/>
    </row>
    <row r="164" spans="1:16" ht="15" x14ac:dyDescent="0.2">
      <c r="A164"/>
      <c r="B164"/>
      <c r="C164"/>
      <c r="D164"/>
      <c r="E164"/>
      <c r="F164"/>
      <c r="G164"/>
      <c r="H164"/>
      <c r="I164"/>
      <c r="J164"/>
      <c r="K164"/>
      <c r="L164"/>
      <c r="M164" s="16"/>
      <c r="N164"/>
      <c r="O164"/>
      <c r="P164"/>
    </row>
    <row r="165" spans="1:16" ht="15" x14ac:dyDescent="0.2">
      <c r="A165"/>
      <c r="B165"/>
      <c r="C165"/>
      <c r="D165"/>
      <c r="E165"/>
      <c r="F165"/>
      <c r="G165"/>
      <c r="H165"/>
      <c r="I165"/>
      <c r="J165"/>
      <c r="K165"/>
      <c r="L165"/>
      <c r="M165" s="16"/>
      <c r="N165"/>
      <c r="O165"/>
      <c r="P165"/>
    </row>
    <row r="166" spans="1:16" ht="15" x14ac:dyDescent="0.2">
      <c r="A166"/>
      <c r="B166"/>
      <c r="C166"/>
      <c r="D166"/>
      <c r="E166"/>
      <c r="F166"/>
      <c r="G166"/>
      <c r="H166"/>
      <c r="I166"/>
      <c r="J166"/>
      <c r="K166"/>
      <c r="L166"/>
      <c r="M166" s="16"/>
      <c r="N166"/>
      <c r="O166"/>
      <c r="P166"/>
    </row>
    <row r="167" spans="1:16" ht="15" x14ac:dyDescent="0.2">
      <c r="A167"/>
      <c r="B167"/>
      <c r="C167"/>
      <c r="D167"/>
      <c r="E167"/>
      <c r="F167"/>
      <c r="G167"/>
      <c r="H167"/>
      <c r="I167"/>
      <c r="J167"/>
      <c r="K167"/>
      <c r="L167"/>
      <c r="M167" s="16"/>
      <c r="N167"/>
      <c r="O167"/>
      <c r="P167"/>
    </row>
    <row r="168" spans="1:16" ht="15" x14ac:dyDescent="0.2">
      <c r="A168"/>
      <c r="B168"/>
      <c r="C168"/>
      <c r="D168"/>
      <c r="E168"/>
      <c r="F168"/>
      <c r="G168"/>
      <c r="H168"/>
      <c r="I168"/>
      <c r="J168"/>
      <c r="K168"/>
      <c r="L168"/>
      <c r="M168" s="16"/>
      <c r="N168"/>
      <c r="O168"/>
      <c r="P168"/>
    </row>
    <row r="169" spans="1:16" ht="15" x14ac:dyDescent="0.2">
      <c r="A169"/>
      <c r="B169"/>
      <c r="C169"/>
      <c r="D169"/>
      <c r="E169"/>
      <c r="F169"/>
      <c r="G169"/>
      <c r="H169"/>
      <c r="I169"/>
      <c r="J169"/>
      <c r="K169"/>
      <c r="L169"/>
      <c r="M169" s="16"/>
      <c r="N169"/>
      <c r="O169"/>
      <c r="P169"/>
    </row>
    <row r="170" spans="1:16" ht="15" x14ac:dyDescent="0.2">
      <c r="A170"/>
      <c r="B170"/>
      <c r="C170"/>
      <c r="D170"/>
      <c r="E170"/>
      <c r="F170"/>
      <c r="G170"/>
      <c r="H170"/>
      <c r="I170"/>
      <c r="J170"/>
      <c r="K170"/>
      <c r="L170"/>
      <c r="M170" s="16"/>
      <c r="N170"/>
      <c r="O170"/>
      <c r="P170"/>
    </row>
    <row r="171" spans="1:16" ht="15" x14ac:dyDescent="0.2">
      <c r="A171"/>
      <c r="B171"/>
      <c r="C171"/>
      <c r="D171"/>
      <c r="E171"/>
      <c r="F171"/>
      <c r="G171"/>
      <c r="H171"/>
      <c r="I171"/>
      <c r="J171"/>
      <c r="K171"/>
      <c r="L171"/>
      <c r="M171" s="16"/>
      <c r="N171"/>
      <c r="O171"/>
      <c r="P171"/>
    </row>
    <row r="172" spans="1:16" ht="15" x14ac:dyDescent="0.2">
      <c r="A172"/>
      <c r="B172"/>
      <c r="C172"/>
      <c r="D172"/>
      <c r="E172"/>
      <c r="F172"/>
      <c r="G172"/>
      <c r="H172"/>
      <c r="I172"/>
      <c r="J172"/>
      <c r="K172"/>
      <c r="L172"/>
      <c r="M172" s="16"/>
      <c r="N172"/>
      <c r="O172"/>
      <c r="P172"/>
    </row>
    <row r="173" spans="1:16" ht="15" x14ac:dyDescent="0.2">
      <c r="A173"/>
      <c r="B173"/>
      <c r="C173"/>
      <c r="D173"/>
      <c r="E173"/>
      <c r="F173"/>
      <c r="G173"/>
      <c r="H173"/>
      <c r="I173"/>
      <c r="J173"/>
      <c r="K173"/>
      <c r="L173"/>
      <c r="M173" s="16"/>
      <c r="N173"/>
      <c r="O173"/>
      <c r="P173"/>
    </row>
    <row r="174" spans="1:16" ht="15" x14ac:dyDescent="0.2">
      <c r="A174"/>
      <c r="B174"/>
      <c r="C174"/>
      <c r="D174"/>
      <c r="E174"/>
      <c r="F174"/>
      <c r="G174"/>
      <c r="H174"/>
      <c r="I174"/>
      <c r="J174"/>
      <c r="K174"/>
      <c r="L174"/>
      <c r="M174" s="16"/>
      <c r="N174"/>
      <c r="O174"/>
      <c r="P174"/>
    </row>
    <row r="175" spans="1:16" ht="15" x14ac:dyDescent="0.2">
      <c r="A175"/>
      <c r="B175"/>
      <c r="C175"/>
      <c r="D175"/>
      <c r="E175"/>
      <c r="F175"/>
      <c r="G175"/>
      <c r="H175"/>
      <c r="I175"/>
      <c r="J175"/>
      <c r="K175"/>
      <c r="L175"/>
      <c r="M175" s="16"/>
      <c r="N175"/>
      <c r="O175"/>
      <c r="P175"/>
    </row>
    <row r="176" spans="1:16" ht="15" x14ac:dyDescent="0.2">
      <c r="A176"/>
      <c r="B176"/>
      <c r="C176"/>
      <c r="D176"/>
      <c r="E176"/>
      <c r="F176"/>
      <c r="G176"/>
      <c r="H176"/>
      <c r="I176"/>
      <c r="J176"/>
      <c r="K176"/>
      <c r="L176"/>
      <c r="M176" s="16"/>
      <c r="N176"/>
      <c r="O176"/>
      <c r="P176"/>
    </row>
    <row r="177" spans="1:16" ht="15" x14ac:dyDescent="0.2">
      <c r="A177"/>
      <c r="B177"/>
      <c r="C177"/>
      <c r="D177"/>
      <c r="E177"/>
      <c r="F177"/>
      <c r="G177"/>
      <c r="H177"/>
      <c r="I177"/>
      <c r="J177"/>
      <c r="K177"/>
      <c r="L177"/>
      <c r="M177" s="16"/>
      <c r="N177"/>
      <c r="O177"/>
      <c r="P177"/>
    </row>
    <row r="178" spans="1:16" ht="15" x14ac:dyDescent="0.2">
      <c r="A178"/>
      <c r="B178"/>
      <c r="C178"/>
      <c r="D178"/>
      <c r="E178"/>
      <c r="F178"/>
      <c r="G178"/>
      <c r="H178"/>
      <c r="I178"/>
      <c r="J178"/>
      <c r="K178"/>
      <c r="L178"/>
      <c r="M178" s="16"/>
      <c r="N178"/>
      <c r="O178"/>
      <c r="P178"/>
    </row>
    <row r="179" spans="1:16" ht="15" x14ac:dyDescent="0.2">
      <c r="A179"/>
      <c r="B179"/>
      <c r="C179"/>
      <c r="D179"/>
      <c r="E179"/>
      <c r="F179"/>
      <c r="G179"/>
      <c r="H179"/>
      <c r="I179"/>
      <c r="J179"/>
      <c r="K179"/>
      <c r="L179"/>
      <c r="M179" s="16"/>
      <c r="N179"/>
      <c r="O179"/>
      <c r="P179"/>
    </row>
    <row r="180" spans="1:16" ht="15" x14ac:dyDescent="0.2">
      <c r="A180"/>
      <c r="B180"/>
      <c r="C180"/>
      <c r="D180"/>
      <c r="E180"/>
      <c r="F180"/>
      <c r="G180"/>
      <c r="H180"/>
      <c r="I180"/>
      <c r="J180"/>
      <c r="K180"/>
      <c r="L180"/>
      <c r="M180" s="16"/>
      <c r="N180"/>
      <c r="O180"/>
      <c r="P180"/>
    </row>
    <row r="181" spans="1:16" ht="15" x14ac:dyDescent="0.2">
      <c r="A181"/>
      <c r="B181"/>
      <c r="C181"/>
      <c r="D181"/>
      <c r="E181"/>
      <c r="F181"/>
      <c r="G181"/>
      <c r="H181"/>
      <c r="I181"/>
      <c r="J181"/>
      <c r="K181"/>
      <c r="L181"/>
      <c r="M181" s="16"/>
      <c r="N181"/>
      <c r="O181"/>
      <c r="P181"/>
    </row>
    <row r="182" spans="1:16" ht="15" x14ac:dyDescent="0.2">
      <c r="A182"/>
      <c r="B182"/>
      <c r="C182"/>
      <c r="D182"/>
      <c r="E182"/>
      <c r="F182"/>
      <c r="G182"/>
      <c r="H182"/>
      <c r="I182"/>
      <c r="J182"/>
      <c r="K182"/>
      <c r="L182"/>
      <c r="M182" s="16"/>
      <c r="N182"/>
      <c r="O182"/>
      <c r="P182"/>
    </row>
    <row r="183" spans="1:16" ht="15" x14ac:dyDescent="0.2">
      <c r="A183"/>
      <c r="B183"/>
      <c r="C183"/>
      <c r="D183"/>
      <c r="E183"/>
      <c r="F183"/>
      <c r="G183"/>
      <c r="H183"/>
      <c r="I183"/>
      <c r="J183"/>
      <c r="K183"/>
      <c r="L183"/>
      <c r="M183" s="16"/>
      <c r="N183"/>
      <c r="O183"/>
      <c r="P183"/>
    </row>
    <row r="184" spans="1:16" ht="15" x14ac:dyDescent="0.2">
      <c r="A184"/>
      <c r="B184"/>
      <c r="C184"/>
      <c r="D184"/>
      <c r="E184"/>
      <c r="F184"/>
      <c r="G184"/>
      <c r="H184"/>
      <c r="I184"/>
      <c r="J184"/>
      <c r="K184"/>
      <c r="L184"/>
      <c r="M184" s="16"/>
      <c r="N184"/>
      <c r="O184"/>
      <c r="P184"/>
    </row>
    <row r="185" spans="1:16" ht="15" x14ac:dyDescent="0.2">
      <c r="A185"/>
      <c r="B185"/>
      <c r="C185"/>
      <c r="D185"/>
      <c r="E185"/>
      <c r="F185"/>
      <c r="G185"/>
      <c r="H185"/>
      <c r="I185"/>
      <c r="J185"/>
      <c r="K185"/>
      <c r="L185"/>
      <c r="M185" s="16"/>
      <c r="N185"/>
      <c r="O185"/>
      <c r="P185"/>
    </row>
    <row r="186" spans="1:16" ht="15" x14ac:dyDescent="0.2">
      <c r="A186"/>
      <c r="B186"/>
      <c r="C186"/>
      <c r="D186"/>
      <c r="E186"/>
      <c r="F186"/>
      <c r="G186"/>
      <c r="H186"/>
      <c r="I186"/>
      <c r="J186"/>
      <c r="K186"/>
      <c r="L186"/>
      <c r="M186" s="16"/>
      <c r="N186"/>
      <c r="O186"/>
      <c r="P186"/>
    </row>
    <row r="187" spans="1:16" ht="15" x14ac:dyDescent="0.2">
      <c r="A187"/>
      <c r="B187"/>
      <c r="C187"/>
      <c r="D187"/>
      <c r="E187"/>
      <c r="F187"/>
      <c r="G187"/>
      <c r="H187"/>
      <c r="I187"/>
      <c r="J187"/>
      <c r="K187"/>
      <c r="L187"/>
      <c r="M187" s="16"/>
      <c r="N187"/>
      <c r="O187"/>
      <c r="P187"/>
    </row>
    <row r="188" spans="1:16" ht="15" x14ac:dyDescent="0.2">
      <c r="A188"/>
      <c r="B188"/>
      <c r="C188"/>
      <c r="D188"/>
      <c r="E188"/>
      <c r="F188"/>
      <c r="G188"/>
      <c r="H188"/>
      <c r="I188"/>
      <c r="J188"/>
      <c r="K188"/>
      <c r="L188"/>
      <c r="M188" s="16"/>
      <c r="N188"/>
      <c r="O188"/>
      <c r="P188"/>
    </row>
    <row r="189" spans="1:16" ht="15" x14ac:dyDescent="0.2">
      <c r="A189"/>
      <c r="B189"/>
      <c r="C189"/>
      <c r="D189"/>
      <c r="E189"/>
      <c r="F189"/>
      <c r="G189"/>
      <c r="H189"/>
      <c r="I189"/>
      <c r="J189"/>
      <c r="K189"/>
      <c r="L189"/>
      <c r="M189" s="16"/>
      <c r="N189"/>
      <c r="O189"/>
      <c r="P189"/>
    </row>
    <row r="190" spans="1:16" ht="15" x14ac:dyDescent="0.2">
      <c r="A190"/>
      <c r="B190"/>
      <c r="C190"/>
      <c r="D190"/>
      <c r="E190"/>
      <c r="F190"/>
      <c r="G190"/>
      <c r="H190"/>
      <c r="I190"/>
      <c r="J190"/>
      <c r="K190"/>
      <c r="L190"/>
      <c r="M190" s="16"/>
      <c r="N190"/>
      <c r="O190"/>
      <c r="P190"/>
    </row>
    <row r="191" spans="1:16" ht="15" x14ac:dyDescent="0.2">
      <c r="A191"/>
      <c r="B191"/>
      <c r="C191"/>
      <c r="D191"/>
      <c r="E191"/>
      <c r="F191"/>
      <c r="G191"/>
      <c r="H191"/>
      <c r="I191"/>
      <c r="J191"/>
      <c r="K191"/>
      <c r="L191"/>
      <c r="M191" s="16"/>
      <c r="N191"/>
      <c r="O191"/>
      <c r="P191"/>
    </row>
    <row r="192" spans="1:16" ht="15" x14ac:dyDescent="0.2">
      <c r="A192"/>
      <c r="B192"/>
      <c r="C192"/>
      <c r="D192"/>
      <c r="E192"/>
      <c r="F192"/>
      <c r="G192"/>
      <c r="H192"/>
      <c r="I192"/>
      <c r="J192"/>
      <c r="K192"/>
      <c r="L192"/>
      <c r="M192" s="16"/>
      <c r="N192"/>
      <c r="O192"/>
      <c r="P192"/>
    </row>
    <row r="193" spans="1:16" ht="15" x14ac:dyDescent="0.2">
      <c r="A193"/>
      <c r="B193"/>
      <c r="C193"/>
      <c r="D193"/>
      <c r="E193"/>
      <c r="F193"/>
      <c r="G193"/>
      <c r="H193"/>
      <c r="I193"/>
      <c r="J193"/>
      <c r="K193"/>
      <c r="L193"/>
      <c r="M193" s="16"/>
      <c r="N193"/>
      <c r="O193"/>
      <c r="P193"/>
    </row>
    <row r="194" spans="1:16" ht="15" x14ac:dyDescent="0.2">
      <c r="A194"/>
      <c r="B194"/>
      <c r="C194"/>
      <c r="D194"/>
      <c r="E194"/>
      <c r="F194"/>
      <c r="G194"/>
      <c r="H194"/>
      <c r="I194"/>
      <c r="J194"/>
      <c r="K194"/>
      <c r="L194"/>
      <c r="M194" s="16"/>
      <c r="N194"/>
      <c r="O194"/>
      <c r="P194"/>
    </row>
    <row r="195" spans="1:16" ht="15" x14ac:dyDescent="0.2">
      <c r="A195"/>
      <c r="B195"/>
      <c r="C195"/>
      <c r="D195"/>
      <c r="E195"/>
      <c r="F195"/>
      <c r="G195"/>
      <c r="H195"/>
      <c r="I195"/>
      <c r="J195"/>
      <c r="K195"/>
      <c r="L195"/>
      <c r="M195" s="16"/>
      <c r="N195"/>
      <c r="O195"/>
      <c r="P195"/>
    </row>
    <row r="196" spans="1:16" ht="15" x14ac:dyDescent="0.2">
      <c r="A196"/>
      <c r="B196"/>
      <c r="C196"/>
      <c r="D196"/>
      <c r="E196"/>
      <c r="F196"/>
      <c r="G196"/>
      <c r="H196"/>
      <c r="I196"/>
      <c r="J196"/>
      <c r="K196"/>
      <c r="L196"/>
      <c r="M196" s="16"/>
      <c r="N196"/>
      <c r="O196"/>
      <c r="P196"/>
    </row>
    <row r="197" spans="1:16" ht="15" x14ac:dyDescent="0.2">
      <c r="A197"/>
      <c r="B197"/>
      <c r="C197"/>
      <c r="D197"/>
      <c r="E197"/>
      <c r="F197"/>
      <c r="G197"/>
      <c r="H197"/>
      <c r="I197"/>
      <c r="J197"/>
      <c r="K197"/>
      <c r="L197"/>
      <c r="M197" s="16"/>
      <c r="N197"/>
      <c r="O197"/>
      <c r="P197"/>
    </row>
    <row r="198" spans="1:16" ht="15" x14ac:dyDescent="0.2">
      <c r="A198"/>
      <c r="B198"/>
      <c r="C198"/>
      <c r="D198"/>
      <c r="E198"/>
      <c r="F198"/>
      <c r="G198"/>
      <c r="H198"/>
      <c r="I198"/>
      <c r="J198"/>
      <c r="K198"/>
      <c r="L198"/>
      <c r="M198" s="16"/>
      <c r="N198"/>
      <c r="O198"/>
      <c r="P198"/>
    </row>
    <row r="199" spans="1:16" ht="15" x14ac:dyDescent="0.2">
      <c r="A199"/>
      <c r="B199"/>
      <c r="C199"/>
      <c r="D199"/>
      <c r="E199"/>
      <c r="F199"/>
      <c r="G199"/>
      <c r="H199"/>
      <c r="I199"/>
      <c r="J199"/>
      <c r="K199"/>
      <c r="L199"/>
      <c r="M199" s="16"/>
      <c r="N199"/>
      <c r="O199"/>
      <c r="P199"/>
    </row>
    <row r="200" spans="1:16" ht="15" x14ac:dyDescent="0.2">
      <c r="A200"/>
      <c r="B200"/>
      <c r="C200"/>
      <c r="D200"/>
      <c r="E200"/>
      <c r="F200"/>
      <c r="G200"/>
      <c r="H200"/>
      <c r="I200"/>
      <c r="J200"/>
      <c r="K200"/>
      <c r="L200"/>
      <c r="M200" s="16"/>
      <c r="N200"/>
      <c r="O200"/>
      <c r="P200"/>
    </row>
    <row r="201" spans="1:16" ht="15" x14ac:dyDescent="0.2">
      <c r="A201"/>
      <c r="B201"/>
      <c r="C201"/>
      <c r="D201"/>
      <c r="E201"/>
      <c r="F201"/>
      <c r="G201"/>
      <c r="H201"/>
      <c r="I201"/>
      <c r="J201"/>
      <c r="K201"/>
      <c r="L201"/>
      <c r="M201" s="16"/>
      <c r="N201"/>
      <c r="O201"/>
      <c r="P201"/>
    </row>
    <row r="202" spans="1:16" ht="15" x14ac:dyDescent="0.2">
      <c r="A202"/>
      <c r="B202"/>
      <c r="C202"/>
      <c r="D202"/>
      <c r="E202"/>
      <c r="F202"/>
      <c r="G202"/>
      <c r="H202"/>
      <c r="I202"/>
      <c r="J202"/>
      <c r="K202"/>
      <c r="L202"/>
      <c r="M202" s="16"/>
      <c r="N202"/>
      <c r="O202"/>
      <c r="P202"/>
    </row>
    <row r="203" spans="1:16" ht="15" x14ac:dyDescent="0.2">
      <c r="A203"/>
      <c r="B203"/>
      <c r="C203"/>
      <c r="D203"/>
      <c r="E203"/>
      <c r="F203"/>
      <c r="G203"/>
      <c r="H203"/>
      <c r="I203"/>
      <c r="J203"/>
      <c r="K203"/>
      <c r="L203"/>
      <c r="M203" s="16"/>
      <c r="N203"/>
      <c r="O203"/>
      <c r="P203"/>
    </row>
    <row r="204" spans="1:16" ht="15" x14ac:dyDescent="0.2">
      <c r="A204"/>
      <c r="B204"/>
      <c r="C204"/>
      <c r="D204"/>
      <c r="E204"/>
      <c r="F204"/>
      <c r="G204"/>
      <c r="H204"/>
      <c r="I204"/>
      <c r="J204"/>
      <c r="K204"/>
      <c r="L204"/>
      <c r="M204" s="16"/>
      <c r="N204"/>
      <c r="O204"/>
      <c r="P204"/>
    </row>
    <row r="205" spans="1:16" ht="15" x14ac:dyDescent="0.2">
      <c r="A205"/>
      <c r="B205"/>
      <c r="C205"/>
      <c r="D205"/>
      <c r="E205"/>
      <c r="F205"/>
      <c r="G205"/>
      <c r="H205"/>
      <c r="I205"/>
      <c r="J205"/>
      <c r="K205"/>
      <c r="L205"/>
      <c r="M205" s="16"/>
      <c r="N205"/>
      <c r="O205"/>
      <c r="P205"/>
    </row>
    <row r="206" spans="1:16" ht="15" x14ac:dyDescent="0.2">
      <c r="A206"/>
      <c r="B206"/>
      <c r="C206"/>
      <c r="D206"/>
      <c r="E206"/>
      <c r="F206"/>
      <c r="G206"/>
      <c r="H206"/>
      <c r="I206"/>
      <c r="J206"/>
      <c r="K206"/>
      <c r="L206"/>
      <c r="M206" s="16"/>
      <c r="N206"/>
      <c r="O206"/>
      <c r="P206"/>
    </row>
    <row r="207" spans="1:16" ht="15" x14ac:dyDescent="0.2">
      <c r="A207"/>
      <c r="B207"/>
      <c r="C207"/>
      <c r="D207"/>
      <c r="E207"/>
      <c r="F207"/>
      <c r="G207"/>
      <c r="H207"/>
      <c r="I207"/>
      <c r="J207"/>
      <c r="K207"/>
      <c r="L207"/>
      <c r="M207" s="16"/>
      <c r="N207"/>
      <c r="O207"/>
      <c r="P207"/>
    </row>
    <row r="208" spans="1:16" ht="15" x14ac:dyDescent="0.2">
      <c r="A208"/>
      <c r="B208"/>
      <c r="C208"/>
      <c r="D208"/>
      <c r="E208"/>
      <c r="F208"/>
      <c r="G208"/>
      <c r="H208"/>
      <c r="I208"/>
      <c r="J208"/>
      <c r="K208"/>
      <c r="L208"/>
      <c r="M208" s="16"/>
      <c r="N208"/>
      <c r="O208"/>
      <c r="P208"/>
    </row>
    <row r="209" spans="1:16" ht="15" x14ac:dyDescent="0.2">
      <c r="A209"/>
      <c r="B209"/>
      <c r="C209"/>
      <c r="D209"/>
      <c r="E209"/>
      <c r="F209"/>
      <c r="G209"/>
      <c r="H209"/>
      <c r="I209"/>
      <c r="J209"/>
      <c r="K209"/>
      <c r="L209"/>
      <c r="M209" s="16"/>
      <c r="N209"/>
      <c r="O209"/>
      <c r="P209"/>
    </row>
    <row r="210" spans="1:16" ht="15" x14ac:dyDescent="0.2">
      <c r="A210"/>
      <c r="B210"/>
      <c r="C210"/>
      <c r="D210"/>
      <c r="E210"/>
      <c r="F210"/>
      <c r="G210"/>
      <c r="H210"/>
      <c r="I210"/>
      <c r="J210"/>
      <c r="K210"/>
      <c r="L210"/>
      <c r="M210" s="16"/>
      <c r="N210"/>
      <c r="O210"/>
      <c r="P210"/>
    </row>
    <row r="211" spans="1:16" ht="15" x14ac:dyDescent="0.2">
      <c r="A211"/>
      <c r="B211"/>
      <c r="C211"/>
      <c r="D211"/>
      <c r="E211"/>
      <c r="F211"/>
      <c r="G211"/>
      <c r="H211"/>
      <c r="I211"/>
      <c r="J211"/>
      <c r="K211"/>
      <c r="L211"/>
      <c r="M211" s="16"/>
      <c r="N211"/>
      <c r="O211"/>
      <c r="P211"/>
    </row>
    <row r="212" spans="1:16" ht="15" x14ac:dyDescent="0.2">
      <c r="A212"/>
      <c r="B212"/>
      <c r="C212"/>
      <c r="D212"/>
      <c r="E212"/>
      <c r="F212"/>
      <c r="G212"/>
      <c r="H212"/>
      <c r="I212"/>
      <c r="J212"/>
      <c r="K212"/>
      <c r="L212"/>
      <c r="M212" s="16"/>
      <c r="N212"/>
      <c r="O212"/>
      <c r="P212"/>
    </row>
    <row r="213" spans="1:16" ht="15" x14ac:dyDescent="0.2">
      <c r="A213"/>
      <c r="B213"/>
      <c r="C213"/>
      <c r="D213"/>
      <c r="E213"/>
      <c r="F213"/>
      <c r="G213"/>
      <c r="H213"/>
      <c r="I213"/>
      <c r="J213"/>
      <c r="K213"/>
      <c r="L213"/>
      <c r="M213" s="16"/>
      <c r="N213"/>
      <c r="O213"/>
      <c r="P213"/>
    </row>
    <row r="214" spans="1:16" ht="15" x14ac:dyDescent="0.2">
      <c r="A214"/>
      <c r="B214"/>
      <c r="C214"/>
      <c r="D214"/>
      <c r="E214"/>
      <c r="F214"/>
      <c r="G214"/>
      <c r="H214"/>
      <c r="I214"/>
      <c r="J214"/>
      <c r="K214"/>
      <c r="L214"/>
      <c r="M214" s="16"/>
      <c r="N214"/>
      <c r="O214"/>
      <c r="P214"/>
    </row>
    <row r="215" spans="1:16" ht="15" x14ac:dyDescent="0.2">
      <c r="A215"/>
      <c r="B215"/>
      <c r="C215"/>
      <c r="D215"/>
      <c r="E215"/>
      <c r="F215"/>
      <c r="G215"/>
      <c r="H215"/>
      <c r="I215"/>
      <c r="J215"/>
      <c r="K215"/>
      <c r="L215"/>
      <c r="M215" s="16"/>
      <c r="N215"/>
      <c r="O215"/>
      <c r="P215"/>
    </row>
    <row r="216" spans="1:16" ht="15" x14ac:dyDescent="0.2">
      <c r="A216"/>
      <c r="B216"/>
      <c r="C216"/>
      <c r="D216"/>
      <c r="E216"/>
      <c r="F216"/>
      <c r="G216"/>
      <c r="H216"/>
      <c r="I216"/>
      <c r="J216"/>
      <c r="K216"/>
      <c r="L216"/>
      <c r="M216" s="16"/>
      <c r="N216"/>
      <c r="O216"/>
      <c r="P216"/>
    </row>
    <row r="217" spans="1:16" ht="15" x14ac:dyDescent="0.2">
      <c r="A217"/>
      <c r="B217"/>
      <c r="C217"/>
      <c r="D217"/>
      <c r="E217"/>
      <c r="F217"/>
      <c r="G217"/>
      <c r="H217"/>
      <c r="I217"/>
      <c r="J217"/>
      <c r="K217"/>
      <c r="L217"/>
      <c r="M217" s="16"/>
      <c r="N217"/>
      <c r="O217"/>
      <c r="P217"/>
    </row>
    <row r="218" spans="1:16" ht="15" x14ac:dyDescent="0.2">
      <c r="A218"/>
      <c r="B218"/>
      <c r="C218"/>
      <c r="D218"/>
      <c r="E218"/>
      <c r="F218"/>
      <c r="G218"/>
      <c r="H218"/>
      <c r="I218"/>
      <c r="J218"/>
      <c r="K218"/>
      <c r="L218"/>
      <c r="M218" s="16"/>
      <c r="N218"/>
      <c r="O218"/>
      <c r="P218"/>
    </row>
    <row r="219" spans="1:16" ht="15" x14ac:dyDescent="0.2">
      <c r="A219"/>
      <c r="B219"/>
      <c r="C219"/>
      <c r="D219"/>
      <c r="E219"/>
      <c r="F219"/>
      <c r="G219"/>
      <c r="H219"/>
      <c r="I219"/>
      <c r="J219"/>
      <c r="K219"/>
      <c r="L219"/>
      <c r="M219" s="16"/>
      <c r="N219"/>
      <c r="O219"/>
      <c r="P219"/>
    </row>
    <row r="220" spans="1:16" ht="15" x14ac:dyDescent="0.2">
      <c r="A220"/>
      <c r="B220"/>
      <c r="C220"/>
      <c r="D220"/>
      <c r="E220"/>
      <c r="F220"/>
      <c r="G220"/>
      <c r="H220"/>
      <c r="I220"/>
      <c r="J220"/>
      <c r="K220"/>
      <c r="L220"/>
      <c r="M220" s="16"/>
      <c r="N220"/>
      <c r="O220"/>
      <c r="P220"/>
    </row>
    <row r="221" spans="1:16" ht="15" x14ac:dyDescent="0.2">
      <c r="A221"/>
      <c r="B221"/>
      <c r="C221"/>
      <c r="D221"/>
      <c r="E221"/>
      <c r="F221"/>
      <c r="G221"/>
      <c r="H221"/>
      <c r="I221"/>
      <c r="J221"/>
      <c r="K221"/>
      <c r="L221"/>
      <c r="M221" s="16"/>
      <c r="N221"/>
      <c r="O221"/>
      <c r="P221"/>
    </row>
    <row r="222" spans="1:16" ht="15" x14ac:dyDescent="0.2">
      <c r="A222"/>
      <c r="B222"/>
      <c r="C222"/>
      <c r="D222"/>
      <c r="E222"/>
      <c r="F222"/>
      <c r="G222"/>
      <c r="H222"/>
      <c r="I222"/>
      <c r="J222"/>
      <c r="K222"/>
      <c r="L222"/>
      <c r="M222" s="16"/>
      <c r="N222"/>
      <c r="O222"/>
      <c r="P222"/>
    </row>
    <row r="223" spans="1:16" ht="15" x14ac:dyDescent="0.2">
      <c r="A223"/>
      <c r="B223"/>
      <c r="C223"/>
      <c r="D223"/>
      <c r="E223"/>
      <c r="F223"/>
      <c r="G223"/>
      <c r="H223"/>
      <c r="I223"/>
      <c r="J223"/>
      <c r="K223"/>
      <c r="L223"/>
      <c r="M223" s="16"/>
      <c r="N223"/>
      <c r="O223"/>
      <c r="P223"/>
    </row>
    <row r="224" spans="1:16" ht="15" x14ac:dyDescent="0.2">
      <c r="A224"/>
      <c r="B224"/>
      <c r="C224"/>
      <c r="D224"/>
      <c r="E224"/>
      <c r="F224"/>
      <c r="G224"/>
      <c r="H224"/>
      <c r="I224"/>
      <c r="J224"/>
      <c r="K224"/>
      <c r="L224"/>
      <c r="M224" s="16"/>
      <c r="N224"/>
      <c r="O224"/>
      <c r="P224"/>
    </row>
    <row r="225" spans="1:16" ht="15" x14ac:dyDescent="0.2">
      <c r="A225"/>
      <c r="B225"/>
      <c r="C225"/>
      <c r="D225"/>
      <c r="E225"/>
      <c r="F225"/>
      <c r="G225"/>
      <c r="H225"/>
      <c r="I225"/>
      <c r="J225"/>
      <c r="K225"/>
      <c r="L225"/>
      <c r="M225" s="16"/>
      <c r="N225"/>
      <c r="O225"/>
      <c r="P225"/>
    </row>
    <row r="226" spans="1:16" ht="15" x14ac:dyDescent="0.2">
      <c r="A226"/>
      <c r="B226"/>
      <c r="C226"/>
      <c r="D226"/>
      <c r="E226"/>
      <c r="F226"/>
      <c r="G226"/>
      <c r="H226"/>
      <c r="I226"/>
      <c r="J226"/>
      <c r="K226"/>
      <c r="L226"/>
      <c r="M226" s="16"/>
      <c r="N226"/>
      <c r="O226"/>
      <c r="P226"/>
    </row>
    <row r="227" spans="1:16" ht="15" x14ac:dyDescent="0.2">
      <c r="A227"/>
      <c r="B227"/>
      <c r="C227"/>
      <c r="D227"/>
      <c r="E227"/>
      <c r="F227"/>
      <c r="G227"/>
      <c r="H227"/>
      <c r="I227"/>
      <c r="J227"/>
      <c r="K227"/>
      <c r="L227"/>
      <c r="M227" s="16"/>
      <c r="N227"/>
      <c r="O227"/>
      <c r="P227"/>
    </row>
    <row r="228" spans="1:16" ht="15" x14ac:dyDescent="0.2">
      <c r="A228"/>
      <c r="B228"/>
      <c r="C228"/>
      <c r="D228"/>
      <c r="E228"/>
      <c r="F228"/>
      <c r="G228"/>
      <c r="H228"/>
      <c r="I228"/>
      <c r="J228"/>
      <c r="K228"/>
      <c r="L228"/>
      <c r="M228" s="16"/>
      <c r="N228"/>
      <c r="O228"/>
      <c r="P228"/>
    </row>
    <row r="229" spans="1:16" ht="15" x14ac:dyDescent="0.2">
      <c r="A229"/>
      <c r="B229"/>
      <c r="C229"/>
      <c r="D229"/>
      <c r="E229"/>
      <c r="F229"/>
      <c r="G229"/>
      <c r="H229"/>
      <c r="I229"/>
      <c r="J229"/>
      <c r="K229"/>
      <c r="L229"/>
      <c r="M229" s="16"/>
      <c r="N229"/>
      <c r="O229"/>
      <c r="P229"/>
    </row>
    <row r="230" spans="1:16" ht="15" x14ac:dyDescent="0.2">
      <c r="A230"/>
      <c r="B230"/>
      <c r="C230"/>
      <c r="D230"/>
      <c r="E230"/>
      <c r="F230"/>
      <c r="G230"/>
      <c r="H230"/>
      <c r="I230"/>
      <c r="J230"/>
      <c r="K230"/>
      <c r="L230"/>
      <c r="M230" s="16"/>
      <c r="N230"/>
      <c r="O230"/>
      <c r="P230"/>
    </row>
    <row r="231" spans="1:16" ht="15" x14ac:dyDescent="0.2">
      <c r="A231"/>
      <c r="B231"/>
      <c r="C231"/>
      <c r="D231"/>
      <c r="E231"/>
      <c r="F231"/>
      <c r="G231"/>
      <c r="H231"/>
      <c r="I231"/>
      <c r="J231"/>
      <c r="K231"/>
      <c r="L231"/>
      <c r="M231" s="16"/>
      <c r="N231"/>
      <c r="O231"/>
      <c r="P231"/>
    </row>
    <row r="232" spans="1:16" ht="15" x14ac:dyDescent="0.2">
      <c r="A232"/>
      <c r="B232"/>
      <c r="C232"/>
      <c r="D232"/>
      <c r="E232"/>
      <c r="F232"/>
      <c r="G232"/>
      <c r="H232"/>
      <c r="I232"/>
      <c r="J232"/>
      <c r="K232"/>
      <c r="L232"/>
      <c r="M232" s="16"/>
      <c r="N232"/>
      <c r="O232"/>
      <c r="P232"/>
    </row>
    <row r="233" spans="1:16" ht="15" x14ac:dyDescent="0.2">
      <c r="A233"/>
      <c r="B233"/>
      <c r="C233"/>
      <c r="D233"/>
      <c r="E233"/>
      <c r="F233"/>
      <c r="G233"/>
      <c r="H233"/>
      <c r="I233"/>
      <c r="J233"/>
      <c r="K233"/>
      <c r="L233"/>
      <c r="M233" s="16"/>
      <c r="N233"/>
      <c r="O233"/>
      <c r="P233"/>
    </row>
    <row r="234" spans="1:16" ht="15" x14ac:dyDescent="0.2">
      <c r="A234"/>
      <c r="B234"/>
      <c r="C234"/>
      <c r="D234"/>
      <c r="E234"/>
      <c r="F234"/>
      <c r="G234"/>
      <c r="H234"/>
      <c r="I234"/>
      <c r="J234"/>
      <c r="K234"/>
      <c r="L234"/>
      <c r="M234" s="16"/>
      <c r="N234"/>
      <c r="O234"/>
      <c r="P234"/>
    </row>
    <row r="235" spans="1:16" ht="15" x14ac:dyDescent="0.2">
      <c r="A235"/>
      <c r="B235"/>
      <c r="C235"/>
      <c r="D235"/>
      <c r="E235"/>
      <c r="F235"/>
      <c r="G235"/>
      <c r="H235"/>
      <c r="I235"/>
      <c r="J235"/>
      <c r="K235"/>
      <c r="L235"/>
      <c r="M235" s="16"/>
      <c r="N235"/>
      <c r="O235"/>
      <c r="P235"/>
    </row>
    <row r="236" spans="1:16" ht="15" x14ac:dyDescent="0.2">
      <c r="A236"/>
      <c r="B236"/>
      <c r="C236"/>
      <c r="D236"/>
      <c r="E236"/>
      <c r="F236"/>
      <c r="G236"/>
      <c r="H236"/>
      <c r="I236"/>
      <c r="J236"/>
      <c r="K236"/>
      <c r="L236"/>
      <c r="M236" s="16"/>
      <c r="N236"/>
      <c r="O236"/>
      <c r="P236"/>
    </row>
    <row r="237" spans="1:16" ht="15" x14ac:dyDescent="0.2">
      <c r="A237"/>
      <c r="B237"/>
      <c r="C237"/>
      <c r="D237"/>
      <c r="E237"/>
      <c r="F237"/>
      <c r="G237"/>
      <c r="H237"/>
      <c r="I237"/>
      <c r="J237"/>
      <c r="K237"/>
      <c r="L237"/>
      <c r="M237" s="16"/>
      <c r="N237"/>
      <c r="O237"/>
      <c r="P237"/>
    </row>
    <row r="238" spans="1:16" ht="15" x14ac:dyDescent="0.2">
      <c r="A238"/>
      <c r="B238"/>
      <c r="C238"/>
      <c r="D238"/>
      <c r="E238"/>
      <c r="F238"/>
      <c r="G238"/>
      <c r="H238"/>
      <c r="I238"/>
      <c r="J238"/>
      <c r="K238"/>
      <c r="L238"/>
      <c r="M238" s="16"/>
      <c r="N238"/>
      <c r="O238"/>
      <c r="P238"/>
    </row>
    <row r="239" spans="1:16" ht="15" x14ac:dyDescent="0.2">
      <c r="A239"/>
      <c r="B239"/>
      <c r="C239"/>
      <c r="D239"/>
      <c r="E239"/>
      <c r="F239"/>
      <c r="G239"/>
      <c r="H239"/>
      <c r="I239"/>
      <c r="J239"/>
      <c r="K239"/>
      <c r="L239"/>
      <c r="M239" s="16"/>
      <c r="N239"/>
      <c r="O239"/>
      <c r="P239"/>
    </row>
    <row r="240" spans="1:16" ht="15" x14ac:dyDescent="0.2">
      <c r="A240"/>
      <c r="B240"/>
      <c r="C240"/>
      <c r="D240"/>
      <c r="E240"/>
      <c r="F240"/>
      <c r="G240"/>
      <c r="H240"/>
      <c r="I240"/>
      <c r="J240"/>
      <c r="K240"/>
      <c r="L240"/>
      <c r="M240" s="16"/>
      <c r="N240"/>
      <c r="O240"/>
      <c r="P240"/>
    </row>
    <row r="241" spans="1:16" ht="15" x14ac:dyDescent="0.2">
      <c r="A241"/>
      <c r="B241"/>
      <c r="C241"/>
      <c r="D241"/>
      <c r="E241"/>
      <c r="F241"/>
      <c r="G241"/>
      <c r="H241"/>
      <c r="I241"/>
      <c r="J241"/>
      <c r="K241"/>
      <c r="L241"/>
      <c r="M241" s="16"/>
      <c r="N241"/>
      <c r="O241"/>
      <c r="P241"/>
    </row>
    <row r="242" spans="1:16" ht="15" x14ac:dyDescent="0.2">
      <c r="A242"/>
      <c r="B242"/>
      <c r="C242"/>
      <c r="D242"/>
      <c r="E242"/>
      <c r="F242"/>
      <c r="G242"/>
      <c r="H242"/>
      <c r="I242"/>
      <c r="J242"/>
      <c r="K242"/>
      <c r="L242"/>
      <c r="M242" s="16"/>
      <c r="N242"/>
      <c r="O242"/>
      <c r="P242"/>
    </row>
    <row r="243" spans="1:16" ht="15" x14ac:dyDescent="0.2">
      <c r="A243"/>
      <c r="B243"/>
      <c r="C243"/>
      <c r="D243"/>
      <c r="E243"/>
      <c r="F243"/>
      <c r="G243"/>
      <c r="H243"/>
      <c r="I243"/>
      <c r="J243"/>
      <c r="K243"/>
      <c r="L243"/>
      <c r="M243" s="16"/>
      <c r="N243"/>
      <c r="O243"/>
      <c r="P243"/>
    </row>
    <row r="244" spans="1:16" ht="15" x14ac:dyDescent="0.2">
      <c r="A244"/>
      <c r="B244"/>
      <c r="C244"/>
      <c r="D244"/>
      <c r="E244"/>
      <c r="F244"/>
      <c r="G244"/>
      <c r="H244"/>
      <c r="I244"/>
      <c r="J244"/>
      <c r="K244"/>
      <c r="L244"/>
      <c r="M244" s="16"/>
      <c r="N244"/>
      <c r="O244"/>
      <c r="P244"/>
    </row>
    <row r="245" spans="1:16" ht="15" x14ac:dyDescent="0.2">
      <c r="A245"/>
      <c r="B245"/>
      <c r="C245"/>
      <c r="D245"/>
      <c r="E245"/>
      <c r="F245"/>
      <c r="G245"/>
      <c r="H245"/>
      <c r="I245"/>
      <c r="J245"/>
      <c r="K245"/>
      <c r="L245"/>
      <c r="M245" s="16"/>
      <c r="N245"/>
      <c r="O245"/>
      <c r="P245"/>
    </row>
    <row r="246" spans="1:16" ht="15" x14ac:dyDescent="0.2">
      <c r="A246"/>
      <c r="B246"/>
      <c r="C246"/>
      <c r="D246"/>
      <c r="E246"/>
      <c r="F246"/>
      <c r="G246"/>
      <c r="H246"/>
      <c r="I246"/>
      <c r="J246"/>
      <c r="K246"/>
      <c r="L246"/>
      <c r="M246" s="16"/>
      <c r="N246"/>
      <c r="O246"/>
      <c r="P246"/>
    </row>
    <row r="247" spans="1:16" ht="15" x14ac:dyDescent="0.2">
      <c r="A247"/>
      <c r="B247"/>
      <c r="C247"/>
      <c r="D247"/>
      <c r="E247"/>
      <c r="F247"/>
      <c r="G247"/>
      <c r="H247"/>
      <c r="I247"/>
      <c r="J247"/>
      <c r="K247"/>
      <c r="L247"/>
      <c r="M247" s="16"/>
      <c r="N247"/>
      <c r="O247"/>
      <c r="P247"/>
    </row>
    <row r="248" spans="1:16" ht="15" x14ac:dyDescent="0.2">
      <c r="A248"/>
      <c r="B248"/>
      <c r="C248"/>
      <c r="D248"/>
      <c r="E248"/>
      <c r="F248"/>
      <c r="G248"/>
      <c r="H248"/>
      <c r="I248"/>
      <c r="J248"/>
      <c r="K248"/>
      <c r="L248"/>
      <c r="M248" s="16"/>
      <c r="N248"/>
      <c r="O248"/>
      <c r="P248"/>
    </row>
    <row r="249" spans="1:16" ht="15" x14ac:dyDescent="0.2">
      <c r="A249"/>
      <c r="B249"/>
      <c r="C249"/>
      <c r="D249"/>
      <c r="E249"/>
      <c r="F249"/>
      <c r="G249"/>
      <c r="H249"/>
      <c r="I249"/>
      <c r="J249"/>
      <c r="K249"/>
      <c r="L249"/>
      <c r="M249" s="16"/>
      <c r="N249"/>
      <c r="O249"/>
      <c r="P249"/>
    </row>
    <row r="250" spans="1:16" ht="15" x14ac:dyDescent="0.2">
      <c r="A250"/>
      <c r="B250"/>
      <c r="C250"/>
      <c r="D250"/>
      <c r="E250"/>
      <c r="F250"/>
      <c r="G250"/>
      <c r="H250"/>
      <c r="I250"/>
      <c r="J250"/>
      <c r="K250"/>
      <c r="L250"/>
      <c r="M250" s="16"/>
      <c r="N250"/>
      <c r="O250"/>
      <c r="P250"/>
    </row>
    <row r="251" spans="1:16" ht="15" x14ac:dyDescent="0.2">
      <c r="A251"/>
      <c r="B251"/>
      <c r="C251"/>
      <c r="D251"/>
      <c r="E251"/>
      <c r="F251"/>
      <c r="G251"/>
      <c r="H251"/>
      <c r="I251"/>
      <c r="J251"/>
      <c r="K251"/>
      <c r="L251"/>
      <c r="M251" s="16"/>
      <c r="N251"/>
      <c r="O251"/>
      <c r="P251"/>
    </row>
    <row r="252" spans="1:16" ht="15" x14ac:dyDescent="0.2">
      <c r="A252"/>
      <c r="B252"/>
      <c r="C252"/>
      <c r="D252"/>
      <c r="E252"/>
      <c r="F252"/>
      <c r="G252"/>
      <c r="H252"/>
      <c r="I252"/>
      <c r="J252"/>
      <c r="K252"/>
      <c r="L252"/>
      <c r="M252" s="16"/>
      <c r="N252"/>
      <c r="O252"/>
      <c r="P252"/>
    </row>
    <row r="253" spans="1:16" ht="15" x14ac:dyDescent="0.2">
      <c r="A253"/>
      <c r="B253"/>
      <c r="C253"/>
      <c r="D253"/>
      <c r="E253"/>
      <c r="F253"/>
      <c r="G253"/>
      <c r="H253"/>
      <c r="I253"/>
      <c r="J253"/>
      <c r="K253"/>
      <c r="L253"/>
      <c r="M253" s="16"/>
      <c r="N253"/>
      <c r="O253"/>
      <c r="P253"/>
    </row>
    <row r="254" spans="1:16" ht="15" x14ac:dyDescent="0.2">
      <c r="A254"/>
      <c r="B254"/>
      <c r="C254"/>
      <c r="D254"/>
      <c r="E254"/>
      <c r="F254"/>
      <c r="G254"/>
      <c r="H254"/>
      <c r="I254"/>
      <c r="J254"/>
      <c r="K254"/>
      <c r="L254"/>
      <c r="M254" s="16"/>
      <c r="N254"/>
      <c r="O254"/>
      <c r="P254"/>
    </row>
    <row r="255" spans="1:16" ht="15" x14ac:dyDescent="0.2">
      <c r="A255"/>
      <c r="B255"/>
      <c r="C255"/>
      <c r="D255"/>
      <c r="E255"/>
      <c r="F255"/>
      <c r="G255"/>
      <c r="H255"/>
      <c r="I255"/>
      <c r="J255"/>
      <c r="K255"/>
      <c r="L255"/>
      <c r="M255" s="16"/>
      <c r="N255"/>
      <c r="O255"/>
      <c r="P255"/>
    </row>
    <row r="256" spans="1:16" ht="15" x14ac:dyDescent="0.2">
      <c r="A256"/>
      <c r="B256"/>
      <c r="C256"/>
      <c r="D256"/>
      <c r="E256"/>
      <c r="F256"/>
      <c r="G256"/>
      <c r="H256"/>
      <c r="I256"/>
      <c r="J256"/>
      <c r="K256"/>
      <c r="L256"/>
      <c r="M256" s="16"/>
      <c r="N256"/>
      <c r="O256"/>
      <c r="P256"/>
    </row>
    <row r="257" spans="1:16" ht="15" x14ac:dyDescent="0.2">
      <c r="A257"/>
      <c r="B257"/>
      <c r="C257"/>
      <c r="D257"/>
      <c r="E257"/>
      <c r="F257"/>
      <c r="G257"/>
      <c r="H257"/>
      <c r="I257"/>
      <c r="J257"/>
      <c r="K257"/>
      <c r="L257"/>
      <c r="M257" s="16"/>
      <c r="N257"/>
      <c r="O257"/>
      <c r="P257"/>
    </row>
    <row r="258" spans="1:16" ht="15" x14ac:dyDescent="0.2">
      <c r="A258"/>
      <c r="B258"/>
      <c r="C258"/>
      <c r="D258"/>
      <c r="E258"/>
      <c r="F258"/>
      <c r="G258"/>
      <c r="H258"/>
      <c r="I258"/>
      <c r="J258"/>
      <c r="K258"/>
      <c r="L258"/>
      <c r="M258" s="16"/>
      <c r="N258"/>
      <c r="O258"/>
      <c r="P258"/>
    </row>
    <row r="259" spans="1:16" ht="15" x14ac:dyDescent="0.2">
      <c r="A259"/>
      <c r="B259"/>
      <c r="C259"/>
      <c r="D259"/>
      <c r="E259"/>
      <c r="F259"/>
      <c r="G259"/>
      <c r="H259"/>
      <c r="I259"/>
      <c r="J259"/>
      <c r="K259"/>
      <c r="L259"/>
      <c r="M259" s="16"/>
      <c r="N259"/>
      <c r="O259"/>
      <c r="P259"/>
    </row>
    <row r="260" spans="1:16" ht="15" x14ac:dyDescent="0.2">
      <c r="A260"/>
      <c r="B260"/>
      <c r="C260"/>
      <c r="D260"/>
      <c r="E260"/>
      <c r="F260"/>
      <c r="G260"/>
      <c r="H260"/>
      <c r="I260"/>
      <c r="J260"/>
      <c r="K260"/>
      <c r="L260"/>
      <c r="M260" s="16"/>
      <c r="N260"/>
      <c r="O260"/>
      <c r="P260"/>
    </row>
    <row r="261" spans="1:16" ht="15" x14ac:dyDescent="0.2">
      <c r="A261"/>
      <c r="B261"/>
      <c r="C261"/>
      <c r="D261"/>
      <c r="E261"/>
      <c r="F261"/>
      <c r="G261"/>
      <c r="H261"/>
      <c r="I261"/>
      <c r="J261"/>
      <c r="K261"/>
      <c r="L261"/>
      <c r="M261" s="16"/>
      <c r="N261"/>
      <c r="O261"/>
      <c r="P261"/>
    </row>
    <row r="262" spans="1:16" ht="15" x14ac:dyDescent="0.2">
      <c r="A262"/>
      <c r="B262"/>
      <c r="C262"/>
      <c r="D262"/>
      <c r="E262"/>
      <c r="F262"/>
      <c r="G262"/>
      <c r="H262"/>
      <c r="I262"/>
      <c r="J262"/>
      <c r="K262"/>
      <c r="L262"/>
      <c r="M262" s="16"/>
      <c r="N262"/>
      <c r="O262"/>
      <c r="P262"/>
    </row>
    <row r="263" spans="1:16" ht="15" x14ac:dyDescent="0.2">
      <c r="A263"/>
      <c r="B263"/>
      <c r="C263"/>
      <c r="D263"/>
      <c r="E263"/>
      <c r="F263"/>
      <c r="G263"/>
      <c r="H263"/>
      <c r="I263"/>
      <c r="J263"/>
      <c r="K263"/>
      <c r="L263"/>
      <c r="M263" s="16"/>
      <c r="N263"/>
      <c r="O263"/>
      <c r="P263"/>
    </row>
    <row r="264" spans="1:16" ht="15" x14ac:dyDescent="0.2">
      <c r="A264"/>
      <c r="B264"/>
      <c r="C264"/>
      <c r="D264"/>
      <c r="E264"/>
      <c r="F264"/>
      <c r="G264"/>
      <c r="H264"/>
      <c r="I264"/>
      <c r="J264"/>
      <c r="K264"/>
      <c r="L264"/>
      <c r="M264" s="16"/>
      <c r="N264"/>
      <c r="O264"/>
      <c r="P264"/>
    </row>
    <row r="265" spans="1:16" ht="15" x14ac:dyDescent="0.2">
      <c r="A265"/>
      <c r="B265"/>
      <c r="C265"/>
      <c r="D265"/>
      <c r="E265"/>
      <c r="F265"/>
      <c r="G265"/>
      <c r="H265"/>
      <c r="I265"/>
      <c r="J265"/>
      <c r="K265"/>
      <c r="L265"/>
      <c r="M265" s="16"/>
      <c r="N265"/>
      <c r="O265"/>
      <c r="P265"/>
    </row>
    <row r="266" spans="1:16" ht="15" x14ac:dyDescent="0.2">
      <c r="A266"/>
      <c r="B266"/>
      <c r="C266"/>
      <c r="D266"/>
      <c r="E266"/>
      <c r="F266"/>
      <c r="G266"/>
      <c r="H266"/>
      <c r="I266"/>
      <c r="J266"/>
      <c r="K266"/>
      <c r="L266"/>
      <c r="M266" s="16"/>
      <c r="N266"/>
      <c r="O266"/>
      <c r="P266"/>
    </row>
    <row r="267" spans="1:16" ht="15" x14ac:dyDescent="0.2">
      <c r="A267"/>
      <c r="B267"/>
      <c r="C267"/>
      <c r="D267"/>
      <c r="E267"/>
      <c r="F267"/>
      <c r="G267"/>
      <c r="H267"/>
      <c r="I267"/>
      <c r="J267"/>
      <c r="K267"/>
      <c r="L267"/>
      <c r="M267" s="16"/>
      <c r="N267"/>
      <c r="O267"/>
      <c r="P267"/>
    </row>
    <row r="268" spans="1:16" ht="15" x14ac:dyDescent="0.2">
      <c r="A268"/>
      <c r="B268"/>
      <c r="C268"/>
      <c r="D268"/>
      <c r="E268"/>
      <c r="F268"/>
      <c r="G268"/>
      <c r="H268"/>
      <c r="I268"/>
      <c r="J268"/>
      <c r="K268"/>
      <c r="L268"/>
      <c r="M268" s="16"/>
      <c r="N268"/>
      <c r="O268"/>
      <c r="P268"/>
    </row>
    <row r="269" spans="1:16" ht="15" x14ac:dyDescent="0.2">
      <c r="A269"/>
      <c r="B269"/>
      <c r="C269"/>
      <c r="D269"/>
      <c r="E269"/>
      <c r="F269"/>
      <c r="G269"/>
      <c r="H269"/>
      <c r="I269"/>
      <c r="J269"/>
      <c r="K269"/>
      <c r="L269"/>
      <c r="M269" s="16"/>
      <c r="N269"/>
      <c r="O269"/>
      <c r="P269"/>
    </row>
    <row r="270" spans="1:16" ht="15" x14ac:dyDescent="0.2">
      <c r="A270"/>
      <c r="B270"/>
      <c r="C270"/>
      <c r="D270"/>
      <c r="E270"/>
      <c r="F270"/>
      <c r="G270"/>
      <c r="H270"/>
      <c r="I270"/>
      <c r="J270"/>
      <c r="K270"/>
      <c r="L270"/>
      <c r="M270" s="16"/>
      <c r="N270"/>
      <c r="O270"/>
      <c r="P270"/>
    </row>
    <row r="271" spans="1:16" ht="15" x14ac:dyDescent="0.2">
      <c r="A271"/>
      <c r="B271"/>
      <c r="C271"/>
      <c r="D271"/>
      <c r="E271"/>
      <c r="F271"/>
      <c r="G271"/>
      <c r="H271"/>
      <c r="I271"/>
      <c r="J271"/>
      <c r="K271"/>
      <c r="L271"/>
      <c r="M271" s="16"/>
      <c r="N271"/>
      <c r="O271"/>
      <c r="P271"/>
    </row>
    <row r="272" spans="1:16" ht="15" x14ac:dyDescent="0.2">
      <c r="A272"/>
      <c r="B272"/>
      <c r="C272"/>
      <c r="D272"/>
      <c r="E272"/>
      <c r="F272"/>
      <c r="G272"/>
      <c r="H272"/>
      <c r="I272"/>
      <c r="J272"/>
      <c r="K272"/>
      <c r="L272"/>
      <c r="M272" s="16"/>
      <c r="N272"/>
      <c r="O272"/>
      <c r="P272"/>
    </row>
    <row r="273" spans="1:16" ht="15" x14ac:dyDescent="0.2">
      <c r="A273"/>
      <c r="B273"/>
      <c r="C273"/>
      <c r="D273"/>
      <c r="E273"/>
      <c r="F273"/>
      <c r="G273"/>
      <c r="H273"/>
      <c r="I273"/>
      <c r="J273"/>
      <c r="K273"/>
      <c r="L273"/>
      <c r="M273" s="16"/>
      <c r="N273"/>
      <c r="O273"/>
      <c r="P273"/>
    </row>
    <row r="274" spans="1:16" ht="15" x14ac:dyDescent="0.2">
      <c r="A274"/>
      <c r="B274"/>
      <c r="C274"/>
      <c r="D274"/>
      <c r="E274"/>
      <c r="F274"/>
      <c r="G274"/>
      <c r="H274"/>
      <c r="I274"/>
      <c r="J274"/>
      <c r="K274"/>
      <c r="L274"/>
      <c r="M274" s="16"/>
      <c r="N274"/>
      <c r="O274" s="13"/>
      <c r="P274"/>
    </row>
    <row r="275" spans="1:16" ht="15" x14ac:dyDescent="0.2">
      <c r="A275"/>
      <c r="B275"/>
      <c r="C275"/>
      <c r="D275"/>
      <c r="E275"/>
      <c r="F275"/>
      <c r="G275"/>
      <c r="H275"/>
      <c r="I275"/>
      <c r="J275"/>
      <c r="K275"/>
      <c r="L275"/>
      <c r="M275" s="16"/>
      <c r="N275"/>
      <c r="O275"/>
      <c r="P275"/>
    </row>
    <row r="276" spans="1:16" ht="15" x14ac:dyDescent="0.2">
      <c r="A276"/>
      <c r="B276"/>
      <c r="C276"/>
      <c r="D276"/>
      <c r="E276"/>
      <c r="F276"/>
      <c r="G276"/>
      <c r="H276"/>
      <c r="I276"/>
      <c r="J276"/>
      <c r="K276"/>
      <c r="L276"/>
      <c r="M276" s="16"/>
      <c r="N276"/>
      <c r="O276"/>
      <c r="P276"/>
    </row>
    <row r="277" spans="1:16" ht="15" x14ac:dyDescent="0.2">
      <c r="A277"/>
      <c r="B277"/>
      <c r="C277"/>
      <c r="D277"/>
      <c r="E277"/>
      <c r="F277"/>
      <c r="G277"/>
      <c r="H277"/>
      <c r="I277"/>
      <c r="J277"/>
      <c r="K277"/>
      <c r="L277"/>
      <c r="M277" s="16"/>
      <c r="N277"/>
      <c r="O277"/>
      <c r="P277"/>
    </row>
    <row r="278" spans="1:16" ht="15" x14ac:dyDescent="0.2">
      <c r="A278"/>
      <c r="B278"/>
      <c r="C278"/>
      <c r="D278"/>
      <c r="E278"/>
      <c r="F278"/>
      <c r="G278"/>
      <c r="H278"/>
      <c r="I278"/>
      <c r="J278"/>
      <c r="K278"/>
      <c r="L278"/>
      <c r="M278" s="16"/>
      <c r="N278"/>
      <c r="O278"/>
      <c r="P278"/>
    </row>
    <row r="279" spans="1:16" ht="15" x14ac:dyDescent="0.2">
      <c r="A279"/>
      <c r="B279"/>
      <c r="C279"/>
      <c r="D279"/>
      <c r="E279"/>
      <c r="F279"/>
      <c r="G279"/>
      <c r="H279"/>
      <c r="I279"/>
      <c r="J279"/>
      <c r="K279"/>
      <c r="L279"/>
      <c r="M279" s="16"/>
      <c r="N279"/>
      <c r="O279"/>
      <c r="P279"/>
    </row>
    <row r="280" spans="1:16" ht="15" x14ac:dyDescent="0.2">
      <c r="A280"/>
      <c r="B280"/>
      <c r="C280"/>
      <c r="D280"/>
      <c r="E280"/>
      <c r="F280"/>
      <c r="G280"/>
      <c r="H280"/>
      <c r="I280"/>
      <c r="J280"/>
      <c r="K280"/>
      <c r="L280"/>
      <c r="M280" s="16"/>
      <c r="N280"/>
      <c r="O280"/>
      <c r="P280"/>
    </row>
    <row r="281" spans="1:16" ht="15" x14ac:dyDescent="0.2">
      <c r="A281"/>
      <c r="B281"/>
      <c r="C281"/>
      <c r="D281"/>
      <c r="E281"/>
      <c r="F281"/>
      <c r="G281"/>
      <c r="H281"/>
      <c r="I281"/>
      <c r="J281"/>
      <c r="K281"/>
      <c r="L281"/>
      <c r="M281" s="16"/>
      <c r="N281"/>
      <c r="O281"/>
      <c r="P281"/>
    </row>
    <row r="282" spans="1:16" ht="15" x14ac:dyDescent="0.2">
      <c r="A282"/>
      <c r="B282"/>
      <c r="C282"/>
      <c r="D282"/>
      <c r="E282"/>
      <c r="F282"/>
      <c r="G282"/>
      <c r="H282"/>
      <c r="I282"/>
      <c r="J282"/>
      <c r="K282"/>
      <c r="L282"/>
      <c r="M282" s="16"/>
      <c r="N282"/>
      <c r="O282"/>
      <c r="P282"/>
    </row>
    <row r="283" spans="1:16" ht="15" x14ac:dyDescent="0.2">
      <c r="A283"/>
      <c r="B283"/>
      <c r="C283"/>
      <c r="D283"/>
      <c r="E283"/>
      <c r="F283"/>
      <c r="G283"/>
      <c r="H283"/>
      <c r="I283"/>
      <c r="J283"/>
      <c r="K283"/>
      <c r="L283"/>
      <c r="M283" s="16"/>
      <c r="N283"/>
      <c r="O283"/>
      <c r="P283"/>
    </row>
    <row r="284" spans="1:16" ht="15" x14ac:dyDescent="0.2">
      <c r="A284"/>
      <c r="B284"/>
      <c r="C284"/>
      <c r="D284"/>
      <c r="E284"/>
      <c r="F284"/>
      <c r="G284"/>
      <c r="H284"/>
      <c r="I284"/>
      <c r="J284"/>
      <c r="K284"/>
      <c r="L284"/>
      <c r="M284" s="16"/>
      <c r="N284"/>
      <c r="O284"/>
      <c r="P284"/>
    </row>
    <row r="285" spans="1:16" ht="15" x14ac:dyDescent="0.2">
      <c r="A285"/>
      <c r="B285"/>
      <c r="C285"/>
      <c r="D285"/>
      <c r="E285"/>
      <c r="F285"/>
      <c r="G285"/>
      <c r="H285"/>
      <c r="I285"/>
      <c r="J285"/>
      <c r="K285"/>
      <c r="L285"/>
      <c r="M285" s="16"/>
      <c r="N285"/>
      <c r="O285"/>
      <c r="P285"/>
    </row>
    <row r="286" spans="1:16" ht="15" x14ac:dyDescent="0.2">
      <c r="A286"/>
      <c r="B286"/>
      <c r="C286"/>
      <c r="D286"/>
      <c r="E286"/>
      <c r="F286"/>
      <c r="G286"/>
      <c r="H286"/>
      <c r="I286"/>
      <c r="J286"/>
      <c r="K286"/>
      <c r="L286"/>
      <c r="M286" s="16"/>
      <c r="N286"/>
      <c r="O286"/>
      <c r="P286"/>
    </row>
    <row r="287" spans="1:16" ht="15" x14ac:dyDescent="0.2">
      <c r="A287"/>
      <c r="B287"/>
      <c r="C287"/>
      <c r="D287"/>
      <c r="E287"/>
      <c r="F287"/>
      <c r="G287"/>
      <c r="H287"/>
      <c r="I287"/>
      <c r="J287"/>
      <c r="K287"/>
      <c r="L287"/>
      <c r="M287" s="16"/>
      <c r="N287"/>
      <c r="O287"/>
      <c r="P287"/>
    </row>
    <row r="288" spans="1:16" ht="15" x14ac:dyDescent="0.2">
      <c r="A288"/>
      <c r="B288"/>
      <c r="C288"/>
      <c r="D288"/>
      <c r="E288"/>
      <c r="F288"/>
      <c r="G288"/>
      <c r="H288"/>
      <c r="I288"/>
      <c r="J288"/>
      <c r="K288"/>
      <c r="L288"/>
      <c r="M288" s="16"/>
      <c r="N288"/>
      <c r="O288"/>
      <c r="P288"/>
    </row>
    <row r="289" spans="1:16" ht="15" x14ac:dyDescent="0.2">
      <c r="A289"/>
      <c r="B289"/>
      <c r="C289"/>
      <c r="D289"/>
      <c r="E289"/>
      <c r="F289"/>
      <c r="G289"/>
      <c r="H289"/>
      <c r="I289"/>
      <c r="J289"/>
      <c r="K289"/>
      <c r="L289"/>
      <c r="M289" s="16"/>
      <c r="N289"/>
      <c r="O289"/>
      <c r="P289"/>
    </row>
    <row r="290" spans="1:16" ht="15" x14ac:dyDescent="0.2">
      <c r="A290"/>
      <c r="B290"/>
      <c r="C290"/>
      <c r="D290"/>
      <c r="E290"/>
      <c r="F290"/>
      <c r="G290"/>
      <c r="H290"/>
      <c r="I290"/>
      <c r="J290"/>
      <c r="K290"/>
      <c r="L290"/>
      <c r="M290" s="16"/>
      <c r="N290"/>
      <c r="O290"/>
      <c r="P290"/>
    </row>
    <row r="291" spans="1:16" ht="15" x14ac:dyDescent="0.2">
      <c r="A291"/>
      <c r="B291"/>
      <c r="C291"/>
      <c r="D291"/>
      <c r="E291"/>
      <c r="F291"/>
      <c r="G291"/>
      <c r="H291"/>
      <c r="I291"/>
      <c r="J291"/>
      <c r="K291"/>
      <c r="L291"/>
      <c r="M291" s="16"/>
      <c r="N291"/>
      <c r="O291"/>
      <c r="P291"/>
    </row>
    <row r="292" spans="1:16" ht="15" x14ac:dyDescent="0.2">
      <c r="A292"/>
      <c r="B292"/>
      <c r="C292"/>
      <c r="D292"/>
      <c r="E292"/>
      <c r="F292"/>
      <c r="G292"/>
      <c r="H292"/>
      <c r="I292"/>
      <c r="J292"/>
      <c r="K292"/>
      <c r="L292"/>
      <c r="M292" s="16"/>
      <c r="N292"/>
      <c r="O292"/>
      <c r="P292"/>
    </row>
    <row r="293" spans="1:16" ht="15" x14ac:dyDescent="0.2">
      <c r="A293"/>
      <c r="B293"/>
      <c r="C293"/>
      <c r="D293"/>
      <c r="E293"/>
      <c r="F293"/>
      <c r="G293"/>
      <c r="H293"/>
      <c r="I293"/>
      <c r="J293"/>
      <c r="K293"/>
      <c r="L293"/>
      <c r="M293" s="16"/>
      <c r="N293"/>
      <c r="O293"/>
      <c r="P293"/>
    </row>
    <row r="294" spans="1:16" ht="15" x14ac:dyDescent="0.2">
      <c r="A294"/>
      <c r="B294"/>
      <c r="C294"/>
      <c r="D294"/>
      <c r="E294"/>
      <c r="F294"/>
      <c r="G294"/>
      <c r="H294"/>
      <c r="I294"/>
      <c r="J294"/>
      <c r="K294"/>
      <c r="L294"/>
      <c r="M294" s="16"/>
      <c r="N294"/>
      <c r="O294"/>
      <c r="P294"/>
    </row>
    <row r="295" spans="1:16" ht="15" x14ac:dyDescent="0.2">
      <c r="A295"/>
      <c r="B295"/>
      <c r="C295"/>
      <c r="D295"/>
      <c r="E295"/>
      <c r="F295"/>
      <c r="G295"/>
      <c r="H295"/>
      <c r="I295"/>
      <c r="J295"/>
      <c r="K295"/>
      <c r="L295"/>
      <c r="M295" s="16"/>
      <c r="N295"/>
      <c r="O295"/>
      <c r="P295"/>
    </row>
    <row r="296" spans="1:16" ht="15" x14ac:dyDescent="0.2">
      <c r="A296"/>
      <c r="B296"/>
      <c r="C296"/>
      <c r="D296"/>
      <c r="E296"/>
      <c r="F296"/>
      <c r="G296"/>
      <c r="H296"/>
      <c r="I296"/>
      <c r="J296"/>
      <c r="K296"/>
      <c r="L296"/>
      <c r="M296" s="16"/>
      <c r="N296"/>
      <c r="O296"/>
      <c r="P296"/>
    </row>
    <row r="297" spans="1:16" ht="15" x14ac:dyDescent="0.2">
      <c r="A297"/>
      <c r="B297"/>
      <c r="C297"/>
      <c r="D297"/>
      <c r="E297"/>
      <c r="F297"/>
      <c r="G297"/>
      <c r="H297"/>
      <c r="I297"/>
      <c r="J297"/>
      <c r="K297"/>
      <c r="L297"/>
      <c r="M297" s="16"/>
      <c r="N297"/>
      <c r="O297"/>
      <c r="P297"/>
    </row>
    <row r="298" spans="1:16" ht="15" x14ac:dyDescent="0.2">
      <c r="A298"/>
      <c r="B298"/>
      <c r="C298"/>
      <c r="D298"/>
      <c r="E298"/>
      <c r="F298"/>
      <c r="G298"/>
      <c r="H298"/>
      <c r="I298"/>
      <c r="J298"/>
      <c r="K298"/>
      <c r="L298"/>
      <c r="M298" s="16"/>
      <c r="N298"/>
      <c r="O298"/>
      <c r="P298"/>
    </row>
    <row r="299" spans="1:16" ht="15" x14ac:dyDescent="0.2">
      <c r="A299"/>
      <c r="B299"/>
      <c r="C299"/>
      <c r="D299"/>
      <c r="E299"/>
      <c r="F299"/>
      <c r="G299"/>
      <c r="H299"/>
      <c r="I299"/>
      <c r="J299"/>
      <c r="K299"/>
      <c r="L299"/>
      <c r="M299" s="16"/>
      <c r="N299"/>
      <c r="O299"/>
      <c r="P299"/>
    </row>
    <row r="300" spans="1:16" ht="15" x14ac:dyDescent="0.2">
      <c r="A300"/>
      <c r="B300"/>
      <c r="C300"/>
      <c r="D300"/>
      <c r="E300"/>
      <c r="F300"/>
      <c r="G300"/>
      <c r="H300"/>
      <c r="I300"/>
      <c r="J300"/>
      <c r="K300"/>
      <c r="L300"/>
      <c r="M300" s="16"/>
      <c r="N300"/>
      <c r="O300"/>
      <c r="P300"/>
    </row>
    <row r="301" spans="1:16" ht="15" x14ac:dyDescent="0.2">
      <c r="A301"/>
      <c r="B301"/>
      <c r="C301"/>
      <c r="D301"/>
      <c r="E301"/>
      <c r="F301"/>
      <c r="G301"/>
      <c r="H301"/>
      <c r="I301"/>
      <c r="J301"/>
      <c r="K301"/>
      <c r="L301"/>
      <c r="M301" s="16"/>
      <c r="N301"/>
      <c r="O301"/>
      <c r="P301"/>
    </row>
    <row r="302" spans="1:16" ht="15" x14ac:dyDescent="0.2">
      <c r="A302"/>
      <c r="B302"/>
      <c r="C302"/>
      <c r="D302"/>
      <c r="E302"/>
      <c r="F302"/>
      <c r="G302"/>
      <c r="H302"/>
      <c r="I302"/>
      <c r="J302"/>
      <c r="K302"/>
      <c r="L302"/>
      <c r="M302" s="16"/>
      <c r="N302"/>
      <c r="O302"/>
      <c r="P302"/>
    </row>
    <row r="303" spans="1:16" ht="15" x14ac:dyDescent="0.2">
      <c r="A303"/>
      <c r="B303"/>
      <c r="C303"/>
      <c r="D303"/>
      <c r="E303"/>
      <c r="F303"/>
      <c r="G303"/>
      <c r="H303"/>
      <c r="I303"/>
      <c r="J303"/>
      <c r="K303"/>
      <c r="L303"/>
      <c r="M303" s="16"/>
      <c r="N303"/>
      <c r="O303"/>
      <c r="P303"/>
    </row>
    <row r="304" spans="1:16" ht="15" x14ac:dyDescent="0.2">
      <c r="A304"/>
      <c r="B304"/>
      <c r="C304"/>
      <c r="D304"/>
      <c r="E304"/>
      <c r="F304"/>
      <c r="G304"/>
      <c r="H304"/>
      <c r="I304"/>
      <c r="J304"/>
      <c r="K304"/>
      <c r="L304"/>
      <c r="M304" s="16"/>
      <c r="N304"/>
      <c r="O304"/>
      <c r="P304"/>
    </row>
    <row r="305" spans="1:16" ht="15" x14ac:dyDescent="0.2">
      <c r="A305"/>
      <c r="B305"/>
      <c r="C305"/>
      <c r="D305"/>
      <c r="E305"/>
      <c r="F305"/>
      <c r="G305"/>
      <c r="H305"/>
      <c r="I305"/>
      <c r="J305"/>
      <c r="K305"/>
      <c r="L305"/>
      <c r="M305" s="16"/>
      <c r="N305"/>
      <c r="O305"/>
      <c r="P305"/>
    </row>
    <row r="306" spans="1:16" ht="15" x14ac:dyDescent="0.2">
      <c r="A306"/>
      <c r="B306"/>
      <c r="C306"/>
      <c r="D306"/>
      <c r="E306"/>
      <c r="F306"/>
      <c r="G306"/>
      <c r="H306"/>
      <c r="I306"/>
      <c r="J306"/>
      <c r="K306"/>
      <c r="L306"/>
      <c r="M306" s="16"/>
      <c r="N306"/>
      <c r="O306"/>
      <c r="P306"/>
    </row>
    <row r="307" spans="1:16" ht="15" x14ac:dyDescent="0.2">
      <c r="A307"/>
      <c r="B307"/>
      <c r="C307"/>
      <c r="D307"/>
      <c r="E307"/>
      <c r="F307"/>
      <c r="G307"/>
      <c r="H307"/>
      <c r="I307"/>
      <c r="J307"/>
      <c r="K307"/>
      <c r="L307"/>
      <c r="M307" s="16"/>
      <c r="N307"/>
      <c r="O307"/>
      <c r="P307"/>
    </row>
    <row r="308" spans="1:16" ht="15" x14ac:dyDescent="0.2">
      <c r="A308"/>
      <c r="B308"/>
      <c r="C308"/>
      <c r="D308"/>
      <c r="E308"/>
      <c r="F308"/>
      <c r="G308"/>
      <c r="H308"/>
      <c r="I308"/>
      <c r="J308"/>
      <c r="K308"/>
      <c r="L308"/>
      <c r="M308" s="16"/>
      <c r="N308"/>
      <c r="O308"/>
      <c r="P308"/>
    </row>
    <row r="309" spans="1:16" ht="15" x14ac:dyDescent="0.2">
      <c r="A309"/>
      <c r="B309"/>
      <c r="C309"/>
      <c r="D309"/>
      <c r="E309"/>
      <c r="F309"/>
      <c r="G309"/>
      <c r="H309"/>
      <c r="I309"/>
      <c r="J309"/>
      <c r="K309"/>
      <c r="L309"/>
      <c r="M309" s="16"/>
      <c r="N309"/>
      <c r="O309"/>
      <c r="P309"/>
    </row>
    <row r="310" spans="1:16" ht="15" x14ac:dyDescent="0.2">
      <c r="A310"/>
      <c r="B310"/>
      <c r="C310"/>
      <c r="D310"/>
      <c r="E310"/>
      <c r="F310"/>
      <c r="G310"/>
      <c r="H310"/>
      <c r="I310"/>
      <c r="J310"/>
      <c r="K310"/>
      <c r="L310"/>
      <c r="M310" s="16"/>
      <c r="N310"/>
      <c r="O310"/>
      <c r="P310"/>
    </row>
    <row r="311" spans="1:16" ht="15" x14ac:dyDescent="0.2">
      <c r="A311"/>
      <c r="B311"/>
      <c r="C311"/>
      <c r="D311"/>
      <c r="E311"/>
      <c r="F311"/>
      <c r="G311"/>
      <c r="H311"/>
      <c r="I311"/>
      <c r="J311"/>
      <c r="K311"/>
      <c r="L311"/>
      <c r="M311" s="16"/>
      <c r="N311"/>
      <c r="O311"/>
      <c r="P311"/>
    </row>
    <row r="312" spans="1:16" ht="15" x14ac:dyDescent="0.2">
      <c r="A312"/>
      <c r="B312"/>
      <c r="C312"/>
      <c r="D312"/>
      <c r="E312"/>
      <c r="F312"/>
      <c r="G312"/>
      <c r="H312"/>
      <c r="I312"/>
      <c r="J312"/>
      <c r="K312"/>
      <c r="L312"/>
      <c r="M312" s="16"/>
      <c r="N312"/>
      <c r="O312"/>
      <c r="P312"/>
    </row>
    <row r="313" spans="1:16" ht="15" x14ac:dyDescent="0.2">
      <c r="A313"/>
      <c r="B313"/>
      <c r="C313"/>
      <c r="D313"/>
      <c r="E313"/>
      <c r="F313"/>
      <c r="G313"/>
      <c r="H313"/>
      <c r="I313"/>
      <c r="J313"/>
      <c r="K313"/>
      <c r="L313"/>
      <c r="M313" s="16"/>
      <c r="N313"/>
      <c r="O313"/>
      <c r="P313"/>
    </row>
    <row r="314" spans="1:16" ht="15" x14ac:dyDescent="0.2">
      <c r="A314"/>
      <c r="B314"/>
      <c r="C314"/>
      <c r="D314"/>
      <c r="E314"/>
      <c r="F314"/>
      <c r="G314"/>
      <c r="H314"/>
      <c r="I314"/>
      <c r="J314"/>
      <c r="K314"/>
      <c r="L314"/>
      <c r="M314" s="16"/>
      <c r="N314"/>
      <c r="O314"/>
      <c r="P314"/>
    </row>
    <row r="315" spans="1:16" ht="15" x14ac:dyDescent="0.2">
      <c r="A315"/>
      <c r="B315"/>
      <c r="C315"/>
      <c r="D315"/>
      <c r="E315"/>
      <c r="F315"/>
      <c r="G315"/>
      <c r="H315"/>
      <c r="I315"/>
      <c r="J315"/>
      <c r="K315"/>
      <c r="L315"/>
      <c r="M315" s="16"/>
      <c r="N315"/>
      <c r="O315"/>
      <c r="P315"/>
    </row>
    <row r="316" spans="1:16" ht="15" x14ac:dyDescent="0.2">
      <c r="A316"/>
      <c r="B316"/>
      <c r="C316"/>
      <c r="D316"/>
      <c r="E316"/>
      <c r="F316"/>
      <c r="G316"/>
      <c r="H316"/>
      <c r="I316"/>
      <c r="J316"/>
      <c r="K316"/>
      <c r="L316"/>
      <c r="M316" s="16"/>
      <c r="N316"/>
      <c r="O316"/>
      <c r="P316"/>
    </row>
    <row r="317" spans="1:16" ht="15" x14ac:dyDescent="0.2">
      <c r="A317"/>
      <c r="B317"/>
      <c r="C317"/>
      <c r="D317"/>
      <c r="E317"/>
      <c r="F317"/>
      <c r="G317"/>
      <c r="H317"/>
      <c r="I317"/>
      <c r="J317"/>
      <c r="K317"/>
      <c r="L317"/>
      <c r="M317" s="16"/>
      <c r="N317"/>
      <c r="O317"/>
      <c r="P317"/>
    </row>
    <row r="318" spans="1:16" ht="15" x14ac:dyDescent="0.2">
      <c r="A318"/>
      <c r="B318"/>
      <c r="C318"/>
      <c r="D318"/>
      <c r="E318"/>
      <c r="F318"/>
      <c r="G318"/>
      <c r="H318"/>
      <c r="I318"/>
      <c r="J318"/>
      <c r="K318"/>
      <c r="L318"/>
      <c r="M318" s="16"/>
      <c r="N318"/>
      <c r="O318"/>
      <c r="P318"/>
    </row>
    <row r="319" spans="1:16" ht="15" x14ac:dyDescent="0.2">
      <c r="A319"/>
      <c r="B319"/>
      <c r="C319"/>
      <c r="D319"/>
      <c r="E319"/>
      <c r="F319"/>
      <c r="G319"/>
      <c r="H319"/>
      <c r="I319"/>
      <c r="J319"/>
      <c r="K319"/>
      <c r="L319"/>
      <c r="M319" s="16"/>
      <c r="N319"/>
      <c r="O319"/>
      <c r="P319"/>
    </row>
    <row r="320" spans="1:16" ht="15" x14ac:dyDescent="0.2">
      <c r="A320"/>
      <c r="B320"/>
      <c r="C320"/>
      <c r="D320"/>
      <c r="E320"/>
      <c r="F320"/>
      <c r="G320"/>
      <c r="H320"/>
      <c r="I320"/>
      <c r="J320"/>
      <c r="K320"/>
      <c r="L320"/>
      <c r="M320" s="16"/>
      <c r="N320"/>
      <c r="O320"/>
      <c r="P320"/>
    </row>
    <row r="321" spans="1:16" ht="15" x14ac:dyDescent="0.2">
      <c r="A321"/>
      <c r="B321"/>
      <c r="C321"/>
      <c r="D321"/>
      <c r="E321"/>
      <c r="F321"/>
      <c r="G321"/>
      <c r="H321"/>
      <c r="I321"/>
      <c r="J321"/>
      <c r="K321"/>
      <c r="L321"/>
      <c r="M321" s="16"/>
      <c r="N321"/>
      <c r="O321"/>
      <c r="P321"/>
    </row>
    <row r="322" spans="1:16" ht="15" x14ac:dyDescent="0.2">
      <c r="A322"/>
      <c r="B322"/>
      <c r="C322"/>
      <c r="D322"/>
      <c r="E322"/>
      <c r="F322"/>
      <c r="G322"/>
      <c r="H322"/>
      <c r="I322"/>
      <c r="J322"/>
      <c r="K322"/>
      <c r="L322"/>
      <c r="M322" s="16"/>
      <c r="N322"/>
      <c r="O322"/>
      <c r="P322"/>
    </row>
    <row r="323" spans="1:16" ht="15" x14ac:dyDescent="0.2">
      <c r="A323"/>
      <c r="B323"/>
      <c r="C323"/>
      <c r="D323"/>
      <c r="E323"/>
      <c r="F323"/>
      <c r="G323"/>
      <c r="H323"/>
      <c r="I323"/>
      <c r="J323"/>
      <c r="K323"/>
      <c r="L323"/>
      <c r="M323" s="16"/>
      <c r="N323"/>
      <c r="O323"/>
      <c r="P323"/>
    </row>
    <row r="324" spans="1:16" ht="15" x14ac:dyDescent="0.2">
      <c r="A324"/>
      <c r="B324"/>
      <c r="C324"/>
      <c r="D324"/>
      <c r="E324"/>
      <c r="F324"/>
      <c r="G324"/>
      <c r="H324"/>
      <c r="I324"/>
      <c r="J324"/>
      <c r="K324"/>
      <c r="L324"/>
      <c r="M324" s="16"/>
      <c r="N324"/>
      <c r="O324"/>
      <c r="P324"/>
    </row>
    <row r="325" spans="1:16" ht="15" x14ac:dyDescent="0.2">
      <c r="A325"/>
      <c r="B325"/>
      <c r="C325"/>
      <c r="D325"/>
      <c r="E325"/>
      <c r="F325"/>
      <c r="G325"/>
      <c r="H325"/>
      <c r="I325"/>
      <c r="J325"/>
      <c r="K325"/>
      <c r="L325"/>
      <c r="M325" s="16"/>
      <c r="N325"/>
      <c r="O325"/>
      <c r="P325"/>
    </row>
    <row r="326" spans="1:16" ht="15" x14ac:dyDescent="0.2">
      <c r="A326"/>
      <c r="B326"/>
      <c r="C326"/>
      <c r="D326"/>
      <c r="E326"/>
      <c r="F326"/>
      <c r="G326"/>
      <c r="H326"/>
      <c r="I326"/>
      <c r="J326"/>
      <c r="K326"/>
      <c r="L326"/>
      <c r="M326" s="16"/>
      <c r="N326"/>
      <c r="O326"/>
      <c r="P326"/>
    </row>
    <row r="327" spans="1:16" ht="15" x14ac:dyDescent="0.2">
      <c r="A327"/>
      <c r="B327"/>
      <c r="C327"/>
      <c r="D327"/>
      <c r="E327"/>
      <c r="F327"/>
      <c r="G327"/>
      <c r="H327"/>
      <c r="I327"/>
      <c r="J327"/>
      <c r="K327"/>
      <c r="L327"/>
      <c r="M327" s="16"/>
      <c r="N327"/>
      <c r="O327"/>
      <c r="P327"/>
    </row>
    <row r="328" spans="1:16" ht="15" x14ac:dyDescent="0.2">
      <c r="A328"/>
      <c r="B328"/>
      <c r="C328"/>
      <c r="D328"/>
      <c r="E328"/>
      <c r="F328"/>
      <c r="G328"/>
      <c r="H328"/>
      <c r="I328"/>
      <c r="J328"/>
      <c r="K328"/>
      <c r="L328"/>
      <c r="M328" s="16"/>
      <c r="N328"/>
      <c r="O328"/>
      <c r="P328"/>
    </row>
    <row r="329" spans="1:16" ht="15" x14ac:dyDescent="0.2">
      <c r="A329"/>
      <c r="B329"/>
      <c r="C329"/>
      <c r="D329"/>
      <c r="E329"/>
      <c r="F329"/>
      <c r="G329"/>
      <c r="H329"/>
      <c r="I329"/>
      <c r="J329"/>
      <c r="K329"/>
      <c r="L329"/>
      <c r="M329" s="16"/>
      <c r="N329"/>
      <c r="O329"/>
      <c r="P329"/>
    </row>
    <row r="330" spans="1:16" ht="15" x14ac:dyDescent="0.2">
      <c r="A330"/>
      <c r="B330"/>
      <c r="C330"/>
      <c r="D330"/>
      <c r="E330"/>
      <c r="F330"/>
      <c r="G330"/>
      <c r="H330"/>
      <c r="I330"/>
      <c r="J330"/>
      <c r="K330"/>
      <c r="L330"/>
      <c r="M330" s="16"/>
      <c r="N330"/>
      <c r="O330"/>
      <c r="P330"/>
    </row>
    <row r="331" spans="1:16" ht="15" x14ac:dyDescent="0.2">
      <c r="A331"/>
      <c r="B331"/>
      <c r="C331"/>
      <c r="D331"/>
      <c r="E331"/>
      <c r="F331"/>
      <c r="G331"/>
      <c r="H331"/>
      <c r="I331"/>
      <c r="J331"/>
      <c r="K331"/>
      <c r="L331"/>
      <c r="M331" s="16"/>
      <c r="N331"/>
      <c r="O331"/>
      <c r="P331"/>
    </row>
    <row r="332" spans="1:16" ht="15" x14ac:dyDescent="0.2">
      <c r="A332"/>
      <c r="B332"/>
      <c r="C332"/>
      <c r="D332"/>
      <c r="E332"/>
      <c r="F332"/>
      <c r="G332"/>
      <c r="H332"/>
      <c r="I332"/>
      <c r="J332"/>
      <c r="K332"/>
      <c r="L332"/>
      <c r="M332" s="16"/>
      <c r="N332"/>
      <c r="O332"/>
      <c r="P332"/>
    </row>
    <row r="333" spans="1:16" ht="15" x14ac:dyDescent="0.2">
      <c r="A333"/>
      <c r="B333"/>
      <c r="C333"/>
      <c r="D333"/>
      <c r="E333"/>
      <c r="F333"/>
      <c r="G333"/>
      <c r="H333"/>
      <c r="I333"/>
      <c r="J333"/>
      <c r="K333"/>
      <c r="L333"/>
      <c r="M333" s="16"/>
      <c r="N333"/>
      <c r="O333"/>
      <c r="P333"/>
    </row>
    <row r="334" spans="1:16" ht="15" x14ac:dyDescent="0.2">
      <c r="A334"/>
      <c r="B334"/>
      <c r="C334"/>
      <c r="D334"/>
      <c r="E334"/>
      <c r="F334"/>
      <c r="G334"/>
      <c r="H334"/>
      <c r="I334"/>
      <c r="J334"/>
      <c r="K334"/>
      <c r="L334"/>
      <c r="M334" s="16"/>
      <c r="N334"/>
      <c r="O334"/>
      <c r="P334"/>
    </row>
    <row r="335" spans="1:16" ht="15" x14ac:dyDescent="0.2">
      <c r="A335"/>
      <c r="B335"/>
      <c r="C335"/>
      <c r="D335"/>
      <c r="E335"/>
      <c r="F335"/>
      <c r="G335"/>
      <c r="H335"/>
      <c r="I335"/>
      <c r="J335"/>
      <c r="K335"/>
      <c r="L335"/>
      <c r="M335" s="16"/>
      <c r="N335"/>
      <c r="O335"/>
      <c r="P335"/>
    </row>
    <row r="336" spans="1:16" ht="15" x14ac:dyDescent="0.2">
      <c r="A336"/>
      <c r="B336"/>
      <c r="C336"/>
      <c r="D336"/>
      <c r="E336"/>
      <c r="F336"/>
      <c r="G336"/>
      <c r="H336"/>
      <c r="I336"/>
      <c r="J336"/>
      <c r="K336"/>
      <c r="L336"/>
      <c r="M336" s="16"/>
      <c r="N336"/>
      <c r="O336"/>
      <c r="P336"/>
    </row>
    <row r="337" spans="1:16" ht="15" x14ac:dyDescent="0.2">
      <c r="A337"/>
      <c r="B337"/>
      <c r="C337"/>
      <c r="D337"/>
      <c r="E337"/>
      <c r="F337"/>
      <c r="G337"/>
      <c r="H337"/>
      <c r="I337"/>
      <c r="J337"/>
      <c r="K337"/>
      <c r="L337"/>
      <c r="M337" s="16"/>
      <c r="N337"/>
      <c r="O337"/>
      <c r="P337"/>
    </row>
    <row r="338" spans="1:16" ht="15" x14ac:dyDescent="0.2">
      <c r="A338"/>
      <c r="B338"/>
      <c r="C338"/>
      <c r="D338"/>
      <c r="E338"/>
      <c r="F338"/>
      <c r="G338"/>
      <c r="H338"/>
      <c r="I338"/>
      <c r="J338"/>
      <c r="K338"/>
      <c r="L338"/>
      <c r="M338" s="16"/>
      <c r="N338"/>
      <c r="O338"/>
      <c r="P338"/>
    </row>
    <row r="339" spans="1:16" ht="15" x14ac:dyDescent="0.2">
      <c r="A339"/>
      <c r="B339"/>
      <c r="C339"/>
      <c r="D339"/>
      <c r="E339"/>
      <c r="F339"/>
      <c r="G339"/>
      <c r="H339"/>
      <c r="I339"/>
      <c r="J339"/>
      <c r="K339"/>
      <c r="L339"/>
      <c r="M339" s="16"/>
      <c r="N339"/>
      <c r="O339"/>
      <c r="P339"/>
    </row>
    <row r="340" spans="1:16" ht="15" x14ac:dyDescent="0.2">
      <c r="A340"/>
      <c r="B340"/>
      <c r="C340"/>
      <c r="D340"/>
      <c r="E340"/>
      <c r="F340"/>
      <c r="G340"/>
      <c r="H340"/>
      <c r="I340"/>
      <c r="J340"/>
      <c r="K340"/>
      <c r="L340"/>
      <c r="M340" s="16"/>
      <c r="N340"/>
      <c r="O340"/>
      <c r="P340"/>
    </row>
    <row r="341" spans="1:16" ht="15" x14ac:dyDescent="0.2">
      <c r="A341"/>
      <c r="B341"/>
      <c r="C341"/>
      <c r="D341"/>
      <c r="E341"/>
      <c r="F341"/>
      <c r="G341"/>
      <c r="H341"/>
      <c r="I341"/>
      <c r="J341"/>
      <c r="K341"/>
      <c r="L341"/>
      <c r="M341" s="16"/>
      <c r="N341"/>
      <c r="O341"/>
      <c r="P341"/>
    </row>
    <row r="342" spans="1:16" ht="15" x14ac:dyDescent="0.2">
      <c r="A342"/>
      <c r="B342"/>
      <c r="C342"/>
      <c r="D342"/>
      <c r="E342"/>
      <c r="F342"/>
      <c r="G342"/>
      <c r="H342"/>
      <c r="I342"/>
      <c r="J342"/>
      <c r="K342"/>
      <c r="L342"/>
      <c r="M342" s="16"/>
      <c r="N342"/>
      <c r="O342"/>
      <c r="P342"/>
    </row>
    <row r="343" spans="1:16" ht="15" x14ac:dyDescent="0.2">
      <c r="A343"/>
      <c r="B343"/>
      <c r="C343"/>
      <c r="D343"/>
      <c r="E343"/>
      <c r="F343"/>
      <c r="G343"/>
      <c r="H343"/>
      <c r="I343"/>
      <c r="J343"/>
      <c r="K343"/>
      <c r="L343"/>
      <c r="M343" s="16"/>
      <c r="N343"/>
      <c r="O343"/>
      <c r="P343"/>
    </row>
    <row r="344" spans="1:16" ht="15" x14ac:dyDescent="0.2">
      <c r="A344"/>
      <c r="B344"/>
      <c r="C344"/>
      <c r="D344"/>
      <c r="E344"/>
      <c r="F344"/>
      <c r="G344"/>
      <c r="H344"/>
      <c r="I344"/>
      <c r="J344"/>
      <c r="K344"/>
      <c r="L344"/>
      <c r="M344" s="16"/>
      <c r="N344"/>
      <c r="O344"/>
      <c r="P344"/>
    </row>
    <row r="345" spans="1:16" ht="15" x14ac:dyDescent="0.2">
      <c r="A345"/>
      <c r="B345"/>
      <c r="C345"/>
      <c r="D345"/>
      <c r="E345"/>
      <c r="F345"/>
      <c r="G345"/>
      <c r="H345"/>
      <c r="I345"/>
      <c r="J345"/>
      <c r="K345"/>
      <c r="L345"/>
      <c r="M345" s="16"/>
      <c r="N345"/>
      <c r="O345"/>
      <c r="P345"/>
    </row>
    <row r="346" spans="1:16" ht="15" x14ac:dyDescent="0.2">
      <c r="A346"/>
      <c r="B346"/>
      <c r="C346"/>
      <c r="D346"/>
      <c r="E346"/>
      <c r="F346"/>
      <c r="G346"/>
      <c r="H346"/>
      <c r="I346"/>
      <c r="J346"/>
      <c r="K346"/>
      <c r="L346"/>
      <c r="M346" s="16"/>
      <c r="N346"/>
      <c r="O346"/>
      <c r="P346"/>
    </row>
    <row r="347" spans="1:16" ht="15" x14ac:dyDescent="0.2">
      <c r="A347"/>
      <c r="B347"/>
      <c r="C347"/>
      <c r="D347"/>
      <c r="E347"/>
      <c r="F347"/>
      <c r="G347"/>
      <c r="H347"/>
      <c r="I347"/>
      <c r="J347"/>
      <c r="K347"/>
      <c r="L347"/>
      <c r="M347" s="16"/>
      <c r="N347"/>
      <c r="O347"/>
      <c r="P347"/>
    </row>
    <row r="348" spans="1:16" ht="15" x14ac:dyDescent="0.2">
      <c r="A348"/>
      <c r="B348"/>
      <c r="C348"/>
      <c r="D348"/>
      <c r="E348"/>
      <c r="F348"/>
      <c r="G348"/>
      <c r="H348"/>
      <c r="I348"/>
      <c r="J348"/>
      <c r="K348"/>
      <c r="L348"/>
      <c r="M348" s="16"/>
      <c r="N348"/>
      <c r="O348"/>
      <c r="P348"/>
    </row>
    <row r="349" spans="1:16" ht="15" x14ac:dyDescent="0.2">
      <c r="A349"/>
      <c r="B349"/>
      <c r="C349"/>
      <c r="D349"/>
      <c r="E349"/>
      <c r="F349"/>
      <c r="G349"/>
      <c r="H349"/>
      <c r="I349"/>
      <c r="J349"/>
      <c r="K349"/>
      <c r="L349"/>
      <c r="M349" s="16"/>
      <c r="N349"/>
      <c r="O349"/>
      <c r="P349"/>
    </row>
    <row r="350" spans="1:16" ht="15" x14ac:dyDescent="0.2">
      <c r="A350"/>
      <c r="B350"/>
      <c r="C350"/>
      <c r="D350"/>
      <c r="E350"/>
      <c r="F350"/>
      <c r="G350"/>
      <c r="H350"/>
      <c r="I350"/>
      <c r="J350"/>
      <c r="K350"/>
      <c r="L350"/>
      <c r="M350" s="16"/>
      <c r="N350"/>
      <c r="O350"/>
      <c r="P350"/>
    </row>
    <row r="351" spans="1:16" ht="15" x14ac:dyDescent="0.2">
      <c r="A351"/>
      <c r="B351"/>
      <c r="C351"/>
      <c r="D351"/>
      <c r="E351"/>
      <c r="F351"/>
      <c r="G351"/>
      <c r="H351"/>
      <c r="I351"/>
      <c r="J351"/>
      <c r="K351"/>
      <c r="L351"/>
      <c r="M351" s="16"/>
      <c r="N351"/>
      <c r="O351"/>
      <c r="P351"/>
    </row>
    <row r="352" spans="1:16" ht="15" x14ac:dyDescent="0.2">
      <c r="A352"/>
      <c r="B352"/>
      <c r="C352"/>
      <c r="D352"/>
      <c r="E352"/>
      <c r="F352"/>
      <c r="G352"/>
      <c r="H352"/>
      <c r="I352"/>
      <c r="J352"/>
      <c r="K352"/>
      <c r="L352"/>
      <c r="M352" s="16"/>
      <c r="N352"/>
      <c r="O352"/>
      <c r="P352"/>
    </row>
    <row r="353" spans="1:16" ht="15" x14ac:dyDescent="0.2">
      <c r="A353"/>
      <c r="B353"/>
      <c r="C353"/>
      <c r="D353"/>
      <c r="E353"/>
      <c r="F353"/>
      <c r="G353"/>
      <c r="H353"/>
      <c r="I353"/>
      <c r="J353"/>
      <c r="K353"/>
      <c r="L353"/>
      <c r="M353" s="16"/>
      <c r="N353"/>
      <c r="O353"/>
      <c r="P353"/>
    </row>
    <row r="354" spans="1:16" ht="15" x14ac:dyDescent="0.2">
      <c r="A354"/>
      <c r="B354"/>
      <c r="C354"/>
      <c r="D354"/>
      <c r="E354"/>
      <c r="F354"/>
      <c r="G354"/>
      <c r="H354"/>
      <c r="I354"/>
      <c r="J354"/>
      <c r="K354"/>
      <c r="L354"/>
      <c r="M354" s="16"/>
      <c r="N354"/>
      <c r="O354"/>
      <c r="P354"/>
    </row>
    <row r="355" spans="1:16" ht="15" x14ac:dyDescent="0.2">
      <c r="A355"/>
      <c r="B355"/>
      <c r="C355"/>
      <c r="D355"/>
      <c r="E355"/>
      <c r="F355"/>
      <c r="G355"/>
      <c r="H355"/>
      <c r="I355"/>
      <c r="J355"/>
      <c r="K355"/>
      <c r="L355"/>
      <c r="M355" s="16"/>
      <c r="N355"/>
      <c r="O355"/>
      <c r="P355"/>
    </row>
    <row r="356" spans="1:16" ht="15" x14ac:dyDescent="0.2">
      <c r="A356"/>
      <c r="B356"/>
      <c r="C356"/>
      <c r="D356"/>
      <c r="E356"/>
      <c r="F356"/>
      <c r="G356"/>
      <c r="H356"/>
      <c r="I356"/>
      <c r="J356"/>
      <c r="K356"/>
      <c r="L356"/>
      <c r="M356" s="16"/>
      <c r="N356"/>
      <c r="O356"/>
      <c r="P356"/>
    </row>
    <row r="357" spans="1:16" ht="15" x14ac:dyDescent="0.2">
      <c r="A357"/>
      <c r="B357"/>
      <c r="C357"/>
      <c r="D357"/>
      <c r="E357"/>
      <c r="F357"/>
      <c r="G357"/>
      <c r="H357"/>
      <c r="I357"/>
      <c r="J357"/>
      <c r="K357"/>
      <c r="L357"/>
      <c r="M357" s="16"/>
      <c r="N357"/>
      <c r="O357"/>
      <c r="P357"/>
    </row>
    <row r="358" spans="1:16" ht="15" x14ac:dyDescent="0.2">
      <c r="A358"/>
      <c r="B358"/>
      <c r="C358"/>
      <c r="D358"/>
      <c r="E358"/>
      <c r="F358"/>
      <c r="G358"/>
      <c r="H358"/>
      <c r="I358"/>
      <c r="J358"/>
      <c r="K358"/>
      <c r="L358"/>
      <c r="M358" s="16"/>
      <c r="N358"/>
      <c r="O358"/>
      <c r="P358"/>
    </row>
    <row r="359" spans="1:16" ht="15" x14ac:dyDescent="0.2">
      <c r="A359"/>
      <c r="B359"/>
      <c r="C359"/>
      <c r="D359"/>
      <c r="E359"/>
      <c r="F359"/>
      <c r="G359"/>
      <c r="H359"/>
      <c r="I359"/>
      <c r="J359"/>
      <c r="K359"/>
      <c r="L359"/>
      <c r="M359" s="16"/>
      <c r="N359"/>
      <c r="O359"/>
      <c r="P359"/>
    </row>
    <row r="360" spans="1:16" ht="15" x14ac:dyDescent="0.2">
      <c r="A360"/>
      <c r="B360"/>
      <c r="C360"/>
      <c r="D360"/>
      <c r="E360"/>
      <c r="F360"/>
      <c r="G360"/>
      <c r="H360"/>
      <c r="I360"/>
      <c r="J360"/>
      <c r="K360"/>
      <c r="L360"/>
      <c r="M360" s="16"/>
      <c r="N360"/>
      <c r="O360"/>
      <c r="P360"/>
    </row>
    <row r="361" spans="1:16" ht="15" x14ac:dyDescent="0.2">
      <c r="A361"/>
      <c r="B361"/>
      <c r="C361"/>
      <c r="D361"/>
      <c r="E361"/>
      <c r="F361"/>
      <c r="G361"/>
      <c r="H361"/>
      <c r="I361"/>
      <c r="J361"/>
      <c r="K361"/>
      <c r="L361"/>
      <c r="M361" s="16"/>
      <c r="N361"/>
      <c r="O361"/>
      <c r="P361"/>
    </row>
    <row r="362" spans="1:16" ht="15" x14ac:dyDescent="0.2">
      <c r="A362"/>
      <c r="B362"/>
      <c r="C362"/>
      <c r="D362"/>
      <c r="E362"/>
      <c r="F362"/>
      <c r="G362"/>
      <c r="H362"/>
      <c r="I362"/>
      <c r="J362"/>
      <c r="K362"/>
      <c r="L362"/>
      <c r="M362" s="16"/>
      <c r="N362"/>
      <c r="O362"/>
      <c r="P362"/>
    </row>
    <row r="363" spans="1:16" ht="15" x14ac:dyDescent="0.2">
      <c r="A363"/>
      <c r="B363"/>
      <c r="C363"/>
      <c r="D363"/>
      <c r="E363"/>
      <c r="F363"/>
      <c r="G363"/>
      <c r="H363"/>
      <c r="I363"/>
      <c r="J363"/>
      <c r="K363"/>
      <c r="L363"/>
      <c r="M363" s="16"/>
      <c r="N363"/>
      <c r="O363"/>
      <c r="P363"/>
    </row>
    <row r="364" spans="1:16" ht="15" x14ac:dyDescent="0.2">
      <c r="A364"/>
      <c r="B364"/>
      <c r="C364"/>
      <c r="D364"/>
      <c r="E364"/>
      <c r="F364"/>
      <c r="G364"/>
      <c r="H364"/>
      <c r="I364"/>
      <c r="J364"/>
      <c r="K364"/>
      <c r="L364"/>
      <c r="M364" s="16"/>
      <c r="N364"/>
      <c r="O364"/>
      <c r="P364"/>
    </row>
    <row r="365" spans="1:16" ht="15" x14ac:dyDescent="0.2">
      <c r="A365"/>
      <c r="B365"/>
      <c r="C365"/>
      <c r="D365"/>
      <c r="E365"/>
      <c r="F365"/>
      <c r="G365"/>
      <c r="H365"/>
      <c r="I365"/>
      <c r="J365"/>
      <c r="K365"/>
      <c r="L365"/>
      <c r="M365" s="16"/>
      <c r="N365"/>
      <c r="O365"/>
      <c r="P365"/>
    </row>
    <row r="366" spans="1:16" ht="15" x14ac:dyDescent="0.2">
      <c r="A366"/>
      <c r="B366"/>
      <c r="C366"/>
      <c r="D366"/>
      <c r="E366"/>
      <c r="F366"/>
      <c r="G366"/>
      <c r="H366"/>
      <c r="I366"/>
      <c r="J366"/>
      <c r="K366"/>
      <c r="L366"/>
      <c r="M366" s="16"/>
      <c r="N366"/>
      <c r="O366"/>
      <c r="P366"/>
    </row>
    <row r="367" spans="1:16" ht="15" x14ac:dyDescent="0.2">
      <c r="A367"/>
      <c r="B367"/>
      <c r="C367"/>
      <c r="D367"/>
      <c r="E367"/>
      <c r="F367"/>
      <c r="G367"/>
      <c r="H367"/>
      <c r="I367"/>
      <c r="J367"/>
      <c r="K367"/>
      <c r="L367"/>
      <c r="M367" s="16"/>
      <c r="N367"/>
      <c r="O367"/>
      <c r="P367"/>
    </row>
    <row r="368" spans="1:16" ht="15" x14ac:dyDescent="0.2">
      <c r="A368"/>
      <c r="B368"/>
      <c r="C368"/>
      <c r="D368"/>
      <c r="E368"/>
      <c r="F368"/>
      <c r="G368"/>
      <c r="H368"/>
      <c r="I368"/>
      <c r="J368"/>
      <c r="K368"/>
      <c r="L368"/>
      <c r="M368" s="16"/>
      <c r="N368"/>
      <c r="O368"/>
      <c r="P368"/>
    </row>
    <row r="369" spans="1:16" ht="15" x14ac:dyDescent="0.2">
      <c r="A369"/>
      <c r="B369"/>
      <c r="C369"/>
      <c r="D369"/>
      <c r="E369"/>
      <c r="F369"/>
      <c r="G369"/>
      <c r="H369"/>
      <c r="I369"/>
      <c r="J369"/>
      <c r="K369"/>
      <c r="L369"/>
      <c r="M369" s="16"/>
      <c r="N369"/>
      <c r="O369"/>
      <c r="P369"/>
    </row>
    <row r="370" spans="1:16" ht="15" x14ac:dyDescent="0.2">
      <c r="A370"/>
      <c r="B370"/>
      <c r="C370"/>
      <c r="D370"/>
      <c r="E370"/>
      <c r="F370"/>
      <c r="G370"/>
      <c r="H370"/>
      <c r="I370"/>
      <c r="J370"/>
      <c r="K370"/>
      <c r="L370"/>
      <c r="M370" s="16"/>
      <c r="N370"/>
      <c r="O370"/>
      <c r="P370"/>
    </row>
    <row r="371" spans="1:16" ht="15" x14ac:dyDescent="0.2">
      <c r="A371"/>
      <c r="B371"/>
      <c r="C371"/>
      <c r="D371"/>
      <c r="E371"/>
      <c r="F371"/>
      <c r="G371"/>
      <c r="H371"/>
      <c r="I371"/>
      <c r="J371"/>
      <c r="K371"/>
      <c r="L371"/>
      <c r="M371" s="16"/>
      <c r="N371"/>
      <c r="O371"/>
      <c r="P371"/>
    </row>
    <row r="372" spans="1:16" ht="15" x14ac:dyDescent="0.2">
      <c r="A372"/>
      <c r="B372"/>
      <c r="C372"/>
      <c r="D372"/>
      <c r="E372"/>
      <c r="F372"/>
      <c r="G372"/>
      <c r="H372"/>
      <c r="I372"/>
      <c r="J372"/>
      <c r="K372"/>
      <c r="L372"/>
      <c r="M372" s="16"/>
      <c r="N372"/>
      <c r="O372"/>
      <c r="P372"/>
    </row>
    <row r="373" spans="1:16" ht="15" x14ac:dyDescent="0.2">
      <c r="A373"/>
      <c r="B373"/>
      <c r="C373"/>
      <c r="D373"/>
      <c r="E373"/>
      <c r="F373"/>
      <c r="G373"/>
      <c r="H373"/>
      <c r="I373"/>
      <c r="J373"/>
      <c r="K373"/>
      <c r="L373"/>
      <c r="M373" s="16"/>
      <c r="N373"/>
      <c r="O373"/>
      <c r="P373"/>
    </row>
    <row r="374" spans="1:16" ht="15" x14ac:dyDescent="0.2">
      <c r="A374"/>
      <c r="B374"/>
      <c r="C374"/>
      <c r="D374"/>
      <c r="E374"/>
      <c r="F374"/>
      <c r="G374"/>
      <c r="H374"/>
      <c r="I374"/>
      <c r="J374"/>
      <c r="K374"/>
      <c r="L374"/>
      <c r="M374" s="16"/>
      <c r="N374"/>
      <c r="O374"/>
      <c r="P374"/>
    </row>
    <row r="375" spans="1:16" ht="15" x14ac:dyDescent="0.2">
      <c r="A375"/>
      <c r="B375"/>
      <c r="C375"/>
      <c r="D375"/>
      <c r="E375"/>
      <c r="F375"/>
      <c r="G375"/>
      <c r="H375"/>
      <c r="I375"/>
      <c r="J375"/>
      <c r="K375"/>
      <c r="L375"/>
      <c r="M375" s="16"/>
      <c r="N375"/>
      <c r="O375"/>
      <c r="P375"/>
    </row>
    <row r="376" spans="1:16" ht="15" x14ac:dyDescent="0.2">
      <c r="A376"/>
      <c r="B376"/>
      <c r="C376"/>
      <c r="D376"/>
      <c r="E376"/>
      <c r="F376"/>
      <c r="G376"/>
      <c r="H376"/>
      <c r="I376"/>
      <c r="J376"/>
      <c r="K376"/>
      <c r="L376"/>
      <c r="M376" s="16"/>
      <c r="N376"/>
      <c r="O376"/>
      <c r="P376"/>
    </row>
    <row r="377" spans="1:16" ht="15" x14ac:dyDescent="0.2">
      <c r="A377"/>
      <c r="B377"/>
      <c r="C377"/>
      <c r="D377"/>
      <c r="E377"/>
      <c r="F377"/>
      <c r="G377"/>
      <c r="H377"/>
      <c r="I377"/>
      <c r="J377"/>
      <c r="K377"/>
      <c r="L377"/>
      <c r="M377" s="16"/>
      <c r="N377"/>
      <c r="O377"/>
      <c r="P377"/>
    </row>
    <row r="378" spans="1:16" ht="15" x14ac:dyDescent="0.2">
      <c r="A378"/>
      <c r="B378"/>
      <c r="C378"/>
      <c r="D378"/>
      <c r="E378"/>
      <c r="F378"/>
      <c r="G378"/>
      <c r="H378"/>
      <c r="I378"/>
      <c r="J378"/>
      <c r="K378"/>
      <c r="L378"/>
      <c r="M378" s="16"/>
      <c r="N378"/>
      <c r="O378"/>
      <c r="P378"/>
    </row>
    <row r="379" spans="1:16" ht="15" x14ac:dyDescent="0.2">
      <c r="A379"/>
      <c r="B379"/>
      <c r="C379"/>
      <c r="D379"/>
      <c r="E379"/>
      <c r="F379"/>
      <c r="G379"/>
      <c r="H379"/>
      <c r="I379"/>
      <c r="J379"/>
      <c r="K379"/>
      <c r="L379"/>
      <c r="M379" s="16"/>
      <c r="N379"/>
      <c r="O379"/>
      <c r="P379"/>
    </row>
    <row r="380" spans="1:16" ht="15" x14ac:dyDescent="0.2">
      <c r="A380"/>
      <c r="B380"/>
      <c r="C380"/>
      <c r="D380"/>
      <c r="E380"/>
      <c r="F380"/>
      <c r="G380"/>
      <c r="H380"/>
      <c r="I380"/>
      <c r="J380"/>
      <c r="K380"/>
      <c r="L380"/>
      <c r="M380" s="16"/>
      <c r="N380"/>
      <c r="O380"/>
      <c r="P380"/>
    </row>
    <row r="381" spans="1:16" ht="15" x14ac:dyDescent="0.2">
      <c r="A381"/>
      <c r="B381"/>
      <c r="C381"/>
      <c r="D381"/>
      <c r="E381"/>
      <c r="F381"/>
      <c r="G381"/>
      <c r="H381"/>
      <c r="I381"/>
      <c r="J381"/>
      <c r="K381"/>
      <c r="L381"/>
      <c r="M381" s="16"/>
      <c r="N381"/>
      <c r="O381"/>
      <c r="P381"/>
    </row>
    <row r="382" spans="1:16" ht="15" x14ac:dyDescent="0.2">
      <c r="A382"/>
      <c r="B382"/>
      <c r="C382"/>
      <c r="D382"/>
      <c r="E382"/>
      <c r="F382"/>
      <c r="G382"/>
      <c r="H382"/>
      <c r="I382"/>
      <c r="J382"/>
      <c r="K382"/>
      <c r="L382"/>
      <c r="M382" s="16"/>
      <c r="N382"/>
      <c r="O382"/>
      <c r="P382"/>
    </row>
    <row r="383" spans="1:16" ht="15" x14ac:dyDescent="0.2">
      <c r="A383"/>
      <c r="B383"/>
      <c r="C383"/>
      <c r="D383"/>
      <c r="E383"/>
      <c r="F383"/>
      <c r="G383"/>
      <c r="H383"/>
      <c r="I383"/>
      <c r="J383"/>
      <c r="K383"/>
      <c r="L383"/>
      <c r="M383" s="16"/>
      <c r="N383"/>
      <c r="O383"/>
      <c r="P383"/>
    </row>
    <row r="384" spans="1:16" ht="15" x14ac:dyDescent="0.2">
      <c r="A384"/>
      <c r="B384"/>
      <c r="C384"/>
      <c r="D384"/>
      <c r="E384"/>
      <c r="F384"/>
      <c r="G384"/>
      <c r="H384"/>
      <c r="I384"/>
      <c r="J384"/>
      <c r="K384"/>
      <c r="L384"/>
      <c r="M384" s="16"/>
      <c r="N384"/>
      <c r="O384"/>
      <c r="P384"/>
    </row>
    <row r="385" spans="1:16" ht="15" x14ac:dyDescent="0.2">
      <c r="A385"/>
      <c r="B385"/>
      <c r="C385"/>
      <c r="D385"/>
      <c r="E385"/>
      <c r="F385"/>
      <c r="G385"/>
      <c r="H385"/>
      <c r="I385"/>
      <c r="J385"/>
      <c r="K385"/>
      <c r="L385"/>
      <c r="M385" s="16"/>
      <c r="N385"/>
      <c r="O385"/>
      <c r="P385"/>
    </row>
    <row r="386" spans="1:16" ht="15" x14ac:dyDescent="0.2">
      <c r="A386"/>
      <c r="B386"/>
      <c r="C386"/>
      <c r="D386"/>
      <c r="E386"/>
      <c r="F386"/>
      <c r="G386"/>
      <c r="H386"/>
      <c r="I386"/>
      <c r="J386"/>
      <c r="K386"/>
      <c r="L386"/>
      <c r="M386" s="16"/>
      <c r="N386"/>
      <c r="O386"/>
      <c r="P386"/>
    </row>
    <row r="387" spans="1:16" ht="15" x14ac:dyDescent="0.2">
      <c r="A387"/>
      <c r="B387"/>
      <c r="C387"/>
      <c r="D387"/>
      <c r="E387"/>
      <c r="F387"/>
      <c r="G387"/>
      <c r="H387"/>
      <c r="I387"/>
      <c r="J387"/>
      <c r="K387"/>
      <c r="L387"/>
      <c r="M387" s="16"/>
      <c r="N387"/>
      <c r="O387"/>
      <c r="P387"/>
    </row>
    <row r="388" spans="1:16" ht="15" x14ac:dyDescent="0.2">
      <c r="A388"/>
      <c r="B388"/>
      <c r="C388"/>
      <c r="D388"/>
      <c r="E388"/>
      <c r="F388"/>
      <c r="G388"/>
      <c r="H388"/>
      <c r="I388"/>
      <c r="J388"/>
      <c r="K388"/>
      <c r="L388"/>
      <c r="M388" s="16"/>
      <c r="N388"/>
      <c r="O388"/>
      <c r="P388"/>
    </row>
    <row r="389" spans="1:16" ht="15" x14ac:dyDescent="0.2">
      <c r="A389"/>
      <c r="B389"/>
      <c r="C389"/>
      <c r="D389"/>
      <c r="E389"/>
      <c r="F389"/>
      <c r="G389"/>
      <c r="H389"/>
      <c r="I389"/>
      <c r="J389"/>
      <c r="K389"/>
      <c r="L389"/>
      <c r="M389" s="16"/>
      <c r="N389"/>
      <c r="O389"/>
      <c r="P389"/>
    </row>
    <row r="390" spans="1:16" ht="15" x14ac:dyDescent="0.2">
      <c r="A390"/>
      <c r="B390"/>
      <c r="C390"/>
      <c r="D390"/>
      <c r="E390"/>
      <c r="F390"/>
      <c r="G390"/>
      <c r="H390"/>
      <c r="I390"/>
      <c r="J390"/>
      <c r="K390"/>
      <c r="L390"/>
      <c r="M390" s="16"/>
      <c r="N390"/>
      <c r="O390"/>
      <c r="P390"/>
    </row>
    <row r="391" spans="1:16" ht="15" x14ac:dyDescent="0.2">
      <c r="A391"/>
      <c r="B391"/>
      <c r="C391"/>
      <c r="D391"/>
      <c r="E391"/>
      <c r="F391"/>
      <c r="G391"/>
      <c r="H391"/>
      <c r="I391"/>
      <c r="J391"/>
      <c r="K391"/>
      <c r="L391"/>
      <c r="M391" s="16"/>
      <c r="N391"/>
      <c r="O391"/>
      <c r="P391"/>
    </row>
    <row r="392" spans="1:16" ht="15" x14ac:dyDescent="0.2">
      <c r="A392"/>
      <c r="B392"/>
      <c r="C392"/>
      <c r="D392"/>
      <c r="E392"/>
      <c r="F392"/>
      <c r="G392"/>
      <c r="H392"/>
      <c r="I392"/>
      <c r="J392"/>
      <c r="K392"/>
      <c r="L392"/>
      <c r="M392" s="16"/>
      <c r="N392"/>
      <c r="O392"/>
      <c r="P392"/>
    </row>
    <row r="393" spans="1:16" ht="15" x14ac:dyDescent="0.2">
      <c r="A393"/>
      <c r="B393"/>
      <c r="C393"/>
      <c r="D393"/>
      <c r="E393"/>
      <c r="F393"/>
      <c r="G393"/>
      <c r="H393"/>
      <c r="I393"/>
      <c r="J393"/>
      <c r="K393"/>
      <c r="L393"/>
      <c r="M393" s="16"/>
      <c r="N393"/>
      <c r="O393"/>
      <c r="P393"/>
    </row>
    <row r="394" spans="1:16" ht="15" x14ac:dyDescent="0.2">
      <c r="A394"/>
      <c r="B394"/>
      <c r="C394"/>
      <c r="D394"/>
      <c r="E394"/>
      <c r="F394"/>
      <c r="G394"/>
      <c r="H394"/>
      <c r="I394"/>
      <c r="J394"/>
      <c r="K394"/>
      <c r="L394"/>
      <c r="M394" s="16"/>
      <c r="N394"/>
      <c r="O394"/>
      <c r="P394"/>
    </row>
    <row r="395" spans="1:16" ht="15" x14ac:dyDescent="0.2">
      <c r="A395"/>
      <c r="B395"/>
      <c r="C395"/>
      <c r="D395"/>
      <c r="E395"/>
      <c r="F395"/>
      <c r="G395"/>
      <c r="H395"/>
      <c r="I395"/>
      <c r="J395"/>
      <c r="K395"/>
      <c r="L395"/>
      <c r="M395" s="16"/>
      <c r="N395"/>
      <c r="O395"/>
      <c r="P395"/>
    </row>
    <row r="396" spans="1:16" ht="15" x14ac:dyDescent="0.2">
      <c r="A396"/>
      <c r="B396"/>
      <c r="C396"/>
      <c r="D396"/>
      <c r="E396"/>
      <c r="F396"/>
      <c r="G396"/>
      <c r="H396"/>
      <c r="I396"/>
      <c r="J396"/>
      <c r="K396"/>
      <c r="L396"/>
      <c r="M396" s="16"/>
      <c r="N396"/>
      <c r="O396"/>
      <c r="P396"/>
    </row>
    <row r="397" spans="1:16" ht="15" x14ac:dyDescent="0.2">
      <c r="A397"/>
      <c r="B397"/>
      <c r="C397"/>
      <c r="D397"/>
      <c r="E397"/>
      <c r="F397"/>
      <c r="G397"/>
      <c r="H397"/>
      <c r="I397"/>
      <c r="J397"/>
      <c r="K397"/>
      <c r="L397"/>
      <c r="M397" s="16"/>
      <c r="N397"/>
      <c r="O397"/>
      <c r="P397"/>
    </row>
    <row r="398" spans="1:16" ht="15" x14ac:dyDescent="0.2">
      <c r="A398"/>
      <c r="B398"/>
      <c r="C398"/>
      <c r="D398"/>
      <c r="E398"/>
      <c r="F398"/>
      <c r="G398"/>
      <c r="H398"/>
      <c r="I398"/>
      <c r="J398"/>
      <c r="K398"/>
      <c r="L398"/>
      <c r="M398" s="16"/>
      <c r="N398"/>
      <c r="O398"/>
      <c r="P398"/>
    </row>
    <row r="399" spans="1:16" ht="15" x14ac:dyDescent="0.2">
      <c r="A399"/>
      <c r="B399"/>
      <c r="C399"/>
      <c r="D399"/>
      <c r="E399"/>
      <c r="F399"/>
      <c r="G399"/>
      <c r="H399"/>
      <c r="I399"/>
      <c r="J399"/>
      <c r="K399"/>
      <c r="L399"/>
      <c r="M399" s="16"/>
      <c r="N399"/>
      <c r="O399"/>
      <c r="P399"/>
    </row>
    <row r="400" spans="1:16" ht="15" x14ac:dyDescent="0.2">
      <c r="A400"/>
      <c r="B400"/>
      <c r="C400"/>
      <c r="D400"/>
      <c r="E400"/>
      <c r="F400"/>
      <c r="G400"/>
      <c r="H400"/>
      <c r="I400"/>
      <c r="J400"/>
      <c r="K400"/>
      <c r="L400"/>
      <c r="M400" s="16"/>
      <c r="N400"/>
      <c r="O400"/>
      <c r="P400"/>
    </row>
    <row r="401" spans="1:16" ht="15" x14ac:dyDescent="0.2">
      <c r="A401"/>
      <c r="B401"/>
      <c r="C401"/>
      <c r="D401"/>
      <c r="E401"/>
      <c r="F401"/>
      <c r="G401"/>
      <c r="H401"/>
      <c r="I401"/>
      <c r="J401"/>
      <c r="K401"/>
      <c r="L401"/>
      <c r="M401" s="16"/>
      <c r="N401"/>
      <c r="O401"/>
      <c r="P401"/>
    </row>
    <row r="402" spans="1:16" ht="15" x14ac:dyDescent="0.2">
      <c r="A402"/>
      <c r="B402"/>
      <c r="C402"/>
      <c r="D402"/>
      <c r="E402"/>
      <c r="F402"/>
      <c r="G402"/>
      <c r="H402"/>
      <c r="I402"/>
      <c r="J402"/>
      <c r="K402"/>
      <c r="L402"/>
      <c r="M402" s="16"/>
      <c r="N402"/>
      <c r="O402"/>
      <c r="P402"/>
    </row>
    <row r="403" spans="1:16" ht="15" x14ac:dyDescent="0.2">
      <c r="A403"/>
      <c r="B403"/>
      <c r="C403"/>
      <c r="D403"/>
      <c r="E403"/>
      <c r="F403"/>
      <c r="G403"/>
      <c r="H403"/>
      <c r="I403"/>
      <c r="J403"/>
      <c r="K403"/>
      <c r="L403"/>
      <c r="M403" s="16"/>
      <c r="N403"/>
      <c r="O403"/>
      <c r="P403"/>
    </row>
    <row r="404" spans="1:16" ht="15" x14ac:dyDescent="0.2">
      <c r="A404"/>
      <c r="B404"/>
      <c r="C404"/>
      <c r="D404"/>
      <c r="E404"/>
      <c r="F404"/>
      <c r="G404"/>
      <c r="H404"/>
      <c r="I404"/>
      <c r="J404"/>
      <c r="K404"/>
      <c r="L404"/>
      <c r="M404" s="16"/>
      <c r="N404"/>
      <c r="O404"/>
      <c r="P404"/>
    </row>
    <row r="405" spans="1:16" ht="15" x14ac:dyDescent="0.2">
      <c r="A405"/>
      <c r="B405"/>
      <c r="C405"/>
      <c r="D405"/>
      <c r="E405"/>
      <c r="F405"/>
      <c r="G405"/>
      <c r="H405"/>
      <c r="I405"/>
      <c r="J405"/>
      <c r="K405"/>
      <c r="L405"/>
      <c r="M405" s="16"/>
      <c r="N405"/>
      <c r="O405"/>
      <c r="P405"/>
    </row>
    <row r="406" spans="1:16" ht="15" x14ac:dyDescent="0.2">
      <c r="A406"/>
      <c r="B406"/>
      <c r="C406"/>
      <c r="D406"/>
      <c r="E406"/>
      <c r="F406"/>
      <c r="G406"/>
      <c r="H406"/>
      <c r="I406"/>
      <c r="J406"/>
      <c r="K406"/>
      <c r="L406"/>
      <c r="M406" s="16"/>
      <c r="N406"/>
      <c r="O406"/>
      <c r="P406"/>
    </row>
    <row r="407" spans="1:16" ht="15" x14ac:dyDescent="0.2">
      <c r="A407"/>
      <c r="B407"/>
      <c r="C407"/>
      <c r="D407"/>
      <c r="E407"/>
      <c r="F407"/>
      <c r="G407"/>
      <c r="H407"/>
      <c r="I407"/>
      <c r="J407"/>
      <c r="K407"/>
      <c r="L407"/>
      <c r="M407" s="16"/>
      <c r="N407"/>
      <c r="O407"/>
      <c r="P407"/>
    </row>
    <row r="408" spans="1:16" ht="15" x14ac:dyDescent="0.2">
      <c r="A408"/>
      <c r="B408"/>
      <c r="C408"/>
      <c r="D408"/>
      <c r="E408"/>
      <c r="F408"/>
      <c r="G408"/>
      <c r="H408"/>
      <c r="I408"/>
      <c r="J408"/>
      <c r="K408"/>
      <c r="L408"/>
      <c r="M408" s="16"/>
      <c r="N408"/>
      <c r="O408"/>
      <c r="P408"/>
    </row>
    <row r="409" spans="1:16" ht="15" x14ac:dyDescent="0.2">
      <c r="A409"/>
      <c r="B409"/>
      <c r="C409"/>
      <c r="D409"/>
      <c r="E409"/>
      <c r="F409"/>
      <c r="G409"/>
      <c r="H409"/>
      <c r="I409"/>
      <c r="J409"/>
      <c r="K409"/>
      <c r="L409"/>
      <c r="M409" s="16"/>
      <c r="N409"/>
      <c r="O409"/>
      <c r="P409"/>
    </row>
    <row r="410" spans="1:16" ht="15" x14ac:dyDescent="0.2">
      <c r="A410"/>
      <c r="B410"/>
      <c r="C410"/>
      <c r="D410"/>
      <c r="E410"/>
      <c r="F410"/>
      <c r="G410"/>
      <c r="H410"/>
      <c r="I410"/>
      <c r="J410"/>
      <c r="K410"/>
      <c r="L410"/>
      <c r="M410" s="16"/>
      <c r="N410"/>
      <c r="O410"/>
      <c r="P410"/>
    </row>
    <row r="411" spans="1:16" ht="15" x14ac:dyDescent="0.2">
      <c r="A411"/>
      <c r="B411"/>
      <c r="C411"/>
      <c r="D411"/>
      <c r="E411"/>
      <c r="F411"/>
      <c r="G411"/>
      <c r="H411"/>
      <c r="I411"/>
      <c r="J411"/>
      <c r="K411"/>
      <c r="L411"/>
      <c r="M411" s="16"/>
      <c r="N411"/>
      <c r="O411"/>
      <c r="P411"/>
    </row>
    <row r="412" spans="1:16" ht="15" x14ac:dyDescent="0.2">
      <c r="A412"/>
      <c r="B412"/>
      <c r="C412"/>
      <c r="D412"/>
      <c r="E412"/>
      <c r="F412"/>
      <c r="G412"/>
      <c r="H412"/>
      <c r="I412"/>
      <c r="J412"/>
      <c r="K412"/>
      <c r="L412"/>
      <c r="M412" s="16"/>
      <c r="N412"/>
      <c r="O412"/>
      <c r="P412"/>
    </row>
    <row r="413" spans="1:16" ht="15" x14ac:dyDescent="0.2">
      <c r="A413"/>
      <c r="B413"/>
      <c r="C413"/>
      <c r="D413"/>
      <c r="E413"/>
      <c r="F413"/>
      <c r="G413"/>
      <c r="H413"/>
      <c r="I413"/>
      <c r="J413"/>
      <c r="K413"/>
      <c r="L413"/>
      <c r="M413" s="16"/>
      <c r="N413"/>
      <c r="O413"/>
      <c r="P413"/>
    </row>
    <row r="414" spans="1:16" ht="15" x14ac:dyDescent="0.2">
      <c r="A414"/>
      <c r="B414"/>
      <c r="C414"/>
      <c r="D414"/>
      <c r="E414"/>
      <c r="F414"/>
      <c r="G414"/>
      <c r="H414"/>
      <c r="I414"/>
      <c r="J414"/>
      <c r="K414"/>
      <c r="L414"/>
      <c r="M414" s="16"/>
      <c r="N414"/>
      <c r="O414"/>
      <c r="P414"/>
    </row>
    <row r="415" spans="1:16" ht="15" x14ac:dyDescent="0.2">
      <c r="A415"/>
      <c r="B415"/>
      <c r="C415"/>
      <c r="D415"/>
      <c r="E415"/>
      <c r="F415"/>
      <c r="G415"/>
      <c r="H415"/>
      <c r="I415"/>
      <c r="J415"/>
      <c r="K415"/>
      <c r="L415"/>
      <c r="M415" s="16"/>
      <c r="N415"/>
      <c r="O415"/>
      <c r="P415"/>
    </row>
    <row r="416" spans="1:16" ht="15" x14ac:dyDescent="0.2">
      <c r="A416"/>
      <c r="B416"/>
      <c r="C416"/>
      <c r="D416"/>
      <c r="E416"/>
      <c r="F416"/>
      <c r="G416"/>
      <c r="H416"/>
      <c r="I416"/>
      <c r="J416"/>
      <c r="K416"/>
      <c r="L416"/>
      <c r="M416" s="16"/>
      <c r="N416"/>
      <c r="O416"/>
      <c r="P416"/>
    </row>
    <row r="417" spans="1:16" ht="15" x14ac:dyDescent="0.2">
      <c r="A417"/>
      <c r="B417"/>
      <c r="C417"/>
      <c r="D417"/>
      <c r="E417"/>
      <c r="F417"/>
      <c r="G417"/>
      <c r="H417"/>
      <c r="I417"/>
      <c r="J417"/>
      <c r="K417"/>
      <c r="L417"/>
      <c r="M417" s="16"/>
      <c r="N417"/>
      <c r="O417"/>
      <c r="P417"/>
    </row>
    <row r="418" spans="1:16" ht="15" x14ac:dyDescent="0.2">
      <c r="A418"/>
      <c r="B418"/>
      <c r="C418"/>
      <c r="D418"/>
      <c r="E418"/>
      <c r="F418"/>
      <c r="G418"/>
      <c r="H418"/>
      <c r="I418"/>
      <c r="J418"/>
      <c r="K418"/>
      <c r="L418"/>
      <c r="M418" s="16"/>
      <c r="N418"/>
      <c r="O418"/>
      <c r="P418"/>
    </row>
    <row r="419" spans="1:16" ht="15" x14ac:dyDescent="0.2">
      <c r="A419"/>
      <c r="B419"/>
      <c r="C419"/>
      <c r="D419"/>
      <c r="E419"/>
      <c r="F419"/>
      <c r="G419"/>
      <c r="H419"/>
      <c r="I419"/>
      <c r="J419"/>
      <c r="K419"/>
      <c r="L419"/>
      <c r="M419" s="16"/>
      <c r="N419"/>
      <c r="O419"/>
      <c r="P419"/>
    </row>
    <row r="420" spans="1:16" ht="15" x14ac:dyDescent="0.2">
      <c r="A420"/>
      <c r="B420"/>
      <c r="C420"/>
      <c r="D420"/>
      <c r="E420"/>
      <c r="F420"/>
      <c r="G420"/>
      <c r="H420"/>
      <c r="I420"/>
      <c r="J420"/>
      <c r="K420"/>
      <c r="L420"/>
      <c r="M420" s="16"/>
      <c r="N420"/>
      <c r="O420"/>
      <c r="P420"/>
    </row>
    <row r="421" spans="1:16" ht="15" x14ac:dyDescent="0.2">
      <c r="A421"/>
      <c r="B421"/>
      <c r="C421"/>
      <c r="D421"/>
      <c r="E421"/>
      <c r="F421"/>
      <c r="G421"/>
      <c r="H421"/>
      <c r="I421"/>
      <c r="J421"/>
      <c r="K421"/>
      <c r="L421"/>
      <c r="M421" s="16"/>
      <c r="N421"/>
      <c r="O421"/>
      <c r="P421"/>
    </row>
    <row r="422" spans="1:16" ht="15" x14ac:dyDescent="0.2">
      <c r="A422"/>
      <c r="B422"/>
      <c r="C422"/>
      <c r="D422"/>
      <c r="E422"/>
      <c r="F422"/>
      <c r="G422"/>
      <c r="H422"/>
      <c r="I422"/>
      <c r="J422"/>
      <c r="K422"/>
      <c r="L422"/>
      <c r="M422" s="16"/>
      <c r="N422"/>
      <c r="O422"/>
      <c r="P422"/>
    </row>
    <row r="423" spans="1:16" ht="15" x14ac:dyDescent="0.2">
      <c r="A423"/>
      <c r="B423"/>
      <c r="C423"/>
      <c r="D423"/>
      <c r="E423"/>
      <c r="F423"/>
      <c r="G423"/>
      <c r="H423"/>
      <c r="I423"/>
      <c r="J423"/>
      <c r="K423"/>
      <c r="L423"/>
      <c r="M423" s="16"/>
      <c r="N423"/>
      <c r="O423"/>
      <c r="P423"/>
    </row>
    <row r="424" spans="1:16" ht="15" x14ac:dyDescent="0.2">
      <c r="A424"/>
      <c r="B424"/>
      <c r="C424"/>
      <c r="D424"/>
      <c r="E424"/>
      <c r="F424"/>
      <c r="G424"/>
      <c r="H424"/>
      <c r="I424"/>
      <c r="J424"/>
      <c r="K424"/>
      <c r="L424"/>
      <c r="M424" s="16"/>
      <c r="N424"/>
      <c r="O424"/>
      <c r="P424"/>
    </row>
    <row r="425" spans="1:16" ht="15" x14ac:dyDescent="0.2">
      <c r="A425"/>
      <c r="B425"/>
      <c r="C425"/>
      <c r="D425"/>
      <c r="E425"/>
      <c r="F425"/>
      <c r="G425"/>
      <c r="H425"/>
      <c r="I425"/>
      <c r="J425"/>
      <c r="K425"/>
      <c r="L425"/>
      <c r="M425" s="16"/>
      <c r="N425"/>
      <c r="O425"/>
      <c r="P425"/>
    </row>
    <row r="426" spans="1:16" ht="15" x14ac:dyDescent="0.2">
      <c r="A426"/>
      <c r="B426"/>
      <c r="C426"/>
      <c r="D426"/>
      <c r="E426"/>
      <c r="F426"/>
      <c r="G426"/>
      <c r="H426"/>
      <c r="I426"/>
      <c r="J426"/>
      <c r="K426"/>
      <c r="L426"/>
      <c r="M426" s="16"/>
      <c r="N426"/>
      <c r="O426"/>
      <c r="P426"/>
    </row>
    <row r="427" spans="1:16" ht="15" x14ac:dyDescent="0.2">
      <c r="A427"/>
      <c r="B427"/>
      <c r="C427"/>
      <c r="D427"/>
      <c r="E427"/>
      <c r="F427"/>
      <c r="G427"/>
      <c r="H427"/>
      <c r="I427"/>
      <c r="J427"/>
      <c r="K427"/>
      <c r="L427"/>
      <c r="M427" s="16"/>
      <c r="N427"/>
      <c r="O427"/>
      <c r="P427"/>
    </row>
    <row r="428" spans="1:16" ht="15" x14ac:dyDescent="0.2">
      <c r="A428"/>
      <c r="B428"/>
      <c r="C428"/>
      <c r="D428"/>
      <c r="E428"/>
      <c r="F428"/>
      <c r="G428"/>
      <c r="H428"/>
      <c r="I428"/>
      <c r="J428"/>
      <c r="K428"/>
      <c r="L428"/>
      <c r="M428" s="16"/>
      <c r="N428"/>
      <c r="O428"/>
      <c r="P428"/>
    </row>
    <row r="429" spans="1:16" ht="15" x14ac:dyDescent="0.2">
      <c r="A429"/>
      <c r="B429"/>
      <c r="C429"/>
      <c r="D429"/>
      <c r="E429"/>
      <c r="F429"/>
      <c r="G429"/>
      <c r="H429"/>
      <c r="I429"/>
      <c r="J429"/>
      <c r="K429"/>
      <c r="L429"/>
      <c r="M429" s="16"/>
      <c r="N429"/>
      <c r="O429"/>
      <c r="P429"/>
    </row>
    <row r="430" spans="1:16" ht="15" x14ac:dyDescent="0.2">
      <c r="A430"/>
      <c r="B430"/>
      <c r="C430"/>
      <c r="D430"/>
      <c r="E430"/>
      <c r="F430"/>
      <c r="G430"/>
      <c r="H430"/>
      <c r="I430"/>
      <c r="J430"/>
      <c r="K430"/>
      <c r="L430"/>
      <c r="M430" s="16"/>
      <c r="N430"/>
      <c r="O430"/>
      <c r="P430"/>
    </row>
    <row r="431" spans="1:16" ht="15" x14ac:dyDescent="0.2">
      <c r="A431"/>
      <c r="B431"/>
      <c r="C431"/>
      <c r="D431"/>
      <c r="E431"/>
      <c r="F431"/>
      <c r="G431"/>
      <c r="H431"/>
      <c r="I431"/>
      <c r="J431"/>
      <c r="K431"/>
      <c r="L431"/>
      <c r="M431" s="16"/>
      <c r="N431"/>
      <c r="O431"/>
      <c r="P431"/>
    </row>
    <row r="432" spans="1:16" ht="15" x14ac:dyDescent="0.2">
      <c r="A432"/>
      <c r="B432"/>
      <c r="C432"/>
      <c r="D432"/>
      <c r="E432"/>
      <c r="F432"/>
      <c r="G432"/>
      <c r="H432"/>
      <c r="I432"/>
      <c r="J432"/>
      <c r="K432"/>
      <c r="L432"/>
      <c r="M432" s="16"/>
      <c r="N432"/>
      <c r="O432"/>
      <c r="P432"/>
    </row>
    <row r="433" spans="1:16" ht="15" x14ac:dyDescent="0.2">
      <c r="A433"/>
      <c r="B433"/>
      <c r="C433"/>
      <c r="D433"/>
      <c r="E433"/>
      <c r="F433"/>
      <c r="G433"/>
      <c r="H433"/>
      <c r="I433"/>
      <c r="J433"/>
      <c r="K433"/>
      <c r="L433"/>
      <c r="M433" s="16"/>
      <c r="N433"/>
      <c r="O433"/>
      <c r="P433"/>
    </row>
    <row r="434" spans="1:16" ht="15" x14ac:dyDescent="0.2">
      <c r="A434"/>
      <c r="B434"/>
      <c r="C434"/>
      <c r="D434"/>
      <c r="E434"/>
      <c r="F434"/>
      <c r="G434"/>
      <c r="H434"/>
      <c r="I434"/>
      <c r="J434"/>
      <c r="K434"/>
      <c r="L434"/>
      <c r="M434" s="16"/>
      <c r="N434"/>
      <c r="O434"/>
      <c r="P434"/>
    </row>
    <row r="435" spans="1:16" ht="15" x14ac:dyDescent="0.2">
      <c r="A435"/>
      <c r="B435"/>
      <c r="C435"/>
      <c r="D435"/>
      <c r="E435"/>
      <c r="F435"/>
      <c r="G435"/>
      <c r="H435"/>
      <c r="I435"/>
      <c r="J435"/>
      <c r="K435"/>
      <c r="L435"/>
      <c r="M435" s="16"/>
      <c r="N435"/>
      <c r="O435"/>
      <c r="P435"/>
    </row>
    <row r="436" spans="1:16" ht="15" x14ac:dyDescent="0.2">
      <c r="A436"/>
      <c r="B436"/>
      <c r="C436"/>
      <c r="D436"/>
      <c r="E436"/>
      <c r="F436"/>
      <c r="G436"/>
      <c r="H436"/>
      <c r="I436"/>
      <c r="J436"/>
      <c r="K436"/>
      <c r="L436"/>
      <c r="M436" s="16"/>
      <c r="N436"/>
      <c r="O436"/>
      <c r="P436"/>
    </row>
    <row r="437" spans="1:16" ht="15" x14ac:dyDescent="0.2">
      <c r="A437"/>
      <c r="B437"/>
      <c r="C437"/>
      <c r="D437"/>
      <c r="E437"/>
      <c r="F437"/>
      <c r="G437"/>
      <c r="H437"/>
      <c r="I437"/>
      <c r="J437"/>
      <c r="K437"/>
      <c r="L437"/>
      <c r="M437" s="16"/>
      <c r="N437"/>
      <c r="O437"/>
      <c r="P437"/>
    </row>
    <row r="438" spans="1:16" ht="15" x14ac:dyDescent="0.2">
      <c r="A438"/>
      <c r="B438"/>
      <c r="C438"/>
      <c r="D438"/>
      <c r="E438"/>
      <c r="F438"/>
      <c r="G438"/>
      <c r="H438"/>
      <c r="I438"/>
      <c r="J438"/>
      <c r="K438"/>
      <c r="L438"/>
      <c r="M438" s="16"/>
      <c r="N438"/>
      <c r="O438"/>
      <c r="P438"/>
    </row>
    <row r="439" spans="1:16" ht="15" x14ac:dyDescent="0.2">
      <c r="A439"/>
      <c r="B439"/>
      <c r="C439"/>
      <c r="D439"/>
      <c r="E439"/>
      <c r="F439"/>
      <c r="G439"/>
      <c r="H439"/>
      <c r="I439"/>
      <c r="J439"/>
      <c r="K439"/>
      <c r="L439"/>
      <c r="M439" s="16"/>
      <c r="N439"/>
      <c r="O439"/>
      <c r="P439"/>
    </row>
    <row r="440" spans="1:16" ht="15" x14ac:dyDescent="0.2">
      <c r="A440"/>
      <c r="B440"/>
      <c r="C440"/>
      <c r="D440"/>
      <c r="E440"/>
      <c r="F440"/>
      <c r="G440"/>
      <c r="H440"/>
      <c r="I440"/>
      <c r="J440"/>
      <c r="K440"/>
      <c r="L440"/>
      <c r="M440" s="16"/>
      <c r="N440"/>
      <c r="O440"/>
      <c r="P440"/>
    </row>
    <row r="441" spans="1:16" ht="15" x14ac:dyDescent="0.2">
      <c r="A441"/>
      <c r="B441"/>
      <c r="C441"/>
      <c r="D441"/>
      <c r="E441"/>
      <c r="F441"/>
      <c r="G441"/>
      <c r="H441"/>
      <c r="I441"/>
      <c r="J441"/>
      <c r="K441"/>
      <c r="L441"/>
      <c r="M441" s="16"/>
      <c r="N441"/>
      <c r="O441"/>
      <c r="P441"/>
    </row>
    <row r="442" spans="1:16" ht="15" x14ac:dyDescent="0.2">
      <c r="A442"/>
      <c r="B442"/>
      <c r="C442"/>
      <c r="D442"/>
      <c r="E442"/>
      <c r="F442"/>
      <c r="G442"/>
      <c r="H442"/>
      <c r="I442"/>
      <c r="J442"/>
      <c r="K442"/>
      <c r="L442"/>
      <c r="M442" s="16"/>
      <c r="N442"/>
      <c r="O442"/>
      <c r="P442"/>
    </row>
    <row r="443" spans="1:16" ht="15" x14ac:dyDescent="0.2">
      <c r="A443"/>
      <c r="B443"/>
      <c r="C443"/>
      <c r="D443"/>
      <c r="E443"/>
      <c r="F443"/>
      <c r="G443"/>
      <c r="H443"/>
      <c r="I443"/>
      <c r="J443"/>
      <c r="K443"/>
      <c r="L443"/>
      <c r="M443" s="16"/>
      <c r="N443"/>
      <c r="O443"/>
      <c r="P443"/>
    </row>
    <row r="444" spans="1:16" ht="15" x14ac:dyDescent="0.2">
      <c r="A444"/>
      <c r="B444"/>
      <c r="C444"/>
      <c r="D444"/>
      <c r="E444"/>
      <c r="F444"/>
      <c r="G444"/>
      <c r="H444"/>
      <c r="I444"/>
      <c r="J444"/>
      <c r="K444"/>
      <c r="L444"/>
      <c r="M444" s="16"/>
      <c r="N444"/>
      <c r="O444"/>
      <c r="P444"/>
    </row>
    <row r="445" spans="1:16" ht="15" x14ac:dyDescent="0.2">
      <c r="A445"/>
      <c r="B445"/>
      <c r="C445"/>
      <c r="D445"/>
      <c r="E445"/>
      <c r="F445"/>
      <c r="G445"/>
      <c r="H445"/>
      <c r="I445"/>
      <c r="J445"/>
      <c r="K445"/>
      <c r="L445"/>
      <c r="M445" s="16"/>
      <c r="N445"/>
      <c r="O445"/>
      <c r="P445"/>
    </row>
    <row r="446" spans="1:16" ht="15" x14ac:dyDescent="0.2">
      <c r="A446"/>
      <c r="B446"/>
      <c r="C446"/>
      <c r="D446"/>
      <c r="E446"/>
      <c r="F446"/>
      <c r="G446"/>
      <c r="H446"/>
      <c r="I446"/>
      <c r="J446"/>
      <c r="K446"/>
      <c r="L446"/>
      <c r="M446" s="16"/>
      <c r="N446"/>
      <c r="O446"/>
      <c r="P446"/>
    </row>
    <row r="447" spans="1:16" ht="15" x14ac:dyDescent="0.2">
      <c r="A447"/>
      <c r="B447"/>
      <c r="C447"/>
      <c r="D447"/>
      <c r="E447"/>
      <c r="F447"/>
      <c r="G447"/>
      <c r="H447"/>
      <c r="I447"/>
      <c r="J447"/>
      <c r="K447"/>
      <c r="L447"/>
      <c r="M447" s="16"/>
      <c r="N447"/>
      <c r="O447"/>
      <c r="P447"/>
    </row>
    <row r="448" spans="1:16" ht="15" x14ac:dyDescent="0.2">
      <c r="A448"/>
      <c r="B448"/>
      <c r="C448"/>
      <c r="D448"/>
      <c r="E448"/>
      <c r="F448"/>
      <c r="G448"/>
      <c r="H448"/>
      <c r="I448"/>
      <c r="J448"/>
      <c r="K448"/>
      <c r="L448"/>
      <c r="M448" s="16"/>
      <c r="N448"/>
      <c r="O448"/>
      <c r="P448"/>
    </row>
    <row r="449" spans="1:16" ht="15" x14ac:dyDescent="0.2">
      <c r="A449"/>
      <c r="B449"/>
      <c r="C449"/>
      <c r="D449"/>
      <c r="E449"/>
      <c r="F449"/>
      <c r="G449"/>
      <c r="H449"/>
      <c r="I449"/>
      <c r="J449"/>
      <c r="K449"/>
      <c r="L449"/>
      <c r="M449" s="16"/>
      <c r="N449"/>
      <c r="O449"/>
      <c r="P449"/>
    </row>
    <row r="450" spans="1:16" ht="15" x14ac:dyDescent="0.2">
      <c r="A450"/>
      <c r="B450"/>
      <c r="C450"/>
      <c r="D450"/>
      <c r="E450"/>
      <c r="F450"/>
      <c r="G450"/>
      <c r="H450"/>
      <c r="I450"/>
      <c r="J450"/>
      <c r="K450"/>
      <c r="L450"/>
      <c r="M450" s="16"/>
      <c r="N450"/>
      <c r="O450"/>
      <c r="P450"/>
    </row>
    <row r="451" spans="1:16" ht="15" x14ac:dyDescent="0.2">
      <c r="A451"/>
      <c r="B451"/>
      <c r="C451"/>
      <c r="D451"/>
      <c r="E451"/>
      <c r="F451"/>
      <c r="G451"/>
      <c r="H451"/>
      <c r="I451"/>
      <c r="J451"/>
      <c r="K451"/>
      <c r="L451"/>
      <c r="M451" s="16"/>
      <c r="N451"/>
      <c r="O451"/>
      <c r="P451"/>
    </row>
    <row r="452" spans="1:16" ht="15" x14ac:dyDescent="0.2">
      <c r="A452"/>
      <c r="B452"/>
      <c r="C452"/>
      <c r="D452"/>
      <c r="E452"/>
      <c r="F452"/>
      <c r="G452"/>
      <c r="H452"/>
      <c r="I452"/>
      <c r="J452"/>
      <c r="K452"/>
      <c r="L452"/>
      <c r="M452" s="16"/>
      <c r="N452"/>
      <c r="O452"/>
      <c r="P452"/>
    </row>
    <row r="453" spans="1:16" ht="15" x14ac:dyDescent="0.2">
      <c r="A453"/>
      <c r="B453"/>
      <c r="C453"/>
      <c r="D453"/>
      <c r="E453"/>
      <c r="F453"/>
      <c r="G453"/>
      <c r="H453"/>
      <c r="I453"/>
      <c r="J453"/>
      <c r="K453"/>
      <c r="L453"/>
      <c r="M453" s="16"/>
      <c r="N453"/>
      <c r="O453"/>
      <c r="P453"/>
    </row>
    <row r="454" spans="1:16" ht="15" x14ac:dyDescent="0.2">
      <c r="A454"/>
      <c r="B454"/>
      <c r="C454"/>
      <c r="D454"/>
      <c r="E454"/>
      <c r="F454"/>
      <c r="G454"/>
      <c r="H454"/>
      <c r="I454"/>
      <c r="J454"/>
      <c r="K454"/>
      <c r="L454"/>
      <c r="M454" s="16"/>
      <c r="N454"/>
      <c r="O454"/>
      <c r="P454"/>
    </row>
    <row r="455" spans="1:16" ht="15" x14ac:dyDescent="0.2">
      <c r="A455"/>
      <c r="B455"/>
      <c r="C455"/>
      <c r="D455"/>
      <c r="E455"/>
      <c r="F455"/>
      <c r="G455"/>
      <c r="H455"/>
      <c r="I455"/>
      <c r="J455"/>
      <c r="K455"/>
      <c r="L455"/>
      <c r="M455" s="16"/>
      <c r="N455"/>
      <c r="O455"/>
      <c r="P455"/>
    </row>
    <row r="456" spans="1:16" ht="15" x14ac:dyDescent="0.2">
      <c r="A456"/>
      <c r="B456"/>
      <c r="C456"/>
      <c r="D456"/>
      <c r="E456"/>
      <c r="F456"/>
      <c r="G456"/>
      <c r="H456"/>
      <c r="I456"/>
      <c r="J456"/>
      <c r="K456"/>
      <c r="L456"/>
      <c r="M456" s="16"/>
      <c r="N456"/>
      <c r="O456"/>
      <c r="P456"/>
    </row>
    <row r="457" spans="1:16" ht="15" x14ac:dyDescent="0.2">
      <c r="A457"/>
      <c r="B457"/>
      <c r="C457"/>
      <c r="D457"/>
      <c r="E457"/>
      <c r="F457"/>
      <c r="G457"/>
      <c r="H457"/>
      <c r="I457"/>
      <c r="J457"/>
      <c r="K457"/>
      <c r="L457"/>
      <c r="M457" s="16"/>
      <c r="N457"/>
      <c r="O457"/>
      <c r="P457"/>
    </row>
    <row r="458" spans="1:16" ht="15" x14ac:dyDescent="0.2">
      <c r="A458"/>
      <c r="B458"/>
      <c r="C458"/>
      <c r="D458"/>
      <c r="E458"/>
      <c r="F458"/>
      <c r="G458"/>
      <c r="H458"/>
      <c r="I458"/>
      <c r="J458"/>
      <c r="K458"/>
      <c r="L458"/>
      <c r="M458" s="16"/>
      <c r="N458"/>
      <c r="O458"/>
      <c r="P458"/>
    </row>
    <row r="459" spans="1:16" ht="15" x14ac:dyDescent="0.2">
      <c r="A459"/>
      <c r="B459"/>
      <c r="C459"/>
      <c r="D459"/>
      <c r="E459"/>
      <c r="F459"/>
      <c r="G459"/>
      <c r="H459"/>
      <c r="I459"/>
      <c r="J459"/>
      <c r="K459"/>
      <c r="L459"/>
      <c r="M459" s="16"/>
      <c r="N459"/>
      <c r="O459"/>
      <c r="P459"/>
    </row>
    <row r="460" spans="1:16" ht="15" x14ac:dyDescent="0.2">
      <c r="A460"/>
      <c r="B460"/>
      <c r="C460"/>
      <c r="D460"/>
      <c r="E460"/>
      <c r="F460"/>
      <c r="G460"/>
      <c r="H460"/>
      <c r="I460"/>
      <c r="J460"/>
      <c r="K460"/>
      <c r="L460"/>
      <c r="M460" s="16"/>
      <c r="N460"/>
      <c r="O460"/>
      <c r="P460"/>
    </row>
    <row r="461" spans="1:16" ht="15" x14ac:dyDescent="0.2">
      <c r="A461"/>
      <c r="B461"/>
      <c r="C461"/>
      <c r="D461"/>
      <c r="E461"/>
      <c r="F461"/>
      <c r="G461"/>
      <c r="H461"/>
      <c r="I461"/>
      <c r="J461"/>
      <c r="K461"/>
      <c r="L461"/>
      <c r="M461" s="16"/>
      <c r="N461"/>
      <c r="O461"/>
      <c r="P461"/>
    </row>
    <row r="462" spans="1:16" ht="15" x14ac:dyDescent="0.2">
      <c r="A462"/>
      <c r="B462"/>
      <c r="C462"/>
      <c r="D462"/>
      <c r="E462"/>
      <c r="F462"/>
      <c r="G462"/>
      <c r="H462"/>
      <c r="I462"/>
      <c r="J462"/>
      <c r="K462"/>
      <c r="L462"/>
      <c r="M462" s="16"/>
      <c r="N462"/>
      <c r="O462"/>
      <c r="P462"/>
    </row>
    <row r="463" spans="1:16" ht="15" x14ac:dyDescent="0.2">
      <c r="A463"/>
      <c r="B463"/>
      <c r="C463"/>
      <c r="D463"/>
      <c r="E463"/>
      <c r="F463"/>
      <c r="G463"/>
      <c r="H463"/>
      <c r="I463"/>
      <c r="J463"/>
      <c r="K463"/>
      <c r="L463"/>
      <c r="M463" s="16"/>
      <c r="N463"/>
      <c r="O463"/>
      <c r="P463"/>
    </row>
    <row r="464" spans="1:16" ht="15" x14ac:dyDescent="0.2">
      <c r="A464"/>
      <c r="B464"/>
      <c r="C464"/>
      <c r="D464"/>
      <c r="E464"/>
      <c r="F464"/>
      <c r="G464"/>
      <c r="H464"/>
      <c r="I464"/>
      <c r="J464"/>
      <c r="K464"/>
      <c r="L464"/>
      <c r="M464" s="16"/>
      <c r="N464"/>
      <c r="O464"/>
      <c r="P464"/>
    </row>
    <row r="465" spans="1:16" ht="15" x14ac:dyDescent="0.2">
      <c r="A465"/>
      <c r="B465"/>
      <c r="C465"/>
      <c r="D465"/>
      <c r="E465"/>
      <c r="F465"/>
      <c r="G465"/>
      <c r="H465"/>
      <c r="I465"/>
      <c r="J465"/>
      <c r="K465"/>
      <c r="L465"/>
      <c r="M465" s="16"/>
      <c r="N465"/>
      <c r="O465"/>
      <c r="P465"/>
    </row>
    <row r="466" spans="1:16" ht="15" x14ac:dyDescent="0.2">
      <c r="A466"/>
      <c r="B466"/>
      <c r="C466"/>
      <c r="D466"/>
      <c r="E466"/>
      <c r="F466"/>
      <c r="G466"/>
      <c r="H466"/>
      <c r="I466"/>
      <c r="J466"/>
      <c r="K466"/>
      <c r="L466"/>
      <c r="M466" s="16"/>
      <c r="N466"/>
      <c r="O466"/>
      <c r="P466"/>
    </row>
    <row r="467" spans="1:16" ht="15" x14ac:dyDescent="0.2">
      <c r="A467"/>
      <c r="B467"/>
      <c r="C467"/>
      <c r="D467"/>
      <c r="E467"/>
      <c r="F467"/>
      <c r="G467"/>
      <c r="H467"/>
      <c r="I467"/>
      <c r="J467"/>
      <c r="K467"/>
      <c r="L467"/>
      <c r="M467" s="16"/>
      <c r="N467"/>
      <c r="O467"/>
      <c r="P467"/>
    </row>
    <row r="468" spans="1:16" ht="15" x14ac:dyDescent="0.2">
      <c r="A468"/>
      <c r="B468"/>
      <c r="C468"/>
      <c r="D468"/>
      <c r="E468"/>
      <c r="F468"/>
      <c r="G468"/>
      <c r="H468"/>
      <c r="I468"/>
      <c r="J468"/>
      <c r="K468"/>
      <c r="L468"/>
      <c r="M468" s="16"/>
      <c r="N468"/>
      <c r="O468"/>
      <c r="P468"/>
    </row>
    <row r="469" spans="1:16" ht="15" x14ac:dyDescent="0.2">
      <c r="A469"/>
      <c r="B469"/>
      <c r="C469"/>
      <c r="D469"/>
      <c r="E469"/>
      <c r="F469"/>
      <c r="G469"/>
      <c r="H469"/>
      <c r="I469"/>
      <c r="J469"/>
      <c r="K469"/>
      <c r="L469"/>
      <c r="M469" s="16"/>
      <c r="N469"/>
      <c r="O469"/>
      <c r="P469"/>
    </row>
    <row r="470" spans="1:16" ht="15" x14ac:dyDescent="0.2">
      <c r="A470"/>
      <c r="B470"/>
      <c r="C470"/>
      <c r="D470"/>
      <c r="E470"/>
      <c r="F470"/>
      <c r="G470"/>
      <c r="H470"/>
      <c r="I470"/>
      <c r="J470"/>
      <c r="K470"/>
      <c r="L470"/>
      <c r="M470" s="16"/>
      <c r="N470"/>
      <c r="O470"/>
      <c r="P470"/>
    </row>
    <row r="471" spans="1:16" ht="15" x14ac:dyDescent="0.2">
      <c r="A471"/>
      <c r="B471"/>
      <c r="C471"/>
      <c r="D471"/>
      <c r="E471"/>
      <c r="F471"/>
      <c r="G471"/>
      <c r="H471"/>
      <c r="I471"/>
      <c r="J471"/>
      <c r="K471"/>
      <c r="L471"/>
      <c r="M471" s="16"/>
      <c r="N471"/>
      <c r="O471"/>
      <c r="P471"/>
    </row>
    <row r="472" spans="1:16" ht="15" x14ac:dyDescent="0.2">
      <c r="A472"/>
      <c r="B472"/>
      <c r="C472"/>
      <c r="D472"/>
      <c r="E472"/>
      <c r="F472"/>
      <c r="G472"/>
      <c r="H472"/>
      <c r="I472"/>
      <c r="J472"/>
      <c r="K472"/>
      <c r="L472"/>
      <c r="M472" s="16"/>
      <c r="N472"/>
      <c r="O472"/>
      <c r="P472"/>
    </row>
    <row r="473" spans="1:16" ht="15" x14ac:dyDescent="0.2">
      <c r="A473"/>
      <c r="B473"/>
      <c r="C473"/>
      <c r="D473"/>
      <c r="E473"/>
      <c r="F473"/>
      <c r="G473"/>
      <c r="H473"/>
      <c r="I473"/>
      <c r="J473"/>
      <c r="K473"/>
      <c r="L473"/>
      <c r="M473" s="16"/>
      <c r="N473"/>
      <c r="O473"/>
      <c r="P473"/>
    </row>
    <row r="474" spans="1:16" ht="15" x14ac:dyDescent="0.2">
      <c r="A474"/>
      <c r="B474"/>
      <c r="C474"/>
      <c r="D474"/>
      <c r="E474"/>
      <c r="F474"/>
      <c r="G474"/>
      <c r="H474"/>
      <c r="I474"/>
      <c r="J474"/>
      <c r="K474"/>
      <c r="L474"/>
      <c r="M474" s="16"/>
      <c r="N474"/>
      <c r="O474"/>
      <c r="P474"/>
    </row>
    <row r="475" spans="1:16" ht="15" x14ac:dyDescent="0.2">
      <c r="A475"/>
      <c r="B475"/>
      <c r="C475"/>
      <c r="D475"/>
      <c r="E475"/>
      <c r="F475"/>
      <c r="G475"/>
      <c r="H475"/>
      <c r="I475"/>
      <c r="J475"/>
      <c r="K475"/>
      <c r="L475"/>
      <c r="M475" s="16"/>
      <c r="N475"/>
      <c r="O475"/>
      <c r="P475"/>
    </row>
    <row r="476" spans="1:16" ht="15" x14ac:dyDescent="0.2">
      <c r="A476"/>
      <c r="B476"/>
      <c r="C476"/>
      <c r="D476"/>
      <c r="E476"/>
      <c r="F476"/>
      <c r="G476"/>
      <c r="H476"/>
      <c r="I476"/>
      <c r="J476"/>
      <c r="K476"/>
      <c r="L476"/>
      <c r="M476" s="16"/>
      <c r="N476"/>
      <c r="O476"/>
      <c r="P476"/>
    </row>
    <row r="477" spans="1:16" ht="15" x14ac:dyDescent="0.2">
      <c r="A477"/>
      <c r="B477"/>
      <c r="C477"/>
      <c r="D477"/>
      <c r="E477"/>
      <c r="F477"/>
      <c r="G477"/>
      <c r="H477"/>
      <c r="I477"/>
      <c r="J477"/>
      <c r="K477"/>
      <c r="L477"/>
      <c r="M477" s="16"/>
      <c r="N477"/>
      <c r="O477"/>
      <c r="P477"/>
    </row>
    <row r="478" spans="1:16" ht="15" x14ac:dyDescent="0.2">
      <c r="A478"/>
      <c r="B478"/>
      <c r="C478"/>
      <c r="D478"/>
      <c r="E478"/>
      <c r="F478"/>
      <c r="G478"/>
      <c r="H478"/>
      <c r="I478"/>
      <c r="J478"/>
      <c r="K478"/>
      <c r="L478"/>
      <c r="M478" s="16"/>
      <c r="N478"/>
      <c r="O478"/>
      <c r="P478"/>
    </row>
    <row r="479" spans="1:16" ht="15" x14ac:dyDescent="0.2">
      <c r="A479"/>
      <c r="B479"/>
      <c r="C479"/>
      <c r="D479"/>
      <c r="E479"/>
      <c r="F479"/>
      <c r="G479"/>
      <c r="H479"/>
      <c r="I479"/>
      <c r="J479"/>
      <c r="K479"/>
      <c r="L479"/>
      <c r="M479" s="16"/>
      <c r="N479"/>
      <c r="O479"/>
      <c r="P479"/>
    </row>
    <row r="480" spans="1:16" ht="15" x14ac:dyDescent="0.2">
      <c r="A480"/>
      <c r="B480"/>
      <c r="C480"/>
      <c r="D480"/>
      <c r="E480"/>
      <c r="F480"/>
      <c r="G480"/>
      <c r="H480"/>
      <c r="I480"/>
      <c r="J480"/>
      <c r="K480"/>
      <c r="L480"/>
      <c r="M480" s="16"/>
      <c r="N480"/>
      <c r="O480"/>
      <c r="P480"/>
    </row>
    <row r="481" spans="1:16" ht="15" x14ac:dyDescent="0.2">
      <c r="A481"/>
      <c r="B481"/>
      <c r="C481"/>
      <c r="D481"/>
      <c r="E481"/>
      <c r="F481"/>
      <c r="G481"/>
      <c r="H481"/>
      <c r="I481"/>
      <c r="J481"/>
      <c r="K481"/>
      <c r="L481"/>
      <c r="M481" s="16"/>
      <c r="N481"/>
      <c r="O481"/>
      <c r="P481"/>
    </row>
    <row r="482" spans="1:16" ht="15" x14ac:dyDescent="0.2">
      <c r="A482"/>
      <c r="B482"/>
      <c r="C482"/>
      <c r="D482"/>
      <c r="E482"/>
      <c r="F482"/>
      <c r="G482"/>
      <c r="H482"/>
      <c r="I482"/>
      <c r="J482"/>
      <c r="K482"/>
      <c r="L482"/>
      <c r="M482" s="16"/>
      <c r="N482"/>
      <c r="O482"/>
      <c r="P482"/>
    </row>
    <row r="483" spans="1:16" ht="15" x14ac:dyDescent="0.2">
      <c r="A483"/>
      <c r="B483"/>
      <c r="C483"/>
      <c r="D483"/>
      <c r="E483"/>
      <c r="F483"/>
      <c r="G483"/>
      <c r="H483"/>
      <c r="I483"/>
      <c r="J483"/>
      <c r="K483"/>
      <c r="L483"/>
      <c r="M483" s="16"/>
      <c r="N483"/>
      <c r="O483"/>
      <c r="P483"/>
    </row>
    <row r="484" spans="1:16" ht="15" x14ac:dyDescent="0.2">
      <c r="A484"/>
      <c r="B484"/>
      <c r="C484"/>
      <c r="D484"/>
      <c r="E484"/>
      <c r="F484"/>
      <c r="G484"/>
      <c r="H484"/>
      <c r="I484"/>
      <c r="J484"/>
      <c r="K484"/>
      <c r="L484"/>
      <c r="M484" s="16"/>
      <c r="N484"/>
      <c r="O484"/>
      <c r="P484"/>
    </row>
    <row r="485" spans="1:16" ht="15" x14ac:dyDescent="0.2">
      <c r="A485"/>
      <c r="B485"/>
      <c r="C485"/>
      <c r="D485"/>
      <c r="E485"/>
      <c r="F485"/>
      <c r="G485"/>
      <c r="H485"/>
      <c r="I485"/>
      <c r="J485"/>
      <c r="K485"/>
      <c r="L485"/>
      <c r="M485" s="16"/>
      <c r="N485"/>
      <c r="O485"/>
      <c r="P485"/>
    </row>
    <row r="486" spans="1:16" ht="15" x14ac:dyDescent="0.2">
      <c r="A486"/>
      <c r="B486"/>
      <c r="C486"/>
      <c r="D486"/>
      <c r="E486"/>
      <c r="F486"/>
      <c r="G486"/>
      <c r="H486"/>
      <c r="I486"/>
      <c r="J486"/>
      <c r="K486"/>
      <c r="L486"/>
      <c r="M486" s="16"/>
      <c r="N486"/>
      <c r="O486"/>
      <c r="P486"/>
    </row>
    <row r="487" spans="1:16" ht="15" x14ac:dyDescent="0.2">
      <c r="A487"/>
      <c r="B487"/>
      <c r="C487"/>
      <c r="D487"/>
      <c r="E487"/>
      <c r="F487"/>
      <c r="G487"/>
      <c r="H487"/>
      <c r="I487"/>
      <c r="J487"/>
      <c r="K487"/>
      <c r="L487"/>
      <c r="M487" s="16"/>
      <c r="N487"/>
      <c r="O487"/>
      <c r="P487"/>
    </row>
    <row r="488" spans="1:16" ht="15" x14ac:dyDescent="0.2">
      <c r="A488"/>
      <c r="B488"/>
      <c r="C488"/>
      <c r="D488"/>
      <c r="E488"/>
      <c r="F488"/>
      <c r="G488"/>
      <c r="H488"/>
      <c r="I488"/>
      <c r="J488"/>
      <c r="K488"/>
      <c r="L488"/>
      <c r="M488" s="16"/>
      <c r="N488"/>
      <c r="O488"/>
      <c r="P488"/>
    </row>
    <row r="489" spans="1:16" ht="15" x14ac:dyDescent="0.2">
      <c r="A489"/>
      <c r="B489"/>
      <c r="C489"/>
      <c r="D489"/>
      <c r="E489"/>
      <c r="F489"/>
      <c r="G489"/>
      <c r="H489"/>
      <c r="I489"/>
      <c r="J489"/>
      <c r="K489"/>
      <c r="L489"/>
      <c r="M489" s="16"/>
      <c r="N489"/>
      <c r="O489"/>
      <c r="P489"/>
    </row>
    <row r="490" spans="1:16" ht="15" x14ac:dyDescent="0.2">
      <c r="A490"/>
      <c r="B490"/>
      <c r="C490"/>
      <c r="D490"/>
      <c r="E490"/>
      <c r="F490"/>
      <c r="G490"/>
      <c r="H490"/>
      <c r="I490"/>
      <c r="J490"/>
      <c r="K490"/>
      <c r="L490"/>
      <c r="M490" s="16"/>
      <c r="N490"/>
      <c r="O490"/>
      <c r="P490"/>
    </row>
    <row r="491" spans="1:16" ht="15" x14ac:dyDescent="0.2">
      <c r="A491"/>
      <c r="B491"/>
      <c r="C491"/>
      <c r="D491"/>
      <c r="E491"/>
      <c r="F491"/>
      <c r="G491"/>
      <c r="H491"/>
      <c r="I491"/>
      <c r="J491"/>
      <c r="K491"/>
      <c r="L491"/>
      <c r="M491" s="16"/>
      <c r="N491"/>
      <c r="O491"/>
      <c r="P491"/>
    </row>
    <row r="492" spans="1:16" ht="15" x14ac:dyDescent="0.2">
      <c r="A492"/>
      <c r="B492"/>
      <c r="C492"/>
      <c r="D492"/>
      <c r="E492"/>
      <c r="F492"/>
      <c r="G492"/>
      <c r="H492"/>
      <c r="I492"/>
      <c r="J492"/>
      <c r="K492"/>
      <c r="L492"/>
      <c r="M492" s="16"/>
      <c r="N492"/>
      <c r="O492"/>
      <c r="P492"/>
    </row>
    <row r="493" spans="1:16" ht="15" x14ac:dyDescent="0.2">
      <c r="A493"/>
      <c r="B493"/>
      <c r="C493"/>
      <c r="D493"/>
      <c r="E493"/>
      <c r="F493"/>
      <c r="G493"/>
      <c r="H493"/>
      <c r="I493"/>
      <c r="J493"/>
      <c r="K493"/>
      <c r="L493"/>
      <c r="M493" s="16"/>
      <c r="N493"/>
      <c r="O493"/>
      <c r="P493"/>
    </row>
    <row r="494" spans="1:16" ht="15" x14ac:dyDescent="0.2">
      <c r="A494"/>
      <c r="B494"/>
      <c r="C494"/>
      <c r="D494"/>
      <c r="E494"/>
      <c r="F494"/>
      <c r="G494"/>
      <c r="H494"/>
      <c r="I494"/>
      <c r="J494"/>
      <c r="K494"/>
      <c r="L494"/>
      <c r="M494" s="16"/>
      <c r="N494"/>
      <c r="O494"/>
      <c r="P494"/>
    </row>
    <row r="495" spans="1:16" ht="15" x14ac:dyDescent="0.2">
      <c r="A495"/>
      <c r="B495"/>
      <c r="C495"/>
      <c r="D495"/>
      <c r="E495"/>
      <c r="F495"/>
      <c r="G495"/>
      <c r="H495"/>
      <c r="I495"/>
      <c r="J495"/>
      <c r="K495"/>
      <c r="L495"/>
      <c r="M495" s="16"/>
      <c r="N495"/>
      <c r="O495"/>
      <c r="P495"/>
    </row>
    <row r="496" spans="1:16" ht="15" x14ac:dyDescent="0.2">
      <c r="A496"/>
      <c r="B496"/>
      <c r="C496"/>
      <c r="D496"/>
      <c r="E496"/>
      <c r="F496"/>
      <c r="G496"/>
      <c r="H496"/>
      <c r="I496"/>
      <c r="J496"/>
      <c r="K496"/>
      <c r="L496"/>
      <c r="M496" s="16"/>
      <c r="N496"/>
      <c r="O496"/>
      <c r="P496"/>
    </row>
    <row r="497" spans="1:16" ht="15" x14ac:dyDescent="0.2">
      <c r="A497"/>
      <c r="B497"/>
      <c r="C497"/>
      <c r="D497"/>
      <c r="E497"/>
      <c r="F497"/>
      <c r="G497"/>
      <c r="H497"/>
      <c r="I497"/>
      <c r="J497"/>
      <c r="K497"/>
      <c r="L497"/>
      <c r="M497" s="16"/>
      <c r="N497"/>
      <c r="O497"/>
      <c r="P497"/>
    </row>
    <row r="498" spans="1:16" ht="15" x14ac:dyDescent="0.2">
      <c r="A498"/>
      <c r="B498"/>
      <c r="C498"/>
      <c r="D498"/>
      <c r="E498"/>
      <c r="F498"/>
      <c r="G498"/>
      <c r="H498"/>
      <c r="I498"/>
      <c r="J498"/>
      <c r="K498"/>
      <c r="L498"/>
      <c r="M498" s="16"/>
      <c r="N498"/>
      <c r="O498"/>
      <c r="P498"/>
    </row>
    <row r="499" spans="1:16" ht="15" x14ac:dyDescent="0.2">
      <c r="A499"/>
      <c r="B499"/>
      <c r="C499"/>
      <c r="D499"/>
      <c r="E499"/>
      <c r="F499"/>
      <c r="G499"/>
      <c r="H499"/>
      <c r="I499"/>
      <c r="J499"/>
      <c r="K499"/>
      <c r="L499"/>
      <c r="M499" s="16"/>
      <c r="N499"/>
      <c r="O499"/>
      <c r="P499"/>
    </row>
    <row r="500" spans="1:16" ht="15" x14ac:dyDescent="0.2">
      <c r="A500"/>
      <c r="B500"/>
      <c r="C500"/>
      <c r="D500"/>
      <c r="E500"/>
      <c r="F500"/>
      <c r="G500"/>
      <c r="H500"/>
      <c r="I500"/>
      <c r="J500"/>
      <c r="K500"/>
      <c r="L500"/>
      <c r="M500" s="16"/>
      <c r="N500"/>
      <c r="O500"/>
      <c r="P500"/>
    </row>
    <row r="501" spans="1:16" ht="15" x14ac:dyDescent="0.2">
      <c r="A501"/>
      <c r="B501"/>
      <c r="C501"/>
      <c r="D501"/>
      <c r="E501"/>
      <c r="F501"/>
      <c r="G501"/>
      <c r="H501"/>
      <c r="I501"/>
      <c r="J501"/>
      <c r="K501"/>
      <c r="L501"/>
      <c r="M501" s="16"/>
      <c r="N501"/>
      <c r="O501"/>
      <c r="P501"/>
    </row>
    <row r="502" spans="1:16" ht="15" x14ac:dyDescent="0.2">
      <c r="A502"/>
      <c r="B502"/>
      <c r="C502"/>
      <c r="D502"/>
      <c r="E502"/>
      <c r="F502"/>
      <c r="G502"/>
      <c r="H502"/>
      <c r="I502"/>
      <c r="J502"/>
      <c r="K502"/>
      <c r="L502"/>
      <c r="M502" s="16"/>
      <c r="N502"/>
      <c r="O502"/>
      <c r="P502"/>
    </row>
    <row r="503" spans="1:16" ht="15" x14ac:dyDescent="0.2">
      <c r="A503"/>
      <c r="B503"/>
      <c r="C503"/>
      <c r="D503"/>
      <c r="E503"/>
      <c r="F503"/>
      <c r="G503"/>
      <c r="H503"/>
      <c r="I503"/>
      <c r="J503"/>
      <c r="K503"/>
      <c r="L503"/>
      <c r="M503" s="16"/>
      <c r="N503"/>
      <c r="O503"/>
      <c r="P503"/>
    </row>
    <row r="504" spans="1:16" ht="15" x14ac:dyDescent="0.2">
      <c r="A504"/>
      <c r="B504"/>
      <c r="C504"/>
      <c r="D504"/>
      <c r="E504"/>
      <c r="F504"/>
      <c r="G504"/>
      <c r="H504"/>
      <c r="I504"/>
      <c r="J504"/>
      <c r="K504"/>
      <c r="L504"/>
      <c r="M504" s="16"/>
      <c r="N504"/>
      <c r="O504"/>
      <c r="P504"/>
    </row>
    <row r="505" spans="1:16" ht="15" x14ac:dyDescent="0.2">
      <c r="A505"/>
      <c r="B505"/>
      <c r="C505"/>
      <c r="D505"/>
      <c r="E505"/>
      <c r="F505"/>
      <c r="G505"/>
      <c r="H505"/>
      <c r="I505"/>
      <c r="J505"/>
      <c r="K505"/>
      <c r="L505"/>
      <c r="M505" s="16"/>
      <c r="N505"/>
      <c r="O505"/>
      <c r="P505"/>
    </row>
    <row r="506" spans="1:16" ht="15" x14ac:dyDescent="0.2">
      <c r="A506"/>
      <c r="B506"/>
      <c r="C506"/>
      <c r="D506"/>
      <c r="E506"/>
      <c r="F506"/>
      <c r="G506"/>
      <c r="H506"/>
      <c r="I506"/>
      <c r="J506"/>
      <c r="K506"/>
      <c r="L506"/>
      <c r="M506" s="16"/>
      <c r="N506"/>
      <c r="O506"/>
      <c r="P506"/>
    </row>
    <row r="507" spans="1:16" ht="15" x14ac:dyDescent="0.2">
      <c r="A507"/>
      <c r="B507"/>
      <c r="C507"/>
      <c r="D507"/>
      <c r="E507"/>
      <c r="F507"/>
      <c r="G507"/>
      <c r="H507"/>
      <c r="I507"/>
      <c r="J507"/>
      <c r="K507"/>
      <c r="L507"/>
      <c r="M507" s="16"/>
      <c r="N507"/>
      <c r="O507"/>
      <c r="P507"/>
    </row>
    <row r="508" spans="1:16" ht="15" x14ac:dyDescent="0.2">
      <c r="A508"/>
      <c r="B508"/>
      <c r="C508"/>
      <c r="D508"/>
      <c r="E508"/>
      <c r="F508"/>
      <c r="G508"/>
      <c r="H508"/>
      <c r="I508"/>
      <c r="J508"/>
      <c r="K508"/>
      <c r="L508"/>
      <c r="M508" s="16"/>
      <c r="N508"/>
      <c r="O508"/>
      <c r="P508"/>
    </row>
    <row r="509" spans="1:16" ht="15" x14ac:dyDescent="0.2">
      <c r="A509"/>
      <c r="B509"/>
      <c r="C509"/>
      <c r="D509"/>
      <c r="E509"/>
      <c r="F509"/>
      <c r="G509"/>
      <c r="H509"/>
      <c r="I509"/>
      <c r="J509"/>
      <c r="K509"/>
      <c r="L509"/>
      <c r="M509" s="16"/>
      <c r="N509"/>
      <c r="O509"/>
      <c r="P509"/>
    </row>
    <row r="510" spans="1:16" ht="15" x14ac:dyDescent="0.2">
      <c r="A510"/>
      <c r="B510"/>
      <c r="C510"/>
      <c r="D510"/>
      <c r="E510"/>
      <c r="F510"/>
      <c r="G510"/>
      <c r="H510"/>
      <c r="I510"/>
      <c r="J510"/>
      <c r="K510"/>
      <c r="L510"/>
      <c r="M510" s="16"/>
      <c r="N510"/>
      <c r="O510"/>
      <c r="P510"/>
    </row>
    <row r="511" spans="1:16" ht="15" x14ac:dyDescent="0.2">
      <c r="A511"/>
      <c r="B511"/>
      <c r="C511"/>
      <c r="D511"/>
      <c r="E511"/>
      <c r="F511"/>
      <c r="G511"/>
      <c r="H511"/>
      <c r="I511"/>
      <c r="J511"/>
      <c r="K511"/>
      <c r="L511"/>
      <c r="M511" s="16"/>
      <c r="N511"/>
      <c r="O511"/>
      <c r="P511"/>
    </row>
    <row r="512" spans="1:16" ht="15" x14ac:dyDescent="0.2">
      <c r="A512"/>
      <c r="B512"/>
      <c r="C512"/>
      <c r="D512"/>
      <c r="E512"/>
      <c r="F512"/>
      <c r="G512"/>
      <c r="H512"/>
      <c r="I512"/>
      <c r="J512"/>
      <c r="K512"/>
      <c r="L512"/>
      <c r="M512" s="16"/>
      <c r="N512"/>
      <c r="O512"/>
      <c r="P512"/>
    </row>
    <row r="513" spans="1:16" ht="15" x14ac:dyDescent="0.2">
      <c r="A513"/>
      <c r="B513"/>
      <c r="C513"/>
      <c r="D513"/>
      <c r="E513"/>
      <c r="F513"/>
      <c r="G513"/>
      <c r="H513"/>
      <c r="I513"/>
      <c r="J513"/>
      <c r="K513"/>
      <c r="L513"/>
      <c r="M513" s="16"/>
      <c r="N513"/>
      <c r="O513"/>
      <c r="P513"/>
    </row>
    <row r="514" spans="1:16" ht="15" x14ac:dyDescent="0.2">
      <c r="A514"/>
      <c r="B514"/>
      <c r="C514"/>
      <c r="D514"/>
      <c r="E514"/>
      <c r="F514"/>
      <c r="G514"/>
      <c r="H514"/>
      <c r="I514"/>
      <c r="J514"/>
      <c r="K514"/>
      <c r="L514"/>
      <c r="M514" s="16"/>
      <c r="N514"/>
      <c r="O514"/>
      <c r="P514"/>
    </row>
    <row r="515" spans="1:16" ht="15" x14ac:dyDescent="0.2">
      <c r="A515"/>
      <c r="B515"/>
      <c r="C515"/>
      <c r="D515"/>
      <c r="E515"/>
      <c r="F515"/>
      <c r="G515"/>
      <c r="H515"/>
      <c r="I515"/>
      <c r="J515"/>
      <c r="K515"/>
      <c r="L515"/>
      <c r="M515" s="16"/>
      <c r="N515"/>
      <c r="O515"/>
      <c r="P515"/>
    </row>
    <row r="516" spans="1:16" ht="15" x14ac:dyDescent="0.2">
      <c r="A516"/>
      <c r="B516"/>
      <c r="C516"/>
      <c r="D516"/>
      <c r="E516"/>
      <c r="F516"/>
      <c r="G516"/>
      <c r="H516"/>
      <c r="I516"/>
      <c r="J516"/>
      <c r="K516"/>
      <c r="L516"/>
      <c r="M516" s="16"/>
      <c r="N516"/>
      <c r="O516"/>
      <c r="P516"/>
    </row>
    <row r="517" spans="1:16" ht="15" x14ac:dyDescent="0.2">
      <c r="A517"/>
      <c r="B517"/>
      <c r="C517"/>
      <c r="D517"/>
      <c r="E517"/>
      <c r="F517"/>
      <c r="G517"/>
      <c r="H517"/>
      <c r="I517"/>
      <c r="J517"/>
      <c r="K517"/>
      <c r="L517"/>
      <c r="M517" s="16"/>
      <c r="N517"/>
      <c r="O517"/>
      <c r="P517"/>
    </row>
    <row r="518" spans="1:16" ht="15" x14ac:dyDescent="0.2">
      <c r="A518"/>
      <c r="B518"/>
      <c r="C518"/>
      <c r="D518"/>
      <c r="E518"/>
      <c r="F518"/>
      <c r="G518"/>
      <c r="H518"/>
      <c r="I518"/>
      <c r="J518"/>
      <c r="K518"/>
      <c r="L518"/>
      <c r="M518" s="16"/>
      <c r="N518"/>
      <c r="O518"/>
      <c r="P518"/>
    </row>
    <row r="519" spans="1:16" ht="15" x14ac:dyDescent="0.2">
      <c r="A519"/>
      <c r="B519"/>
      <c r="C519"/>
      <c r="D519"/>
      <c r="E519"/>
      <c r="F519"/>
      <c r="G519"/>
      <c r="H519"/>
      <c r="I519"/>
      <c r="J519"/>
      <c r="K519"/>
      <c r="L519"/>
      <c r="M519" s="16"/>
      <c r="N519"/>
      <c r="O519"/>
      <c r="P519"/>
    </row>
    <row r="520" spans="1:16" ht="15" x14ac:dyDescent="0.2">
      <c r="A520"/>
      <c r="B520"/>
      <c r="C520"/>
      <c r="D520"/>
      <c r="E520"/>
      <c r="F520"/>
      <c r="G520"/>
      <c r="H520"/>
      <c r="I520"/>
      <c r="J520"/>
      <c r="K520"/>
      <c r="L520"/>
      <c r="M520" s="16"/>
      <c r="N520"/>
      <c r="O520"/>
      <c r="P520"/>
    </row>
    <row r="521" spans="1:16" ht="15" x14ac:dyDescent="0.2">
      <c r="A521"/>
      <c r="B521"/>
      <c r="C521"/>
      <c r="D521"/>
      <c r="E521"/>
      <c r="F521"/>
      <c r="G521"/>
      <c r="H521"/>
      <c r="I521"/>
      <c r="J521"/>
      <c r="K521"/>
      <c r="L521"/>
      <c r="M521" s="16"/>
      <c r="N521"/>
      <c r="O521"/>
      <c r="P521"/>
    </row>
    <row r="522" spans="1:16" ht="15" x14ac:dyDescent="0.2">
      <c r="A522"/>
      <c r="B522"/>
      <c r="C522"/>
      <c r="D522"/>
      <c r="E522"/>
      <c r="F522"/>
      <c r="G522"/>
      <c r="H522"/>
      <c r="I522"/>
      <c r="J522"/>
      <c r="K522"/>
      <c r="L522"/>
      <c r="M522" s="16"/>
      <c r="N522"/>
      <c r="O522"/>
      <c r="P522"/>
    </row>
    <row r="523" spans="1:16" ht="15" x14ac:dyDescent="0.2">
      <c r="A523"/>
      <c r="B523"/>
      <c r="C523"/>
      <c r="D523"/>
      <c r="E523"/>
      <c r="F523"/>
      <c r="G523"/>
      <c r="H523"/>
      <c r="I523"/>
      <c r="J523"/>
      <c r="K523"/>
      <c r="L523"/>
      <c r="M523" s="16"/>
      <c r="N523"/>
      <c r="O523"/>
      <c r="P523"/>
    </row>
    <row r="524" spans="1:16" ht="15" x14ac:dyDescent="0.2">
      <c r="A524"/>
      <c r="B524"/>
      <c r="C524"/>
      <c r="D524"/>
      <c r="E524"/>
      <c r="F524"/>
      <c r="G524"/>
      <c r="H524"/>
      <c r="I524"/>
      <c r="J524"/>
      <c r="K524"/>
      <c r="L524"/>
      <c r="M524" s="16"/>
      <c r="N524"/>
      <c r="O524"/>
      <c r="P524"/>
    </row>
    <row r="525" spans="1:16" ht="15" x14ac:dyDescent="0.2">
      <c r="A525"/>
      <c r="B525"/>
      <c r="C525"/>
      <c r="D525"/>
      <c r="E525"/>
      <c r="F525"/>
      <c r="G525"/>
      <c r="H525"/>
      <c r="I525"/>
      <c r="J525"/>
      <c r="K525"/>
      <c r="L525"/>
      <c r="M525" s="16"/>
      <c r="N525"/>
      <c r="O525"/>
      <c r="P525"/>
    </row>
    <row r="526" spans="1:16" ht="15" x14ac:dyDescent="0.2">
      <c r="A526"/>
      <c r="B526"/>
      <c r="C526"/>
      <c r="D526"/>
      <c r="E526"/>
      <c r="F526"/>
      <c r="G526"/>
      <c r="H526"/>
      <c r="I526"/>
      <c r="J526"/>
      <c r="K526"/>
      <c r="L526"/>
      <c r="M526" s="16"/>
      <c r="N526"/>
      <c r="O526"/>
      <c r="P526"/>
    </row>
    <row r="527" spans="1:16" ht="15" x14ac:dyDescent="0.2">
      <c r="A527"/>
      <c r="B527"/>
      <c r="C527"/>
      <c r="D527"/>
      <c r="E527"/>
      <c r="F527"/>
      <c r="G527"/>
      <c r="H527"/>
      <c r="I527"/>
      <c r="J527"/>
      <c r="K527"/>
      <c r="L527"/>
      <c r="M527" s="16"/>
      <c r="N527"/>
      <c r="O527"/>
      <c r="P527"/>
    </row>
    <row r="528" spans="1:16" ht="15" x14ac:dyDescent="0.2">
      <c r="A528"/>
      <c r="B528"/>
      <c r="C528"/>
      <c r="D528"/>
      <c r="E528"/>
      <c r="F528"/>
      <c r="G528"/>
      <c r="H528"/>
      <c r="I528"/>
      <c r="J528"/>
      <c r="K528"/>
      <c r="L528"/>
      <c r="M528" s="16"/>
      <c r="N528"/>
      <c r="O528"/>
      <c r="P528"/>
    </row>
    <row r="529" spans="1:16" ht="15" x14ac:dyDescent="0.2">
      <c r="A529"/>
      <c r="B529"/>
      <c r="C529"/>
      <c r="D529"/>
      <c r="E529"/>
      <c r="F529"/>
      <c r="G529"/>
      <c r="H529"/>
      <c r="I529"/>
      <c r="J529"/>
      <c r="K529"/>
      <c r="L529"/>
      <c r="M529" s="16"/>
      <c r="N529"/>
      <c r="O529"/>
      <c r="P529"/>
    </row>
    <row r="530" spans="1:16" ht="15" x14ac:dyDescent="0.2">
      <c r="A530"/>
      <c r="B530"/>
      <c r="C530"/>
      <c r="D530"/>
      <c r="E530"/>
      <c r="F530"/>
      <c r="G530"/>
      <c r="H530"/>
      <c r="I530"/>
      <c r="J530"/>
      <c r="K530"/>
      <c r="L530"/>
      <c r="M530" s="16"/>
      <c r="N530"/>
      <c r="O530"/>
      <c r="P530"/>
    </row>
    <row r="531" spans="1:16" ht="15" x14ac:dyDescent="0.2">
      <c r="A531"/>
      <c r="B531"/>
      <c r="C531"/>
      <c r="D531"/>
      <c r="E531"/>
      <c r="F531"/>
      <c r="G531"/>
      <c r="H531"/>
      <c r="I531"/>
      <c r="J531"/>
      <c r="K531"/>
      <c r="L531"/>
      <c r="M531" s="16"/>
      <c r="N531"/>
      <c r="O531"/>
      <c r="P531"/>
    </row>
    <row r="532" spans="1:16" ht="15" x14ac:dyDescent="0.2">
      <c r="A532"/>
      <c r="B532"/>
      <c r="C532"/>
      <c r="D532"/>
      <c r="E532"/>
      <c r="F532"/>
      <c r="G532"/>
      <c r="H532"/>
      <c r="I532"/>
      <c r="J532"/>
      <c r="K532"/>
      <c r="L532"/>
      <c r="M532" s="16"/>
      <c r="N532"/>
      <c r="O532"/>
      <c r="P532"/>
    </row>
    <row r="533" spans="1:16" ht="15" x14ac:dyDescent="0.2">
      <c r="A533"/>
      <c r="B533"/>
      <c r="C533"/>
      <c r="D533"/>
      <c r="E533"/>
      <c r="F533"/>
      <c r="G533"/>
      <c r="H533"/>
      <c r="I533"/>
      <c r="J533"/>
      <c r="K533"/>
      <c r="L533"/>
      <c r="M533" s="16"/>
      <c r="N533"/>
      <c r="O533"/>
      <c r="P533"/>
    </row>
    <row r="534" spans="1:16" ht="15" x14ac:dyDescent="0.2">
      <c r="A534"/>
      <c r="B534"/>
      <c r="C534"/>
      <c r="D534"/>
      <c r="E534"/>
      <c r="F534"/>
      <c r="G534"/>
      <c r="H534"/>
      <c r="I534"/>
      <c r="J534"/>
      <c r="K534"/>
      <c r="L534"/>
      <c r="M534" s="16"/>
      <c r="N534"/>
      <c r="O534"/>
      <c r="P534"/>
    </row>
    <row r="535" spans="1:16" ht="15" x14ac:dyDescent="0.2">
      <c r="A535"/>
      <c r="B535"/>
      <c r="C535"/>
      <c r="D535"/>
      <c r="E535"/>
      <c r="F535"/>
      <c r="G535"/>
      <c r="H535"/>
      <c r="I535"/>
      <c r="J535"/>
      <c r="K535"/>
      <c r="L535"/>
      <c r="M535" s="16"/>
      <c r="N535"/>
      <c r="O535"/>
      <c r="P535"/>
    </row>
    <row r="536" spans="1:16" ht="15" x14ac:dyDescent="0.2">
      <c r="A536"/>
      <c r="B536"/>
      <c r="C536"/>
      <c r="D536"/>
      <c r="E536"/>
      <c r="F536"/>
      <c r="G536"/>
      <c r="H536"/>
      <c r="I536"/>
      <c r="J536"/>
      <c r="K536"/>
      <c r="L536"/>
      <c r="M536" s="16"/>
      <c r="N536"/>
      <c r="O536"/>
      <c r="P536"/>
    </row>
    <row r="537" spans="1:16" ht="15" x14ac:dyDescent="0.2">
      <c r="A537"/>
      <c r="B537"/>
      <c r="C537"/>
      <c r="D537"/>
      <c r="E537"/>
      <c r="F537"/>
      <c r="G537"/>
      <c r="H537"/>
      <c r="I537"/>
      <c r="J537"/>
      <c r="K537"/>
      <c r="L537"/>
      <c r="M537" s="16"/>
      <c r="N537"/>
      <c r="O537"/>
      <c r="P537"/>
    </row>
    <row r="538" spans="1:16" ht="15" x14ac:dyDescent="0.2">
      <c r="A538"/>
      <c r="B538"/>
      <c r="C538"/>
      <c r="D538"/>
      <c r="E538"/>
      <c r="F538"/>
      <c r="G538"/>
      <c r="H538"/>
      <c r="I538"/>
      <c r="J538"/>
      <c r="K538"/>
      <c r="L538"/>
      <c r="M538" s="16"/>
      <c r="N538"/>
      <c r="O538"/>
      <c r="P538"/>
    </row>
    <row r="539" spans="1:16" ht="15" x14ac:dyDescent="0.2">
      <c r="A539"/>
      <c r="B539"/>
      <c r="C539"/>
      <c r="D539"/>
      <c r="E539"/>
      <c r="F539"/>
      <c r="G539"/>
      <c r="H539"/>
      <c r="I539"/>
      <c r="J539"/>
      <c r="K539"/>
      <c r="L539"/>
      <c r="M539" s="16"/>
      <c r="N539"/>
      <c r="O539"/>
      <c r="P539"/>
    </row>
    <row r="540" spans="1:16" ht="15" x14ac:dyDescent="0.2">
      <c r="A540"/>
      <c r="B540"/>
      <c r="C540"/>
      <c r="D540"/>
      <c r="E540"/>
      <c r="F540"/>
      <c r="G540"/>
      <c r="H540"/>
      <c r="I540"/>
      <c r="J540"/>
      <c r="K540"/>
      <c r="L540"/>
      <c r="M540" s="16"/>
      <c r="N540"/>
      <c r="O540"/>
      <c r="P540"/>
    </row>
    <row r="541" spans="1:16" ht="15" x14ac:dyDescent="0.2">
      <c r="A541"/>
      <c r="B541"/>
      <c r="C541"/>
      <c r="D541"/>
      <c r="E541"/>
      <c r="F541"/>
      <c r="G541"/>
      <c r="H541"/>
      <c r="I541"/>
      <c r="J541"/>
      <c r="K541"/>
      <c r="L541"/>
      <c r="M541" s="16"/>
      <c r="N541"/>
      <c r="O541"/>
      <c r="P541"/>
    </row>
    <row r="542" spans="1:16" ht="15" x14ac:dyDescent="0.2">
      <c r="A542"/>
      <c r="B542"/>
      <c r="C542"/>
      <c r="D542"/>
      <c r="E542"/>
      <c r="F542"/>
      <c r="G542"/>
      <c r="H542"/>
      <c r="I542"/>
      <c r="J542"/>
      <c r="K542"/>
      <c r="L542"/>
      <c r="M542" s="16"/>
      <c r="N542"/>
      <c r="O542"/>
      <c r="P542"/>
    </row>
    <row r="543" spans="1:16" ht="15" x14ac:dyDescent="0.2">
      <c r="A543"/>
      <c r="B543"/>
      <c r="C543"/>
      <c r="D543"/>
      <c r="E543"/>
      <c r="F543"/>
      <c r="G543"/>
      <c r="H543"/>
      <c r="I543"/>
      <c r="J543"/>
      <c r="K543"/>
      <c r="L543"/>
      <c r="M543" s="16"/>
      <c r="N543"/>
      <c r="O543"/>
      <c r="P543"/>
    </row>
    <row r="544" spans="1:16" ht="15" x14ac:dyDescent="0.2">
      <c r="A544"/>
      <c r="B544"/>
      <c r="C544"/>
      <c r="D544"/>
      <c r="E544"/>
      <c r="F544"/>
      <c r="G544"/>
      <c r="H544"/>
      <c r="I544"/>
      <c r="J544"/>
      <c r="K544"/>
      <c r="L544"/>
      <c r="M544" s="16"/>
      <c r="N544"/>
      <c r="O544"/>
      <c r="P544"/>
    </row>
    <row r="545" spans="1:16" ht="15" x14ac:dyDescent="0.2">
      <c r="A545"/>
      <c r="B545"/>
      <c r="C545"/>
      <c r="D545"/>
      <c r="E545"/>
      <c r="F545"/>
      <c r="G545"/>
      <c r="H545"/>
      <c r="I545"/>
      <c r="J545"/>
      <c r="K545"/>
      <c r="L545"/>
      <c r="M545" s="16"/>
      <c r="N545"/>
      <c r="O545"/>
      <c r="P545"/>
    </row>
    <row r="546" spans="1:16" ht="15" x14ac:dyDescent="0.2">
      <c r="A546"/>
      <c r="B546"/>
      <c r="C546"/>
      <c r="D546"/>
      <c r="E546"/>
      <c r="F546"/>
      <c r="G546"/>
      <c r="H546"/>
      <c r="I546"/>
      <c r="J546"/>
      <c r="K546"/>
      <c r="L546"/>
      <c r="M546" s="16"/>
      <c r="N546"/>
      <c r="O546"/>
      <c r="P546"/>
    </row>
    <row r="547" spans="1:16" ht="15" x14ac:dyDescent="0.2">
      <c r="A547"/>
      <c r="B547"/>
      <c r="C547"/>
      <c r="D547"/>
      <c r="E547"/>
      <c r="F547"/>
      <c r="G547"/>
      <c r="H547"/>
      <c r="I547"/>
      <c r="J547"/>
      <c r="K547"/>
      <c r="L547"/>
      <c r="M547" s="16"/>
      <c r="N547"/>
      <c r="O547"/>
      <c r="P547"/>
    </row>
    <row r="548" spans="1:16" ht="15" x14ac:dyDescent="0.2">
      <c r="A548"/>
      <c r="B548"/>
      <c r="C548"/>
      <c r="D548"/>
      <c r="E548"/>
      <c r="F548"/>
      <c r="G548"/>
      <c r="H548"/>
      <c r="I548"/>
      <c r="J548"/>
      <c r="K548"/>
      <c r="L548"/>
      <c r="M548" s="16"/>
      <c r="N548"/>
      <c r="O548"/>
      <c r="P548"/>
    </row>
    <row r="549" spans="1:16" ht="15" x14ac:dyDescent="0.2">
      <c r="A549"/>
      <c r="B549"/>
      <c r="C549"/>
      <c r="D549"/>
      <c r="E549"/>
      <c r="F549"/>
      <c r="G549"/>
      <c r="H549"/>
      <c r="I549"/>
      <c r="J549"/>
      <c r="K549"/>
      <c r="L549"/>
      <c r="M549" s="16"/>
      <c r="N549"/>
      <c r="O549"/>
      <c r="P549"/>
    </row>
    <row r="550" spans="1:16" ht="15" x14ac:dyDescent="0.2">
      <c r="A550"/>
      <c r="B550"/>
      <c r="C550"/>
      <c r="D550"/>
      <c r="E550"/>
      <c r="F550"/>
      <c r="G550"/>
      <c r="H550"/>
      <c r="I550"/>
      <c r="J550"/>
      <c r="K550"/>
      <c r="L550"/>
      <c r="M550" s="16"/>
      <c r="N550"/>
      <c r="O550"/>
      <c r="P550"/>
    </row>
    <row r="551" spans="1:16" ht="15" x14ac:dyDescent="0.2">
      <c r="A551"/>
      <c r="B551"/>
      <c r="C551"/>
      <c r="D551"/>
      <c r="E551"/>
      <c r="F551"/>
      <c r="G551"/>
      <c r="H551"/>
      <c r="I551"/>
      <c r="J551"/>
      <c r="K551"/>
      <c r="L551"/>
      <c r="M551" s="16"/>
      <c r="N551"/>
      <c r="O551"/>
      <c r="P551"/>
    </row>
    <row r="552" spans="1:16" ht="15" x14ac:dyDescent="0.2">
      <c r="A552"/>
      <c r="B552"/>
      <c r="C552"/>
      <c r="D552"/>
      <c r="E552"/>
      <c r="F552"/>
      <c r="G552"/>
      <c r="H552"/>
      <c r="I552"/>
      <c r="J552"/>
      <c r="K552"/>
      <c r="L552"/>
      <c r="M552" s="16"/>
      <c r="N552"/>
      <c r="O552"/>
      <c r="P552"/>
    </row>
    <row r="553" spans="1:16" ht="15" x14ac:dyDescent="0.2">
      <c r="A553"/>
      <c r="B553"/>
      <c r="C553"/>
      <c r="D553"/>
      <c r="E553"/>
      <c r="F553"/>
      <c r="G553"/>
      <c r="H553"/>
      <c r="I553"/>
      <c r="J553"/>
      <c r="K553"/>
      <c r="L553"/>
      <c r="M553" s="16"/>
      <c r="N553"/>
      <c r="O553"/>
      <c r="P553"/>
    </row>
    <row r="554" spans="1:16" ht="15" x14ac:dyDescent="0.2">
      <c r="A554"/>
      <c r="B554"/>
      <c r="C554"/>
      <c r="D554"/>
      <c r="E554"/>
      <c r="F554"/>
      <c r="G554"/>
      <c r="H554"/>
      <c r="I554"/>
      <c r="J554"/>
      <c r="K554"/>
      <c r="L554"/>
      <c r="M554" s="16"/>
      <c r="N554"/>
      <c r="O554"/>
      <c r="P554"/>
    </row>
    <row r="555" spans="1:16" ht="15" x14ac:dyDescent="0.2">
      <c r="A555"/>
      <c r="B555"/>
      <c r="C555"/>
      <c r="D555"/>
      <c r="E555"/>
      <c r="F555"/>
      <c r="G555"/>
      <c r="H555"/>
      <c r="I555"/>
      <c r="J555"/>
      <c r="K555"/>
      <c r="L555"/>
      <c r="M555" s="16"/>
      <c r="N555"/>
      <c r="O555"/>
      <c r="P555"/>
    </row>
    <row r="556" spans="1:16" ht="15" x14ac:dyDescent="0.2">
      <c r="A556"/>
      <c r="B556"/>
      <c r="C556"/>
      <c r="D556"/>
      <c r="E556"/>
      <c r="F556"/>
      <c r="G556"/>
      <c r="H556"/>
      <c r="I556"/>
      <c r="J556"/>
      <c r="K556"/>
      <c r="L556"/>
      <c r="M556" s="16"/>
      <c r="N556"/>
      <c r="O556"/>
      <c r="P556"/>
    </row>
    <row r="557" spans="1:16" ht="15" x14ac:dyDescent="0.2">
      <c r="A557"/>
      <c r="B557"/>
      <c r="C557"/>
      <c r="D557"/>
      <c r="E557"/>
      <c r="F557"/>
      <c r="G557"/>
      <c r="H557"/>
      <c r="I557"/>
      <c r="J557"/>
      <c r="K557"/>
      <c r="L557"/>
      <c r="M557" s="16"/>
      <c r="N557"/>
      <c r="O557"/>
      <c r="P557"/>
    </row>
    <row r="558" spans="1:16" ht="15" x14ac:dyDescent="0.2">
      <c r="A558"/>
      <c r="B558"/>
      <c r="C558"/>
      <c r="D558"/>
      <c r="E558"/>
      <c r="F558"/>
      <c r="G558"/>
      <c r="H558"/>
      <c r="I558"/>
      <c r="J558"/>
      <c r="K558"/>
      <c r="L558"/>
      <c r="M558" s="16"/>
      <c r="N558"/>
      <c r="O558"/>
      <c r="P558"/>
    </row>
    <row r="559" spans="1:16" ht="15" x14ac:dyDescent="0.2">
      <c r="A559"/>
      <c r="B559"/>
      <c r="C559"/>
      <c r="D559"/>
      <c r="E559"/>
      <c r="F559"/>
      <c r="G559"/>
      <c r="H559"/>
      <c r="I559"/>
      <c r="J559"/>
      <c r="K559"/>
      <c r="L559"/>
      <c r="M559" s="16"/>
      <c r="N559"/>
      <c r="O559"/>
      <c r="P559"/>
    </row>
    <row r="560" spans="1:16" ht="15" x14ac:dyDescent="0.2">
      <c r="A560"/>
      <c r="B560"/>
      <c r="C560"/>
      <c r="D560"/>
      <c r="E560"/>
      <c r="F560"/>
      <c r="G560"/>
      <c r="H560"/>
      <c r="I560"/>
      <c r="J560"/>
      <c r="K560"/>
      <c r="L560"/>
      <c r="M560" s="16"/>
      <c r="N560"/>
      <c r="O560"/>
      <c r="P560"/>
    </row>
    <row r="561" spans="1:16" ht="15" x14ac:dyDescent="0.2">
      <c r="A561"/>
      <c r="B561"/>
      <c r="C561"/>
      <c r="D561"/>
      <c r="E561"/>
      <c r="F561"/>
      <c r="G561"/>
      <c r="H561"/>
      <c r="I561"/>
      <c r="J561"/>
      <c r="K561"/>
      <c r="L561"/>
      <c r="M561" s="16"/>
      <c r="N561"/>
      <c r="O561"/>
      <c r="P561"/>
    </row>
    <row r="562" spans="1:16" ht="15" x14ac:dyDescent="0.2">
      <c r="A562"/>
      <c r="B562"/>
      <c r="C562"/>
      <c r="D562"/>
      <c r="E562"/>
      <c r="F562"/>
      <c r="G562"/>
      <c r="H562"/>
      <c r="I562"/>
      <c r="J562"/>
      <c r="K562"/>
      <c r="L562"/>
      <c r="M562" s="16"/>
      <c r="N562"/>
      <c r="O562"/>
      <c r="P562"/>
    </row>
    <row r="563" spans="1:16" ht="15" x14ac:dyDescent="0.2">
      <c r="A563"/>
      <c r="B563"/>
      <c r="C563"/>
      <c r="D563"/>
      <c r="E563"/>
      <c r="F563"/>
      <c r="G563"/>
      <c r="H563"/>
      <c r="I563"/>
      <c r="J563"/>
      <c r="K563"/>
      <c r="L563"/>
      <c r="M563" s="16"/>
      <c r="N563"/>
      <c r="O563"/>
      <c r="P563"/>
    </row>
    <row r="564" spans="1:16" ht="15" x14ac:dyDescent="0.2">
      <c r="A564"/>
      <c r="B564"/>
      <c r="C564"/>
      <c r="D564"/>
      <c r="E564"/>
      <c r="F564"/>
      <c r="G564"/>
      <c r="H564"/>
      <c r="I564"/>
      <c r="J564"/>
      <c r="K564"/>
      <c r="L564"/>
      <c r="M564" s="16"/>
      <c r="N564"/>
      <c r="O564"/>
      <c r="P564"/>
    </row>
    <row r="565" spans="1:16" ht="15" x14ac:dyDescent="0.2">
      <c r="A565"/>
      <c r="B565"/>
      <c r="C565"/>
      <c r="D565"/>
      <c r="E565"/>
      <c r="F565"/>
      <c r="G565"/>
      <c r="H565"/>
      <c r="I565"/>
      <c r="J565"/>
      <c r="K565"/>
      <c r="L565"/>
      <c r="M565" s="16"/>
      <c r="N565"/>
      <c r="O565"/>
      <c r="P565"/>
    </row>
    <row r="566" spans="1:16" ht="15" x14ac:dyDescent="0.2">
      <c r="A566"/>
      <c r="B566"/>
      <c r="C566"/>
      <c r="D566"/>
      <c r="E566"/>
      <c r="F566"/>
      <c r="G566"/>
      <c r="H566"/>
      <c r="I566"/>
      <c r="J566"/>
      <c r="K566"/>
      <c r="L566"/>
      <c r="M566" s="16"/>
      <c r="N566"/>
      <c r="O566"/>
      <c r="P566"/>
    </row>
    <row r="567" spans="1:16" ht="15" x14ac:dyDescent="0.2">
      <c r="A567"/>
      <c r="B567"/>
      <c r="C567"/>
      <c r="D567"/>
      <c r="E567"/>
      <c r="F567"/>
      <c r="G567"/>
      <c r="H567"/>
      <c r="I567"/>
      <c r="J567"/>
      <c r="K567"/>
      <c r="L567"/>
      <c r="M567" s="16"/>
      <c r="N567"/>
      <c r="O567"/>
      <c r="P567"/>
    </row>
    <row r="568" spans="1:16" ht="15" x14ac:dyDescent="0.2">
      <c r="A568"/>
      <c r="B568"/>
      <c r="C568"/>
      <c r="D568"/>
      <c r="E568"/>
      <c r="F568"/>
      <c r="G568"/>
      <c r="H568"/>
      <c r="I568"/>
      <c r="J568"/>
      <c r="K568"/>
      <c r="L568"/>
      <c r="M568" s="16"/>
      <c r="N568"/>
      <c r="O568"/>
      <c r="P568"/>
    </row>
    <row r="569" spans="1:16" ht="15" x14ac:dyDescent="0.2">
      <c r="A569"/>
      <c r="B569"/>
      <c r="C569"/>
      <c r="D569"/>
      <c r="E569"/>
      <c r="F569"/>
      <c r="G569"/>
      <c r="H569"/>
      <c r="I569"/>
      <c r="J569"/>
      <c r="K569"/>
      <c r="L569"/>
      <c r="M569" s="16"/>
      <c r="N569"/>
      <c r="O569"/>
      <c r="P569"/>
    </row>
    <row r="570" spans="1:16" ht="15" x14ac:dyDescent="0.2">
      <c r="A570"/>
      <c r="B570"/>
      <c r="C570"/>
      <c r="D570"/>
      <c r="E570"/>
      <c r="F570"/>
      <c r="G570"/>
      <c r="H570"/>
      <c r="I570"/>
      <c r="J570"/>
      <c r="K570"/>
      <c r="L570"/>
      <c r="M570" s="16"/>
      <c r="N570"/>
      <c r="O570"/>
      <c r="P570"/>
    </row>
    <row r="571" spans="1:16" ht="15" x14ac:dyDescent="0.2">
      <c r="A571"/>
      <c r="B571"/>
      <c r="C571"/>
      <c r="D571"/>
      <c r="E571"/>
      <c r="F571"/>
      <c r="G571"/>
      <c r="H571"/>
      <c r="I571"/>
      <c r="J571"/>
      <c r="K571"/>
      <c r="L571"/>
      <c r="M571" s="16"/>
      <c r="N571"/>
      <c r="O571"/>
      <c r="P571"/>
    </row>
    <row r="572" spans="1:16" ht="15" x14ac:dyDescent="0.2">
      <c r="A572"/>
      <c r="B572"/>
      <c r="C572"/>
      <c r="D572"/>
      <c r="E572"/>
      <c r="F572"/>
      <c r="G572"/>
      <c r="H572"/>
      <c r="I572"/>
      <c r="J572"/>
      <c r="K572"/>
      <c r="L572"/>
      <c r="M572" s="16"/>
      <c r="N572"/>
      <c r="O572"/>
      <c r="P572"/>
    </row>
    <row r="573" spans="1:16" ht="15" x14ac:dyDescent="0.2">
      <c r="A573"/>
      <c r="B573"/>
      <c r="C573"/>
      <c r="D573"/>
      <c r="E573"/>
      <c r="F573"/>
      <c r="G573"/>
      <c r="H573"/>
      <c r="I573"/>
      <c r="J573"/>
      <c r="K573"/>
      <c r="L573"/>
      <c r="M573" s="16"/>
      <c r="N573"/>
      <c r="O573"/>
      <c r="P573"/>
    </row>
    <row r="574" spans="1:16" ht="15" x14ac:dyDescent="0.2">
      <c r="A574"/>
      <c r="B574"/>
      <c r="C574"/>
      <c r="D574"/>
      <c r="E574"/>
      <c r="F574"/>
      <c r="G574"/>
      <c r="H574"/>
      <c r="I574"/>
      <c r="J574"/>
      <c r="K574"/>
      <c r="L574"/>
      <c r="M574" s="16"/>
      <c r="N574"/>
      <c r="O574"/>
      <c r="P574"/>
    </row>
    <row r="575" spans="1:16" ht="15" x14ac:dyDescent="0.2">
      <c r="A575"/>
      <c r="B575"/>
      <c r="C575"/>
      <c r="D575"/>
      <c r="E575"/>
      <c r="F575"/>
      <c r="G575"/>
      <c r="H575"/>
      <c r="I575"/>
      <c r="J575"/>
      <c r="K575"/>
      <c r="L575"/>
      <c r="M575" s="16"/>
      <c r="N575"/>
      <c r="O575"/>
      <c r="P575"/>
    </row>
    <row r="576" spans="1:16" ht="15" x14ac:dyDescent="0.2">
      <c r="A576"/>
      <c r="B576"/>
      <c r="C576"/>
      <c r="D576"/>
      <c r="E576"/>
      <c r="F576"/>
      <c r="G576"/>
      <c r="H576"/>
      <c r="I576"/>
      <c r="J576"/>
      <c r="K576"/>
      <c r="L576"/>
      <c r="M576" s="16"/>
      <c r="N576"/>
      <c r="O576"/>
      <c r="P576"/>
    </row>
    <row r="577" spans="1:16" ht="15" x14ac:dyDescent="0.2">
      <c r="A577"/>
      <c r="B577"/>
      <c r="C577"/>
      <c r="D577"/>
      <c r="E577"/>
      <c r="F577"/>
      <c r="G577"/>
      <c r="H577"/>
      <c r="I577"/>
      <c r="J577"/>
      <c r="K577"/>
      <c r="L577"/>
      <c r="M577" s="16"/>
      <c r="N577"/>
      <c r="O577"/>
      <c r="P577"/>
    </row>
    <row r="578" spans="1:16" ht="15" x14ac:dyDescent="0.2">
      <c r="A578"/>
      <c r="B578"/>
      <c r="C578"/>
      <c r="D578"/>
      <c r="E578"/>
      <c r="F578"/>
      <c r="G578"/>
      <c r="H578"/>
      <c r="I578"/>
      <c r="J578"/>
      <c r="K578"/>
      <c r="L578"/>
      <c r="M578" s="16"/>
      <c r="N578"/>
      <c r="O578"/>
      <c r="P578"/>
    </row>
    <row r="579" spans="1:16" ht="15" x14ac:dyDescent="0.2">
      <c r="A579"/>
      <c r="B579"/>
      <c r="C579"/>
      <c r="D579"/>
      <c r="E579"/>
      <c r="F579"/>
      <c r="G579"/>
      <c r="H579"/>
      <c r="I579"/>
      <c r="J579"/>
      <c r="K579"/>
      <c r="L579"/>
      <c r="M579" s="16"/>
      <c r="N579"/>
      <c r="O579"/>
      <c r="P579"/>
    </row>
    <row r="580" spans="1:16" ht="15" x14ac:dyDescent="0.2">
      <c r="A580"/>
      <c r="B580"/>
      <c r="C580"/>
      <c r="D580"/>
      <c r="E580"/>
      <c r="F580"/>
      <c r="G580"/>
      <c r="H580"/>
      <c r="I580"/>
      <c r="J580"/>
      <c r="K580"/>
      <c r="L580"/>
      <c r="M580" s="16"/>
      <c r="N580"/>
      <c r="O580"/>
      <c r="P580"/>
    </row>
    <row r="581" spans="1:16" ht="15" x14ac:dyDescent="0.2">
      <c r="A581"/>
      <c r="B581"/>
      <c r="C581"/>
      <c r="D581"/>
      <c r="E581"/>
      <c r="F581"/>
      <c r="G581"/>
      <c r="H581"/>
      <c r="I581"/>
      <c r="J581"/>
      <c r="K581"/>
      <c r="L581"/>
      <c r="M581" s="16"/>
      <c r="N581"/>
      <c r="O581"/>
      <c r="P581"/>
    </row>
    <row r="582" spans="1:16" ht="15" x14ac:dyDescent="0.2">
      <c r="A582"/>
      <c r="B582"/>
      <c r="C582"/>
      <c r="D582"/>
      <c r="E582"/>
      <c r="F582"/>
      <c r="G582"/>
      <c r="H582"/>
      <c r="I582"/>
      <c r="J582"/>
      <c r="K582"/>
      <c r="L582"/>
      <c r="M582" s="16"/>
      <c r="N582"/>
      <c r="O582"/>
      <c r="P582"/>
    </row>
    <row r="583" spans="1:16" ht="15" x14ac:dyDescent="0.2">
      <c r="A583"/>
      <c r="B583"/>
      <c r="C583"/>
      <c r="D583"/>
      <c r="E583"/>
      <c r="F583"/>
      <c r="G583"/>
      <c r="H583"/>
      <c r="I583"/>
      <c r="J583"/>
      <c r="K583"/>
      <c r="L583"/>
      <c r="M583" s="16"/>
      <c r="N583"/>
      <c r="O583"/>
      <c r="P583"/>
    </row>
    <row r="584" spans="1:16" ht="15" x14ac:dyDescent="0.2">
      <c r="A584"/>
      <c r="B584"/>
      <c r="C584"/>
      <c r="D584"/>
      <c r="E584"/>
      <c r="F584"/>
      <c r="G584"/>
      <c r="H584"/>
      <c r="I584"/>
      <c r="J584"/>
      <c r="K584"/>
      <c r="L584"/>
      <c r="M584" s="16"/>
      <c r="N584"/>
      <c r="O584"/>
      <c r="P584"/>
    </row>
    <row r="585" spans="1:16" ht="15" x14ac:dyDescent="0.2">
      <c r="A585"/>
      <c r="B585"/>
      <c r="C585"/>
      <c r="D585"/>
      <c r="E585"/>
      <c r="F585"/>
      <c r="G585"/>
      <c r="H585"/>
      <c r="I585"/>
      <c r="J585"/>
      <c r="K585"/>
      <c r="L585"/>
      <c r="M585" s="16"/>
      <c r="N585"/>
      <c r="O585"/>
      <c r="P585"/>
    </row>
    <row r="586" spans="1:16" ht="15" x14ac:dyDescent="0.2">
      <c r="A586"/>
      <c r="B586"/>
      <c r="C586"/>
      <c r="D586"/>
      <c r="E586"/>
      <c r="F586"/>
      <c r="G586"/>
      <c r="H586"/>
      <c r="I586"/>
      <c r="J586"/>
      <c r="K586"/>
      <c r="L586"/>
      <c r="M586" s="16"/>
      <c r="N586"/>
      <c r="O586"/>
      <c r="P586"/>
    </row>
    <row r="587" spans="1:16" ht="15" x14ac:dyDescent="0.2">
      <c r="A587"/>
      <c r="B587"/>
      <c r="C587"/>
      <c r="D587"/>
      <c r="E587"/>
      <c r="F587"/>
      <c r="G587"/>
      <c r="H587"/>
      <c r="I587"/>
      <c r="J587"/>
      <c r="K587"/>
      <c r="L587"/>
      <c r="M587" s="16"/>
      <c r="N587"/>
      <c r="O587"/>
      <c r="P587"/>
    </row>
    <row r="588" spans="1:16" ht="15" x14ac:dyDescent="0.2">
      <c r="A588"/>
      <c r="B588"/>
      <c r="C588"/>
      <c r="D588"/>
      <c r="E588"/>
      <c r="F588"/>
      <c r="G588"/>
      <c r="H588"/>
      <c r="I588"/>
      <c r="J588"/>
      <c r="K588"/>
      <c r="L588"/>
      <c r="M588" s="16"/>
      <c r="N588"/>
      <c r="O588"/>
      <c r="P588"/>
    </row>
    <row r="589" spans="1:16" ht="15" x14ac:dyDescent="0.2">
      <c r="A589"/>
      <c r="B589"/>
      <c r="C589"/>
      <c r="D589"/>
      <c r="E589"/>
      <c r="F589"/>
      <c r="G589"/>
      <c r="H589"/>
      <c r="I589"/>
      <c r="J589"/>
      <c r="K589"/>
      <c r="L589"/>
      <c r="M589" s="16"/>
      <c r="N589"/>
      <c r="O589"/>
      <c r="P589"/>
    </row>
    <row r="590" spans="1:16" ht="15" x14ac:dyDescent="0.2">
      <c r="A590"/>
      <c r="B590"/>
      <c r="C590"/>
      <c r="D590"/>
      <c r="E590"/>
      <c r="F590"/>
      <c r="G590"/>
      <c r="H590"/>
      <c r="I590"/>
      <c r="J590"/>
      <c r="K590"/>
      <c r="L590"/>
      <c r="M590" s="16"/>
      <c r="N590"/>
      <c r="O590"/>
      <c r="P590"/>
    </row>
    <row r="591" spans="1:16" ht="15" x14ac:dyDescent="0.2">
      <c r="A591"/>
      <c r="B591"/>
      <c r="C591"/>
      <c r="D591"/>
      <c r="E591"/>
      <c r="F591"/>
      <c r="G591"/>
      <c r="H591"/>
      <c r="I591"/>
      <c r="J591"/>
      <c r="K591"/>
      <c r="L591"/>
      <c r="M591" s="16"/>
      <c r="N591"/>
      <c r="O591"/>
      <c r="P591"/>
    </row>
    <row r="592" spans="1:16" ht="15" x14ac:dyDescent="0.2">
      <c r="A592"/>
      <c r="B592"/>
      <c r="C592"/>
      <c r="D592"/>
      <c r="E592"/>
      <c r="F592"/>
      <c r="G592"/>
      <c r="H592"/>
      <c r="I592"/>
      <c r="J592"/>
      <c r="K592"/>
      <c r="L592"/>
      <c r="M592" s="16"/>
      <c r="N592"/>
      <c r="O592"/>
      <c r="P592"/>
    </row>
    <row r="593" spans="1:16" ht="15" x14ac:dyDescent="0.2">
      <c r="A593"/>
      <c r="B593"/>
      <c r="C593"/>
      <c r="D593"/>
      <c r="E593"/>
      <c r="F593"/>
      <c r="G593"/>
      <c r="H593"/>
      <c r="I593"/>
      <c r="J593"/>
      <c r="K593"/>
      <c r="L593"/>
      <c r="M593" s="16"/>
      <c r="N593"/>
      <c r="O593"/>
      <c r="P593"/>
    </row>
    <row r="594" spans="1:16" ht="15" x14ac:dyDescent="0.2">
      <c r="A594"/>
      <c r="B594"/>
      <c r="C594"/>
      <c r="D594"/>
      <c r="E594"/>
      <c r="F594"/>
      <c r="G594"/>
      <c r="H594"/>
      <c r="I594"/>
      <c r="J594"/>
      <c r="K594"/>
      <c r="L594"/>
      <c r="M594" s="16"/>
      <c r="N594"/>
      <c r="O594"/>
      <c r="P594"/>
    </row>
    <row r="595" spans="1:16" ht="15" x14ac:dyDescent="0.2">
      <c r="A595"/>
      <c r="B595"/>
      <c r="C595"/>
      <c r="D595"/>
      <c r="E595"/>
      <c r="F595"/>
      <c r="G595"/>
      <c r="H595"/>
      <c r="I595"/>
      <c r="J595"/>
      <c r="K595"/>
      <c r="L595"/>
      <c r="M595" s="16"/>
      <c r="N595"/>
      <c r="O595"/>
      <c r="P595"/>
    </row>
    <row r="596" spans="1:16" ht="15" x14ac:dyDescent="0.2">
      <c r="A596"/>
      <c r="B596"/>
      <c r="C596"/>
      <c r="D596"/>
      <c r="E596"/>
      <c r="F596"/>
      <c r="G596"/>
      <c r="H596"/>
      <c r="I596"/>
      <c r="J596"/>
      <c r="K596"/>
      <c r="L596"/>
      <c r="M596" s="16"/>
      <c r="N596"/>
      <c r="O596"/>
      <c r="P596"/>
    </row>
    <row r="597" spans="1:16" ht="15" x14ac:dyDescent="0.2">
      <c r="A597"/>
      <c r="B597"/>
      <c r="C597"/>
      <c r="D597"/>
      <c r="E597"/>
      <c r="F597"/>
      <c r="G597"/>
      <c r="H597"/>
      <c r="I597"/>
      <c r="J597"/>
      <c r="K597"/>
      <c r="L597"/>
      <c r="M597" s="16"/>
      <c r="N597"/>
      <c r="O597"/>
      <c r="P597"/>
    </row>
    <row r="598" spans="1:16" ht="15" x14ac:dyDescent="0.2">
      <c r="A598"/>
      <c r="B598"/>
      <c r="C598"/>
      <c r="D598"/>
      <c r="E598"/>
      <c r="F598"/>
      <c r="G598"/>
      <c r="H598"/>
      <c r="I598"/>
      <c r="J598"/>
      <c r="K598"/>
      <c r="L598"/>
      <c r="M598" s="16"/>
      <c r="N598"/>
      <c r="O598"/>
      <c r="P598"/>
    </row>
    <row r="599" spans="1:16" ht="15" x14ac:dyDescent="0.2">
      <c r="A599"/>
      <c r="B599"/>
      <c r="C599"/>
      <c r="D599"/>
      <c r="E599"/>
      <c r="F599"/>
      <c r="G599"/>
      <c r="H599"/>
      <c r="I599"/>
      <c r="J599"/>
      <c r="K599"/>
      <c r="L599"/>
      <c r="M599" s="16"/>
      <c r="N599"/>
      <c r="O599"/>
      <c r="P599"/>
    </row>
    <row r="600" spans="1:16" ht="15" x14ac:dyDescent="0.2">
      <c r="A600"/>
      <c r="B600"/>
      <c r="C600"/>
      <c r="D600"/>
      <c r="E600"/>
      <c r="F600"/>
      <c r="G600"/>
      <c r="H600"/>
      <c r="I600"/>
      <c r="J600"/>
      <c r="K600"/>
      <c r="L600"/>
      <c r="M600" s="16"/>
      <c r="N600"/>
      <c r="O600"/>
      <c r="P600"/>
    </row>
    <row r="601" spans="1:16" ht="15" x14ac:dyDescent="0.2">
      <c r="A601"/>
      <c r="B601"/>
      <c r="C601"/>
      <c r="D601"/>
      <c r="E601"/>
      <c r="F601"/>
      <c r="G601"/>
      <c r="H601"/>
      <c r="I601"/>
      <c r="J601"/>
      <c r="K601"/>
      <c r="L601"/>
      <c r="M601" s="16"/>
      <c r="N601"/>
      <c r="O601"/>
      <c r="P601"/>
    </row>
    <row r="602" spans="1:16" ht="15" x14ac:dyDescent="0.2">
      <c r="A602"/>
      <c r="B602"/>
      <c r="C602"/>
      <c r="D602"/>
      <c r="E602"/>
      <c r="F602"/>
      <c r="G602"/>
      <c r="H602"/>
      <c r="I602"/>
      <c r="J602"/>
      <c r="K602"/>
      <c r="L602"/>
      <c r="M602" s="16"/>
      <c r="N602"/>
      <c r="O602"/>
      <c r="P602"/>
    </row>
    <row r="603" spans="1:16" ht="15" x14ac:dyDescent="0.2">
      <c r="A603"/>
      <c r="B603"/>
      <c r="C603"/>
      <c r="D603"/>
      <c r="E603"/>
      <c r="F603"/>
      <c r="G603"/>
      <c r="H603"/>
      <c r="I603"/>
      <c r="J603"/>
      <c r="K603"/>
      <c r="L603"/>
      <c r="M603" s="16"/>
      <c r="N603"/>
      <c r="O603"/>
      <c r="P603"/>
    </row>
    <row r="604" spans="1:16" ht="15" x14ac:dyDescent="0.2">
      <c r="A604"/>
      <c r="B604"/>
      <c r="C604"/>
      <c r="D604"/>
      <c r="E604"/>
      <c r="F604"/>
      <c r="G604"/>
      <c r="H604"/>
      <c r="I604"/>
      <c r="J604"/>
      <c r="K604"/>
      <c r="L604"/>
      <c r="M604" s="16"/>
      <c r="N604"/>
      <c r="O604"/>
      <c r="P604"/>
    </row>
    <row r="605" spans="1:16" ht="15" x14ac:dyDescent="0.2">
      <c r="A605"/>
      <c r="B605"/>
      <c r="C605"/>
      <c r="D605"/>
      <c r="E605"/>
      <c r="F605"/>
      <c r="G605"/>
      <c r="H605"/>
      <c r="I605"/>
      <c r="J605"/>
      <c r="K605"/>
      <c r="L605"/>
      <c r="M605" s="16"/>
      <c r="N605"/>
      <c r="O605"/>
      <c r="P605"/>
    </row>
    <row r="606" spans="1:16" ht="15" x14ac:dyDescent="0.2">
      <c r="A606"/>
      <c r="B606"/>
      <c r="C606"/>
      <c r="D606"/>
      <c r="E606"/>
      <c r="F606"/>
      <c r="G606"/>
      <c r="H606"/>
      <c r="I606"/>
      <c r="J606"/>
      <c r="K606"/>
      <c r="L606"/>
      <c r="M606" s="16"/>
      <c r="N606"/>
      <c r="O606"/>
      <c r="P606"/>
    </row>
    <row r="607" spans="1:16" ht="15" x14ac:dyDescent="0.2">
      <c r="A607"/>
      <c r="B607"/>
      <c r="C607"/>
      <c r="D607"/>
      <c r="E607"/>
      <c r="F607"/>
      <c r="G607"/>
      <c r="H607"/>
      <c r="I607"/>
      <c r="J607"/>
      <c r="K607"/>
      <c r="L607"/>
      <c r="M607" s="16"/>
      <c r="N607"/>
      <c r="O607"/>
      <c r="P607"/>
    </row>
    <row r="608" spans="1:16" ht="15" x14ac:dyDescent="0.2">
      <c r="A608"/>
      <c r="B608"/>
      <c r="C608"/>
      <c r="D608"/>
      <c r="E608"/>
      <c r="F608"/>
      <c r="G608"/>
      <c r="H608"/>
      <c r="I608"/>
      <c r="J608"/>
      <c r="K608"/>
      <c r="L608"/>
      <c r="M608" s="16"/>
      <c r="N608"/>
      <c r="O608"/>
      <c r="P608"/>
    </row>
    <row r="609" spans="1:16" ht="15" x14ac:dyDescent="0.2">
      <c r="A609"/>
      <c r="B609"/>
      <c r="C609"/>
      <c r="D609"/>
      <c r="E609"/>
      <c r="F609"/>
      <c r="G609"/>
      <c r="H609"/>
      <c r="I609"/>
      <c r="J609"/>
      <c r="K609"/>
      <c r="L609"/>
      <c r="M609" s="16"/>
      <c r="N609"/>
      <c r="O609"/>
      <c r="P609"/>
    </row>
    <row r="610" spans="1:16" ht="15" x14ac:dyDescent="0.2">
      <c r="A610"/>
      <c r="B610"/>
      <c r="C610"/>
      <c r="D610"/>
      <c r="E610"/>
      <c r="F610"/>
      <c r="G610"/>
      <c r="H610"/>
      <c r="I610"/>
      <c r="J610"/>
      <c r="K610"/>
      <c r="L610"/>
      <c r="M610" s="16"/>
      <c r="N610"/>
      <c r="O610"/>
      <c r="P610"/>
    </row>
    <row r="611" spans="1:16" ht="15" x14ac:dyDescent="0.2">
      <c r="A611"/>
      <c r="B611"/>
      <c r="C611"/>
      <c r="D611"/>
      <c r="E611"/>
      <c r="F611"/>
      <c r="G611"/>
      <c r="H611"/>
      <c r="I611"/>
      <c r="J611"/>
      <c r="K611"/>
      <c r="L611"/>
      <c r="M611" s="16"/>
      <c r="N611"/>
      <c r="O611"/>
      <c r="P611"/>
    </row>
    <row r="612" spans="1:16" ht="15" x14ac:dyDescent="0.2">
      <c r="A612"/>
      <c r="B612"/>
      <c r="C612"/>
      <c r="D612"/>
      <c r="E612"/>
      <c r="F612"/>
      <c r="G612"/>
      <c r="H612"/>
      <c r="I612"/>
      <c r="J612"/>
      <c r="K612"/>
      <c r="L612"/>
      <c r="M612" s="16"/>
      <c r="N612"/>
      <c r="O612"/>
      <c r="P612"/>
    </row>
    <row r="613" spans="1:16" ht="15" x14ac:dyDescent="0.2">
      <c r="A613"/>
      <c r="B613"/>
      <c r="C613"/>
      <c r="D613"/>
      <c r="E613"/>
      <c r="F613"/>
      <c r="G613"/>
      <c r="H613"/>
      <c r="I613"/>
      <c r="J613"/>
      <c r="K613"/>
      <c r="L613"/>
      <c r="M613" s="16"/>
      <c r="N613"/>
      <c r="O613"/>
      <c r="P613"/>
    </row>
    <row r="614" spans="1:16" ht="15" x14ac:dyDescent="0.2">
      <c r="A614"/>
      <c r="B614"/>
      <c r="C614"/>
      <c r="D614"/>
      <c r="E614"/>
      <c r="F614"/>
      <c r="G614"/>
      <c r="H614"/>
      <c r="I614"/>
      <c r="J614"/>
      <c r="K614"/>
      <c r="L614"/>
      <c r="M614" s="16"/>
      <c r="N614"/>
      <c r="O614"/>
      <c r="P614"/>
    </row>
    <row r="615" spans="1:16" ht="15" x14ac:dyDescent="0.2">
      <c r="A615"/>
      <c r="B615"/>
      <c r="C615"/>
      <c r="D615"/>
      <c r="E615"/>
      <c r="F615"/>
      <c r="G615"/>
      <c r="H615"/>
      <c r="I615"/>
      <c r="J615"/>
      <c r="K615"/>
      <c r="L615"/>
      <c r="M615" s="16"/>
      <c r="N615"/>
      <c r="O615"/>
      <c r="P615"/>
    </row>
    <row r="616" spans="1:16" ht="15" x14ac:dyDescent="0.2">
      <c r="A616"/>
      <c r="B616"/>
      <c r="C616"/>
      <c r="D616"/>
      <c r="E616"/>
      <c r="F616"/>
      <c r="G616"/>
      <c r="H616"/>
      <c r="I616"/>
      <c r="J616"/>
      <c r="K616"/>
      <c r="L616"/>
      <c r="M616" s="16"/>
      <c r="N616"/>
      <c r="O616"/>
      <c r="P616"/>
    </row>
    <row r="617" spans="1:16" ht="15" x14ac:dyDescent="0.2">
      <c r="A617"/>
      <c r="B617"/>
      <c r="C617"/>
      <c r="D617"/>
      <c r="E617"/>
      <c r="F617"/>
      <c r="G617"/>
      <c r="H617"/>
      <c r="I617"/>
      <c r="J617"/>
      <c r="K617"/>
      <c r="L617"/>
      <c r="M617" s="16"/>
      <c r="N617"/>
      <c r="O617"/>
      <c r="P617"/>
    </row>
    <row r="618" spans="1:16" ht="15" x14ac:dyDescent="0.2">
      <c r="A618"/>
      <c r="B618"/>
      <c r="C618"/>
      <c r="D618"/>
      <c r="E618"/>
      <c r="F618"/>
      <c r="G618"/>
      <c r="H618"/>
      <c r="I618"/>
      <c r="J618"/>
      <c r="K618"/>
      <c r="L618"/>
      <c r="M618" s="16"/>
      <c r="N618"/>
      <c r="O618"/>
      <c r="P618"/>
    </row>
    <row r="619" spans="1:16" ht="15" x14ac:dyDescent="0.2">
      <c r="A619"/>
      <c r="B619"/>
      <c r="C619"/>
      <c r="D619"/>
      <c r="E619"/>
      <c r="F619"/>
      <c r="G619"/>
      <c r="H619"/>
      <c r="I619"/>
      <c r="J619"/>
      <c r="K619"/>
      <c r="L619"/>
      <c r="M619" s="16"/>
      <c r="N619"/>
      <c r="O619"/>
      <c r="P619"/>
    </row>
    <row r="620" spans="1:16" ht="15" x14ac:dyDescent="0.2">
      <c r="A620"/>
      <c r="B620"/>
      <c r="C620"/>
      <c r="D620"/>
      <c r="E620"/>
      <c r="F620"/>
      <c r="G620"/>
      <c r="H620"/>
      <c r="I620"/>
      <c r="J620"/>
      <c r="K620"/>
      <c r="L620"/>
      <c r="M620" s="16"/>
      <c r="N620"/>
      <c r="O620"/>
      <c r="P620"/>
    </row>
    <row r="621" spans="1:16" ht="15" x14ac:dyDescent="0.2">
      <c r="A621"/>
      <c r="B621"/>
      <c r="C621"/>
      <c r="D621"/>
      <c r="E621"/>
      <c r="F621"/>
      <c r="G621"/>
      <c r="H621"/>
      <c r="I621"/>
      <c r="J621"/>
      <c r="K621"/>
      <c r="L621"/>
      <c r="M621" s="16"/>
      <c r="N621"/>
      <c r="O621"/>
      <c r="P621"/>
    </row>
    <row r="622" spans="1:16" ht="15" x14ac:dyDescent="0.2">
      <c r="A622"/>
      <c r="B622"/>
      <c r="C622"/>
      <c r="D622"/>
      <c r="E622"/>
      <c r="F622"/>
      <c r="G622"/>
      <c r="H622"/>
      <c r="I622"/>
      <c r="J622"/>
      <c r="K622"/>
      <c r="L622"/>
      <c r="M622" s="16"/>
      <c r="N622"/>
      <c r="O622"/>
      <c r="P622"/>
    </row>
    <row r="623" spans="1:16" ht="15" x14ac:dyDescent="0.2">
      <c r="A623"/>
      <c r="B623"/>
      <c r="C623"/>
      <c r="D623"/>
      <c r="E623"/>
      <c r="F623"/>
      <c r="G623"/>
      <c r="H623"/>
      <c r="I623"/>
      <c r="J623"/>
      <c r="K623"/>
      <c r="L623"/>
      <c r="M623" s="16"/>
      <c r="N623"/>
      <c r="O623"/>
      <c r="P623"/>
    </row>
    <row r="624" spans="1:16" ht="15" x14ac:dyDescent="0.2">
      <c r="A624"/>
      <c r="B624"/>
      <c r="C624"/>
      <c r="D624"/>
      <c r="E624"/>
      <c r="F624"/>
      <c r="G624"/>
      <c r="H624"/>
      <c r="I624"/>
      <c r="J624"/>
      <c r="K624"/>
      <c r="L624"/>
      <c r="M624" s="16"/>
      <c r="N624"/>
      <c r="O624"/>
      <c r="P624"/>
    </row>
    <row r="625" spans="1:16" ht="15" x14ac:dyDescent="0.2">
      <c r="A625"/>
      <c r="B625"/>
      <c r="C625"/>
      <c r="D625"/>
      <c r="E625"/>
      <c r="F625"/>
      <c r="G625"/>
      <c r="H625"/>
      <c r="I625"/>
      <c r="J625"/>
      <c r="K625"/>
      <c r="L625"/>
      <c r="M625" s="16"/>
      <c r="N625"/>
      <c r="O625"/>
      <c r="P625"/>
    </row>
    <row r="626" spans="1:16" ht="15" x14ac:dyDescent="0.2">
      <c r="A626"/>
      <c r="B626"/>
      <c r="C626"/>
      <c r="D626"/>
      <c r="E626"/>
      <c r="F626"/>
      <c r="G626"/>
      <c r="H626"/>
      <c r="I626"/>
      <c r="J626"/>
      <c r="K626"/>
      <c r="L626"/>
      <c r="M626" s="16"/>
      <c r="N626"/>
      <c r="O626"/>
      <c r="P626"/>
    </row>
    <row r="627" spans="1:16" ht="15" x14ac:dyDescent="0.2">
      <c r="A627"/>
      <c r="B627"/>
      <c r="C627"/>
      <c r="D627"/>
      <c r="E627"/>
      <c r="F627"/>
      <c r="G627"/>
      <c r="H627"/>
      <c r="I627"/>
      <c r="J627"/>
      <c r="K627"/>
      <c r="L627"/>
      <c r="M627" s="16"/>
      <c r="N627"/>
      <c r="O627"/>
      <c r="P627"/>
    </row>
    <row r="628" spans="1:16" ht="15" x14ac:dyDescent="0.2">
      <c r="A628"/>
      <c r="B628"/>
      <c r="C628"/>
      <c r="D628"/>
      <c r="E628"/>
      <c r="F628"/>
      <c r="G628"/>
      <c r="H628"/>
      <c r="I628"/>
      <c r="J628"/>
      <c r="K628"/>
      <c r="L628"/>
      <c r="M628" s="16"/>
      <c r="N628"/>
      <c r="O628"/>
      <c r="P628"/>
    </row>
    <row r="629" spans="1:16" ht="15" x14ac:dyDescent="0.2">
      <c r="A629"/>
      <c r="B629"/>
      <c r="C629"/>
      <c r="D629"/>
      <c r="E629"/>
      <c r="F629"/>
      <c r="G629"/>
      <c r="H629"/>
      <c r="I629"/>
      <c r="J629"/>
      <c r="K629"/>
      <c r="L629"/>
      <c r="M629" s="16"/>
      <c r="N629"/>
      <c r="O629"/>
      <c r="P629"/>
    </row>
    <row r="630" spans="1:16" ht="15" x14ac:dyDescent="0.2">
      <c r="A630"/>
      <c r="B630"/>
      <c r="C630"/>
      <c r="D630"/>
      <c r="E630"/>
      <c r="F630"/>
      <c r="G630"/>
      <c r="H630"/>
      <c r="I630"/>
      <c r="J630"/>
      <c r="K630"/>
      <c r="L630"/>
      <c r="M630" s="16"/>
      <c r="N630"/>
      <c r="O630"/>
      <c r="P630"/>
    </row>
    <row r="631" spans="1:16" ht="15" x14ac:dyDescent="0.2">
      <c r="A631"/>
      <c r="B631"/>
      <c r="C631"/>
      <c r="D631"/>
      <c r="E631"/>
      <c r="F631"/>
      <c r="G631"/>
      <c r="H631"/>
      <c r="I631"/>
      <c r="J631"/>
      <c r="K631"/>
      <c r="L631"/>
      <c r="M631" s="16"/>
      <c r="N631"/>
      <c r="O631"/>
      <c r="P631"/>
    </row>
    <row r="632" spans="1:16" ht="15" x14ac:dyDescent="0.2">
      <c r="A632"/>
      <c r="B632"/>
      <c r="C632"/>
      <c r="D632"/>
      <c r="E632"/>
      <c r="F632"/>
      <c r="G632"/>
      <c r="H632"/>
      <c r="I632"/>
      <c r="J632"/>
      <c r="K632"/>
      <c r="L632"/>
      <c r="M632" s="16"/>
      <c r="N632"/>
      <c r="O632"/>
      <c r="P632"/>
    </row>
    <row r="633" spans="1:16" ht="15" x14ac:dyDescent="0.2">
      <c r="A633"/>
      <c r="B633"/>
      <c r="C633"/>
      <c r="D633"/>
      <c r="E633"/>
      <c r="F633"/>
      <c r="G633"/>
      <c r="H633"/>
      <c r="I633"/>
      <c r="J633"/>
      <c r="K633"/>
      <c r="L633"/>
      <c r="M633" s="16"/>
      <c r="N633"/>
      <c r="O633"/>
      <c r="P633"/>
    </row>
    <row r="634" spans="1:16" ht="15" x14ac:dyDescent="0.2">
      <c r="A634"/>
      <c r="B634"/>
      <c r="C634"/>
      <c r="D634"/>
      <c r="E634"/>
      <c r="F634"/>
      <c r="G634"/>
      <c r="H634"/>
      <c r="I634"/>
      <c r="J634"/>
      <c r="K634"/>
      <c r="L634"/>
      <c r="M634" s="16"/>
      <c r="N634"/>
      <c r="O634"/>
      <c r="P634"/>
    </row>
    <row r="635" spans="1:16" ht="15" x14ac:dyDescent="0.2">
      <c r="A635"/>
      <c r="B635"/>
      <c r="C635"/>
      <c r="D635"/>
      <c r="E635"/>
      <c r="F635"/>
      <c r="G635"/>
      <c r="H635"/>
      <c r="I635"/>
      <c r="J635"/>
      <c r="K635"/>
      <c r="L635"/>
      <c r="M635" s="16"/>
      <c r="N635"/>
      <c r="O635"/>
      <c r="P635"/>
    </row>
    <row r="636" spans="1:16" ht="15" x14ac:dyDescent="0.2">
      <c r="A636"/>
      <c r="B636"/>
      <c r="C636"/>
      <c r="D636"/>
      <c r="E636"/>
      <c r="F636"/>
      <c r="G636"/>
      <c r="H636"/>
      <c r="I636"/>
      <c r="J636"/>
      <c r="K636"/>
      <c r="L636"/>
      <c r="M636" s="16"/>
      <c r="N636"/>
      <c r="O636"/>
      <c r="P636"/>
    </row>
    <row r="637" spans="1:16" ht="15" x14ac:dyDescent="0.2">
      <c r="A637"/>
      <c r="B637"/>
      <c r="C637"/>
      <c r="D637"/>
      <c r="E637"/>
      <c r="F637"/>
      <c r="G637"/>
      <c r="H637"/>
      <c r="I637"/>
      <c r="J637"/>
      <c r="K637"/>
      <c r="L637"/>
      <c r="M637" s="16"/>
      <c r="N637"/>
      <c r="O637"/>
      <c r="P637"/>
    </row>
    <row r="638" spans="1:16" ht="15" x14ac:dyDescent="0.2">
      <c r="A638"/>
      <c r="B638"/>
      <c r="C638"/>
      <c r="D638"/>
      <c r="E638"/>
      <c r="F638"/>
      <c r="G638"/>
      <c r="H638"/>
      <c r="I638"/>
      <c r="J638"/>
      <c r="K638"/>
      <c r="L638"/>
      <c r="M638" s="16"/>
      <c r="N638"/>
      <c r="O638"/>
      <c r="P638"/>
    </row>
    <row r="639" spans="1:16" ht="15" x14ac:dyDescent="0.2">
      <c r="A639"/>
      <c r="B639"/>
      <c r="C639"/>
      <c r="D639"/>
      <c r="E639"/>
      <c r="F639"/>
      <c r="G639"/>
      <c r="H639"/>
      <c r="I639"/>
      <c r="J639"/>
      <c r="K639"/>
      <c r="L639"/>
      <c r="M639" s="16"/>
      <c r="N639"/>
      <c r="O639"/>
      <c r="P639"/>
    </row>
    <row r="640" spans="1:16" ht="15" x14ac:dyDescent="0.2">
      <c r="A640"/>
      <c r="B640"/>
      <c r="C640"/>
      <c r="D640"/>
      <c r="E640"/>
      <c r="F640"/>
      <c r="G640"/>
      <c r="H640"/>
      <c r="I640"/>
      <c r="J640"/>
      <c r="K640"/>
      <c r="L640"/>
      <c r="M640" s="16"/>
      <c r="N640"/>
      <c r="O640"/>
      <c r="P640"/>
    </row>
    <row r="641" spans="1:16" ht="15" x14ac:dyDescent="0.2">
      <c r="A641"/>
      <c r="B641"/>
      <c r="C641"/>
      <c r="D641"/>
      <c r="E641"/>
      <c r="F641"/>
      <c r="G641"/>
      <c r="H641"/>
      <c r="I641"/>
      <c r="J641"/>
      <c r="K641"/>
      <c r="L641"/>
      <c r="M641" s="16"/>
      <c r="N641"/>
      <c r="O641"/>
      <c r="P641"/>
    </row>
    <row r="642" spans="1:16" ht="15" x14ac:dyDescent="0.2">
      <c r="A642"/>
      <c r="B642"/>
      <c r="C642"/>
      <c r="D642"/>
      <c r="E642"/>
      <c r="F642"/>
      <c r="G642"/>
      <c r="H642"/>
      <c r="I642"/>
      <c r="J642"/>
      <c r="K642"/>
      <c r="L642"/>
      <c r="M642" s="16"/>
      <c r="N642"/>
      <c r="O642"/>
      <c r="P642"/>
    </row>
    <row r="643" spans="1:16" ht="15" x14ac:dyDescent="0.2">
      <c r="A643"/>
      <c r="B643"/>
      <c r="C643"/>
      <c r="D643"/>
      <c r="E643"/>
      <c r="F643"/>
      <c r="G643"/>
      <c r="H643"/>
      <c r="I643"/>
      <c r="J643"/>
      <c r="K643"/>
      <c r="L643"/>
      <c r="M643" s="16"/>
      <c r="N643"/>
      <c r="O643"/>
      <c r="P643"/>
    </row>
    <row r="644" spans="1:16" ht="15" x14ac:dyDescent="0.2">
      <c r="A644"/>
      <c r="B644"/>
      <c r="C644"/>
      <c r="D644"/>
      <c r="E644"/>
      <c r="F644"/>
      <c r="G644"/>
      <c r="H644"/>
      <c r="I644"/>
      <c r="J644"/>
      <c r="K644"/>
      <c r="L644"/>
      <c r="M644" s="16"/>
      <c r="N644"/>
      <c r="O644"/>
      <c r="P644"/>
    </row>
    <row r="645" spans="1:16" ht="15" x14ac:dyDescent="0.2">
      <c r="A645"/>
      <c r="B645"/>
      <c r="C645"/>
      <c r="D645"/>
      <c r="E645"/>
      <c r="F645"/>
      <c r="G645"/>
      <c r="H645"/>
      <c r="I645"/>
      <c r="J645"/>
      <c r="K645"/>
      <c r="L645"/>
      <c r="M645" s="16"/>
      <c r="N645"/>
      <c r="O645"/>
      <c r="P645"/>
    </row>
    <row r="646" spans="1:16" ht="15" x14ac:dyDescent="0.2">
      <c r="A646"/>
      <c r="B646"/>
      <c r="C646"/>
      <c r="D646"/>
      <c r="E646"/>
      <c r="F646"/>
      <c r="G646"/>
      <c r="H646"/>
      <c r="I646"/>
      <c r="J646"/>
      <c r="K646"/>
      <c r="L646"/>
      <c r="M646" s="16"/>
      <c r="N646"/>
      <c r="O646"/>
      <c r="P646"/>
    </row>
    <row r="647" spans="1:16" ht="15" x14ac:dyDescent="0.2">
      <c r="A647"/>
      <c r="B647"/>
      <c r="C647"/>
      <c r="D647"/>
      <c r="E647"/>
      <c r="F647"/>
      <c r="G647"/>
      <c r="H647"/>
      <c r="I647"/>
      <c r="J647"/>
      <c r="K647"/>
      <c r="L647"/>
      <c r="M647" s="16"/>
      <c r="N647"/>
      <c r="O647"/>
      <c r="P647"/>
    </row>
    <row r="648" spans="1:16" ht="15" x14ac:dyDescent="0.2">
      <c r="A648"/>
      <c r="B648"/>
      <c r="C648"/>
      <c r="D648"/>
      <c r="E648"/>
      <c r="F648"/>
      <c r="G648"/>
      <c r="H648"/>
      <c r="I648"/>
      <c r="J648"/>
      <c r="K648"/>
      <c r="L648"/>
      <c r="M648" s="16"/>
      <c r="N648"/>
      <c r="O648"/>
      <c r="P648"/>
    </row>
    <row r="649" spans="1:16" ht="15" x14ac:dyDescent="0.2">
      <c r="A649"/>
      <c r="B649"/>
      <c r="C649"/>
      <c r="D649"/>
      <c r="E649"/>
      <c r="F649"/>
      <c r="G649"/>
      <c r="H649"/>
      <c r="I649"/>
      <c r="J649"/>
      <c r="K649"/>
      <c r="L649"/>
      <c r="M649" s="16"/>
      <c r="N649"/>
      <c r="O649"/>
      <c r="P649"/>
    </row>
    <row r="650" spans="1:16" ht="15" x14ac:dyDescent="0.2">
      <c r="A650"/>
      <c r="B650"/>
      <c r="C650"/>
      <c r="D650"/>
      <c r="E650"/>
      <c r="F650"/>
      <c r="G650"/>
      <c r="H650"/>
      <c r="I650"/>
      <c r="J650"/>
      <c r="K650"/>
      <c r="L650"/>
      <c r="M650" s="16"/>
      <c r="N650"/>
      <c r="O650"/>
      <c r="P650"/>
    </row>
    <row r="651" spans="1:16" ht="15" x14ac:dyDescent="0.2">
      <c r="A651"/>
      <c r="B651"/>
      <c r="C651"/>
      <c r="D651"/>
      <c r="E651"/>
      <c r="F651"/>
      <c r="G651"/>
      <c r="H651"/>
      <c r="I651"/>
      <c r="J651"/>
      <c r="K651"/>
      <c r="L651"/>
      <c r="M651" s="16"/>
      <c r="N651"/>
      <c r="O651"/>
      <c r="P651"/>
    </row>
    <row r="652" spans="1:16" ht="15" x14ac:dyDescent="0.2">
      <c r="A652"/>
      <c r="B652"/>
      <c r="C652"/>
      <c r="D652"/>
      <c r="E652"/>
      <c r="F652"/>
      <c r="G652"/>
      <c r="H652"/>
      <c r="I652"/>
      <c r="J652"/>
      <c r="K652"/>
      <c r="L652"/>
      <c r="M652" s="16"/>
      <c r="N652"/>
      <c r="O652"/>
      <c r="P652"/>
    </row>
    <row r="653" spans="1:16" ht="15" x14ac:dyDescent="0.2">
      <c r="A653"/>
      <c r="B653"/>
      <c r="C653"/>
      <c r="D653"/>
      <c r="E653"/>
      <c r="F653"/>
      <c r="G653"/>
      <c r="H653"/>
      <c r="I653"/>
      <c r="J653"/>
      <c r="K653"/>
      <c r="L653"/>
      <c r="M653" s="16"/>
      <c r="N653"/>
      <c r="O653"/>
      <c r="P653"/>
    </row>
    <row r="654" spans="1:16" ht="15" x14ac:dyDescent="0.2">
      <c r="A654"/>
      <c r="B654"/>
      <c r="C654"/>
      <c r="D654"/>
      <c r="E654"/>
      <c r="F654"/>
      <c r="G654"/>
      <c r="H654"/>
      <c r="I654"/>
      <c r="J654"/>
      <c r="K654"/>
      <c r="L654"/>
      <c r="M654" s="16"/>
      <c r="N654"/>
      <c r="O654"/>
      <c r="P654"/>
    </row>
    <row r="655" spans="1:16" ht="15" x14ac:dyDescent="0.2">
      <c r="A655"/>
      <c r="B655"/>
      <c r="C655"/>
      <c r="D655"/>
      <c r="E655"/>
      <c r="F655"/>
      <c r="G655"/>
      <c r="H655"/>
      <c r="I655"/>
      <c r="J655"/>
      <c r="K655"/>
      <c r="L655"/>
      <c r="M655" s="16"/>
      <c r="N655"/>
      <c r="O655"/>
      <c r="P655"/>
    </row>
    <row r="656" spans="1:16" ht="15" x14ac:dyDescent="0.2">
      <c r="A656"/>
      <c r="B656"/>
      <c r="C656"/>
      <c r="D656"/>
      <c r="E656"/>
      <c r="F656"/>
      <c r="G656"/>
      <c r="H656"/>
      <c r="I656"/>
      <c r="J656"/>
      <c r="K656"/>
      <c r="L656"/>
      <c r="M656" s="16"/>
      <c r="N656"/>
      <c r="O656"/>
      <c r="P656"/>
    </row>
    <row r="657" spans="1:16" ht="15" x14ac:dyDescent="0.2">
      <c r="A657"/>
      <c r="B657"/>
      <c r="C657"/>
      <c r="D657"/>
      <c r="E657"/>
      <c r="F657"/>
      <c r="G657"/>
      <c r="H657"/>
      <c r="I657"/>
      <c r="J657"/>
      <c r="K657"/>
      <c r="L657"/>
      <c r="M657" s="16"/>
      <c r="N657"/>
      <c r="O657"/>
      <c r="P657"/>
    </row>
    <row r="658" spans="1:16" ht="15" x14ac:dyDescent="0.2">
      <c r="A658"/>
      <c r="B658"/>
      <c r="C658"/>
      <c r="D658"/>
      <c r="E658"/>
      <c r="F658"/>
      <c r="G658"/>
      <c r="H658"/>
      <c r="I658"/>
      <c r="J658"/>
      <c r="K658"/>
      <c r="L658"/>
      <c r="M658" s="16"/>
      <c r="N658"/>
      <c r="O658"/>
      <c r="P658"/>
    </row>
    <row r="659" spans="1:16" ht="15" x14ac:dyDescent="0.2">
      <c r="A659"/>
      <c r="B659"/>
      <c r="C659"/>
      <c r="D659"/>
      <c r="E659"/>
      <c r="F659"/>
      <c r="G659"/>
      <c r="H659"/>
      <c r="I659"/>
      <c r="J659"/>
      <c r="K659"/>
      <c r="L659"/>
      <c r="M659" s="16"/>
      <c r="N659"/>
      <c r="O659"/>
      <c r="P659"/>
    </row>
    <row r="660" spans="1:16" ht="15" x14ac:dyDescent="0.2">
      <c r="A660"/>
      <c r="B660"/>
      <c r="C660"/>
      <c r="D660"/>
      <c r="E660"/>
      <c r="F660"/>
      <c r="G660"/>
      <c r="H660"/>
      <c r="I660"/>
      <c r="J660"/>
      <c r="K660"/>
      <c r="L660"/>
      <c r="M660" s="16"/>
      <c r="N660"/>
      <c r="O660"/>
      <c r="P660"/>
    </row>
    <row r="661" spans="1:16" ht="15" x14ac:dyDescent="0.2">
      <c r="A661"/>
      <c r="B661"/>
      <c r="C661"/>
      <c r="D661"/>
      <c r="E661"/>
      <c r="F661"/>
      <c r="G661"/>
      <c r="H661"/>
      <c r="I661"/>
      <c r="J661"/>
      <c r="K661"/>
      <c r="L661"/>
      <c r="M661" s="16"/>
      <c r="N661"/>
      <c r="O661"/>
      <c r="P661"/>
    </row>
    <row r="662" spans="1:16" ht="15" x14ac:dyDescent="0.2">
      <c r="A662"/>
      <c r="B662"/>
      <c r="C662"/>
      <c r="D662"/>
      <c r="E662"/>
      <c r="F662"/>
      <c r="G662"/>
      <c r="H662"/>
      <c r="I662"/>
      <c r="J662"/>
      <c r="K662"/>
      <c r="L662"/>
      <c r="M662" s="16"/>
      <c r="N662"/>
      <c r="O662"/>
      <c r="P662"/>
    </row>
    <row r="663" spans="1:16" ht="15" x14ac:dyDescent="0.2">
      <c r="A663"/>
      <c r="B663"/>
      <c r="C663"/>
      <c r="D663"/>
      <c r="E663"/>
      <c r="F663"/>
      <c r="G663"/>
      <c r="H663"/>
      <c r="I663"/>
      <c r="J663"/>
      <c r="K663"/>
      <c r="L663"/>
      <c r="M663" s="16"/>
      <c r="N663"/>
      <c r="O663"/>
      <c r="P663"/>
    </row>
    <row r="664" spans="1:16" ht="15" x14ac:dyDescent="0.2">
      <c r="A664"/>
      <c r="B664"/>
      <c r="C664"/>
      <c r="D664"/>
      <c r="E664"/>
      <c r="F664"/>
      <c r="G664"/>
      <c r="H664"/>
      <c r="I664"/>
      <c r="J664"/>
      <c r="K664"/>
      <c r="L664"/>
      <c r="M664" s="16"/>
      <c r="N664"/>
      <c r="O664"/>
      <c r="P664"/>
    </row>
    <row r="665" spans="1:16" ht="15" x14ac:dyDescent="0.2">
      <c r="A665"/>
      <c r="B665"/>
      <c r="C665"/>
      <c r="D665"/>
      <c r="E665"/>
      <c r="F665"/>
      <c r="G665"/>
      <c r="H665"/>
      <c r="I665"/>
      <c r="J665"/>
      <c r="K665"/>
      <c r="L665"/>
      <c r="M665" s="16"/>
      <c r="N665"/>
      <c r="O665"/>
      <c r="P665"/>
    </row>
    <row r="666" spans="1:16" ht="15" x14ac:dyDescent="0.2">
      <c r="A666"/>
      <c r="B666"/>
      <c r="C666"/>
      <c r="D666"/>
      <c r="E666"/>
      <c r="F666"/>
      <c r="G666"/>
      <c r="H666"/>
      <c r="I666"/>
      <c r="J666"/>
      <c r="K666"/>
      <c r="L666"/>
      <c r="M666" s="16"/>
      <c r="N666"/>
      <c r="O666"/>
      <c r="P666"/>
    </row>
    <row r="667" spans="1:16" ht="15" x14ac:dyDescent="0.2">
      <c r="A667"/>
      <c r="B667"/>
      <c r="C667"/>
      <c r="D667"/>
      <c r="E667"/>
      <c r="F667"/>
      <c r="G667"/>
      <c r="H667"/>
      <c r="I667"/>
      <c r="J667"/>
      <c r="K667"/>
      <c r="L667"/>
      <c r="M667" s="16"/>
      <c r="N667"/>
      <c r="O667"/>
      <c r="P667"/>
    </row>
    <row r="668" spans="1:16" ht="15" x14ac:dyDescent="0.2">
      <c r="A668"/>
      <c r="B668"/>
      <c r="C668"/>
      <c r="D668"/>
      <c r="E668"/>
      <c r="F668"/>
      <c r="G668"/>
      <c r="H668"/>
      <c r="I668"/>
      <c r="J668"/>
      <c r="K668"/>
      <c r="L668"/>
      <c r="M668" s="16"/>
      <c r="N668"/>
      <c r="O668"/>
      <c r="P668"/>
    </row>
    <row r="669" spans="1:16" ht="15" x14ac:dyDescent="0.2">
      <c r="A669"/>
      <c r="B669"/>
      <c r="C669"/>
      <c r="D669"/>
      <c r="E669"/>
      <c r="F669"/>
      <c r="G669"/>
      <c r="H669"/>
      <c r="I669"/>
      <c r="J669"/>
      <c r="K669"/>
      <c r="L669"/>
      <c r="M669" s="16"/>
      <c r="N669"/>
      <c r="O669"/>
      <c r="P669"/>
    </row>
    <row r="670" spans="1:16" ht="15" x14ac:dyDescent="0.2">
      <c r="A670"/>
      <c r="B670"/>
      <c r="C670"/>
      <c r="D670"/>
      <c r="E670"/>
      <c r="F670"/>
      <c r="G670"/>
      <c r="H670"/>
      <c r="I670"/>
      <c r="J670"/>
      <c r="K670"/>
      <c r="L670"/>
      <c r="M670" s="16"/>
      <c r="N670"/>
      <c r="O670"/>
      <c r="P670"/>
    </row>
    <row r="671" spans="1:16" ht="15" x14ac:dyDescent="0.2">
      <c r="A671"/>
      <c r="B671"/>
      <c r="C671"/>
      <c r="D671"/>
      <c r="E671"/>
      <c r="F671"/>
      <c r="G671"/>
      <c r="H671"/>
      <c r="I671"/>
      <c r="J671"/>
      <c r="K671"/>
      <c r="L671"/>
      <c r="M671" s="16"/>
      <c r="N671"/>
      <c r="O671"/>
      <c r="P671"/>
    </row>
    <row r="672" spans="1:16" ht="15" x14ac:dyDescent="0.2">
      <c r="A672"/>
      <c r="B672"/>
      <c r="C672"/>
      <c r="D672"/>
      <c r="E672"/>
      <c r="F672"/>
      <c r="G672"/>
      <c r="H672"/>
      <c r="I672"/>
      <c r="J672"/>
      <c r="K672"/>
      <c r="L672"/>
      <c r="M672" s="16"/>
      <c r="N672"/>
      <c r="O672"/>
      <c r="P672"/>
    </row>
    <row r="673" spans="1:16" ht="15" x14ac:dyDescent="0.2">
      <c r="A673"/>
      <c r="B673"/>
      <c r="C673"/>
      <c r="D673"/>
      <c r="E673"/>
      <c r="F673"/>
      <c r="G673"/>
      <c r="H673"/>
      <c r="I673"/>
      <c r="J673"/>
      <c r="K673"/>
      <c r="L673"/>
      <c r="M673" s="16"/>
      <c r="N673"/>
      <c r="O673"/>
      <c r="P673"/>
    </row>
    <row r="674" spans="1:16" ht="15" x14ac:dyDescent="0.2">
      <c r="A674"/>
      <c r="B674"/>
      <c r="C674"/>
      <c r="D674"/>
      <c r="E674"/>
      <c r="F674"/>
      <c r="G674"/>
      <c r="H674"/>
      <c r="I674"/>
      <c r="J674"/>
      <c r="K674"/>
      <c r="L674"/>
      <c r="M674" s="16"/>
      <c r="N674"/>
      <c r="O674"/>
      <c r="P674"/>
    </row>
    <row r="675" spans="1:16" ht="15" x14ac:dyDescent="0.2">
      <c r="A675"/>
      <c r="B675"/>
      <c r="C675"/>
      <c r="D675"/>
      <c r="E675"/>
      <c r="F675"/>
      <c r="G675"/>
      <c r="H675"/>
      <c r="I675"/>
      <c r="J675"/>
      <c r="K675"/>
      <c r="L675"/>
      <c r="M675" s="16"/>
      <c r="N675"/>
      <c r="O675"/>
      <c r="P675"/>
    </row>
    <row r="676" spans="1:16" ht="15" x14ac:dyDescent="0.2">
      <c r="A676"/>
      <c r="B676"/>
      <c r="C676"/>
      <c r="D676"/>
      <c r="E676"/>
      <c r="F676"/>
      <c r="G676"/>
      <c r="H676"/>
      <c r="I676"/>
      <c r="J676"/>
      <c r="K676"/>
      <c r="L676"/>
      <c r="M676" s="16"/>
      <c r="N676"/>
      <c r="O676"/>
      <c r="P676"/>
    </row>
    <row r="677" spans="1:16" ht="15" x14ac:dyDescent="0.2">
      <c r="A677"/>
      <c r="B677"/>
      <c r="C677"/>
      <c r="D677"/>
      <c r="E677"/>
      <c r="F677"/>
      <c r="G677"/>
      <c r="H677"/>
      <c r="I677"/>
      <c r="J677"/>
      <c r="K677"/>
      <c r="L677"/>
      <c r="M677" s="16"/>
      <c r="N677"/>
      <c r="O677"/>
      <c r="P677"/>
    </row>
    <row r="678" spans="1:16" ht="15" x14ac:dyDescent="0.2">
      <c r="A678"/>
      <c r="B678"/>
      <c r="C678"/>
      <c r="D678"/>
      <c r="E678"/>
      <c r="F678"/>
      <c r="G678"/>
      <c r="H678"/>
      <c r="I678"/>
      <c r="J678"/>
      <c r="K678"/>
      <c r="L678"/>
      <c r="M678" s="16"/>
      <c r="N678"/>
      <c r="O678"/>
      <c r="P678"/>
    </row>
    <row r="679" spans="1:16" ht="15" x14ac:dyDescent="0.2">
      <c r="A679"/>
      <c r="B679"/>
      <c r="C679"/>
      <c r="D679"/>
      <c r="E679"/>
      <c r="F679"/>
      <c r="G679"/>
      <c r="H679"/>
      <c r="I679"/>
      <c r="J679"/>
      <c r="K679"/>
      <c r="L679"/>
      <c r="M679" s="16"/>
      <c r="N679"/>
      <c r="O679"/>
      <c r="P679"/>
    </row>
    <row r="680" spans="1:16" ht="15" x14ac:dyDescent="0.2">
      <c r="A680"/>
      <c r="B680"/>
      <c r="C680"/>
      <c r="D680"/>
      <c r="E680"/>
      <c r="F680"/>
      <c r="G680"/>
      <c r="H680"/>
      <c r="I680"/>
      <c r="J680"/>
      <c r="K680"/>
      <c r="L680"/>
      <c r="M680" s="16"/>
      <c r="N680"/>
      <c r="O680"/>
      <c r="P680"/>
    </row>
    <row r="681" spans="1:16" ht="15" x14ac:dyDescent="0.2">
      <c r="A681"/>
      <c r="B681"/>
      <c r="C681"/>
      <c r="D681"/>
      <c r="E681"/>
      <c r="F681"/>
      <c r="G681"/>
      <c r="H681"/>
      <c r="I681"/>
      <c r="J681"/>
      <c r="K681"/>
      <c r="L681"/>
      <c r="M681" s="16"/>
      <c r="N681"/>
      <c r="O681"/>
      <c r="P681"/>
    </row>
    <row r="682" spans="1:16" ht="15" x14ac:dyDescent="0.2">
      <c r="A682"/>
      <c r="B682"/>
      <c r="C682"/>
      <c r="D682"/>
      <c r="E682"/>
      <c r="F682"/>
      <c r="G682"/>
      <c r="H682"/>
      <c r="I682"/>
      <c r="J682"/>
      <c r="K682"/>
      <c r="L682"/>
      <c r="M682" s="16"/>
      <c r="N682"/>
      <c r="O682"/>
      <c r="P682"/>
    </row>
    <row r="683" spans="1:16" ht="15" x14ac:dyDescent="0.2">
      <c r="A683"/>
      <c r="B683"/>
      <c r="C683"/>
      <c r="D683"/>
      <c r="E683"/>
      <c r="F683"/>
      <c r="G683"/>
      <c r="H683"/>
      <c r="I683"/>
      <c r="J683"/>
      <c r="K683"/>
      <c r="L683"/>
      <c r="M683" s="16"/>
      <c r="N683"/>
      <c r="O683"/>
      <c r="P683"/>
    </row>
    <row r="684" spans="1:16" ht="15" x14ac:dyDescent="0.2">
      <c r="A684"/>
      <c r="B684"/>
      <c r="C684"/>
      <c r="D684"/>
      <c r="E684"/>
      <c r="F684"/>
      <c r="G684"/>
      <c r="H684"/>
      <c r="I684"/>
      <c r="J684"/>
      <c r="K684"/>
      <c r="L684"/>
      <c r="M684" s="16"/>
      <c r="N684"/>
      <c r="O684"/>
      <c r="P684"/>
    </row>
    <row r="685" spans="1:16" ht="15" x14ac:dyDescent="0.2">
      <c r="A685"/>
      <c r="B685"/>
      <c r="C685"/>
      <c r="D685"/>
      <c r="E685"/>
      <c r="F685"/>
      <c r="G685"/>
      <c r="H685"/>
      <c r="I685"/>
      <c r="J685"/>
      <c r="K685"/>
      <c r="L685"/>
      <c r="M685" s="16"/>
      <c r="N685"/>
      <c r="O685"/>
      <c r="P685"/>
    </row>
    <row r="686" spans="1:16" ht="15" x14ac:dyDescent="0.2">
      <c r="A686"/>
      <c r="B686"/>
      <c r="C686"/>
      <c r="D686"/>
      <c r="E686"/>
      <c r="F686"/>
      <c r="G686"/>
      <c r="H686"/>
      <c r="I686"/>
      <c r="J686"/>
      <c r="K686"/>
      <c r="L686"/>
      <c r="M686" s="16"/>
      <c r="N686"/>
      <c r="O686"/>
      <c r="P686"/>
    </row>
    <row r="687" spans="1:16" ht="15" x14ac:dyDescent="0.2">
      <c r="A687"/>
      <c r="B687"/>
      <c r="C687"/>
      <c r="D687"/>
      <c r="E687"/>
      <c r="F687"/>
      <c r="G687"/>
      <c r="H687"/>
      <c r="I687"/>
      <c r="J687"/>
      <c r="K687"/>
      <c r="L687"/>
      <c r="M687" s="16"/>
      <c r="N687"/>
      <c r="O687"/>
      <c r="P687"/>
    </row>
    <row r="688" spans="1:16" ht="15" x14ac:dyDescent="0.2">
      <c r="A688"/>
      <c r="B688"/>
      <c r="C688"/>
      <c r="D688"/>
      <c r="E688"/>
      <c r="F688"/>
      <c r="G688"/>
      <c r="H688"/>
      <c r="I688"/>
      <c r="J688"/>
      <c r="K688"/>
      <c r="L688"/>
      <c r="M688" s="16"/>
      <c r="N688"/>
      <c r="O688"/>
      <c r="P688"/>
    </row>
    <row r="689" spans="1:16" ht="15" x14ac:dyDescent="0.2">
      <c r="A689"/>
      <c r="B689"/>
      <c r="C689"/>
      <c r="D689"/>
      <c r="E689"/>
      <c r="F689"/>
      <c r="G689"/>
      <c r="H689"/>
      <c r="I689"/>
      <c r="J689"/>
      <c r="K689"/>
      <c r="L689"/>
      <c r="M689" s="16"/>
      <c r="N689"/>
      <c r="O689"/>
      <c r="P689"/>
    </row>
    <row r="690" spans="1:16" ht="15" x14ac:dyDescent="0.2">
      <c r="A690"/>
      <c r="B690"/>
      <c r="C690"/>
      <c r="D690"/>
      <c r="E690"/>
      <c r="F690"/>
      <c r="G690"/>
      <c r="H690"/>
      <c r="I690"/>
      <c r="J690"/>
      <c r="K690"/>
      <c r="L690"/>
      <c r="M690" s="16"/>
      <c r="N690"/>
      <c r="O690"/>
      <c r="P690"/>
    </row>
    <row r="691" spans="1:16" ht="15" x14ac:dyDescent="0.2">
      <c r="A691"/>
      <c r="B691"/>
      <c r="C691"/>
      <c r="D691"/>
      <c r="E691"/>
      <c r="F691"/>
      <c r="G691"/>
      <c r="H691"/>
      <c r="I691"/>
      <c r="J691"/>
      <c r="K691"/>
      <c r="L691"/>
      <c r="M691" s="16"/>
      <c r="N691"/>
      <c r="O691"/>
      <c r="P691"/>
    </row>
    <row r="692" spans="1:16" ht="15" x14ac:dyDescent="0.2">
      <c r="A692"/>
      <c r="B692"/>
      <c r="C692"/>
      <c r="D692"/>
      <c r="E692"/>
      <c r="F692"/>
      <c r="G692"/>
      <c r="H692"/>
      <c r="I692"/>
      <c r="J692"/>
      <c r="K692"/>
      <c r="L692"/>
      <c r="M692" s="16"/>
      <c r="N692"/>
      <c r="O692"/>
      <c r="P692"/>
    </row>
    <row r="693" spans="1:16" ht="15" x14ac:dyDescent="0.2">
      <c r="A693"/>
      <c r="B693"/>
      <c r="C693"/>
      <c r="D693"/>
      <c r="E693"/>
      <c r="F693"/>
      <c r="G693"/>
      <c r="H693"/>
      <c r="I693"/>
      <c r="J693"/>
      <c r="K693"/>
      <c r="L693"/>
      <c r="M693" s="16"/>
      <c r="N693"/>
      <c r="O693"/>
      <c r="P693"/>
    </row>
    <row r="694" spans="1:16" ht="15" x14ac:dyDescent="0.2">
      <c r="A694"/>
      <c r="B694"/>
      <c r="C694"/>
      <c r="D694"/>
      <c r="E694"/>
      <c r="F694"/>
      <c r="G694"/>
      <c r="H694"/>
      <c r="I694"/>
      <c r="J694"/>
      <c r="K694"/>
      <c r="L694"/>
      <c r="M694" s="16"/>
      <c r="N694"/>
      <c r="O694"/>
      <c r="P694"/>
    </row>
    <row r="695" spans="1:16" ht="15" x14ac:dyDescent="0.2">
      <c r="A695"/>
      <c r="B695"/>
      <c r="C695"/>
      <c r="D695"/>
      <c r="E695"/>
      <c r="F695"/>
      <c r="G695"/>
      <c r="H695"/>
      <c r="I695"/>
      <c r="J695"/>
      <c r="K695"/>
      <c r="L695"/>
      <c r="M695" s="16"/>
      <c r="N695"/>
      <c r="O695"/>
      <c r="P695"/>
    </row>
    <row r="696" spans="1:16" ht="15" x14ac:dyDescent="0.2">
      <c r="A696"/>
      <c r="B696"/>
      <c r="C696"/>
      <c r="D696"/>
      <c r="E696"/>
      <c r="F696"/>
      <c r="G696"/>
      <c r="H696"/>
      <c r="I696"/>
      <c r="J696"/>
      <c r="K696"/>
      <c r="L696"/>
      <c r="M696" s="16"/>
      <c r="N696"/>
      <c r="O696"/>
      <c r="P696"/>
    </row>
    <row r="697" spans="1:16" ht="15" x14ac:dyDescent="0.2">
      <c r="A697"/>
      <c r="B697"/>
      <c r="C697"/>
      <c r="D697"/>
      <c r="E697"/>
      <c r="F697"/>
      <c r="G697"/>
      <c r="H697"/>
      <c r="I697"/>
      <c r="J697"/>
      <c r="K697"/>
      <c r="L697"/>
      <c r="M697" s="16"/>
      <c r="N697"/>
      <c r="O697"/>
      <c r="P697"/>
    </row>
    <row r="698" spans="1:16" ht="15" x14ac:dyDescent="0.2">
      <c r="A698"/>
      <c r="B698"/>
      <c r="C698"/>
      <c r="D698"/>
      <c r="E698"/>
      <c r="F698"/>
      <c r="G698"/>
      <c r="H698"/>
      <c r="I698"/>
      <c r="J698"/>
      <c r="K698"/>
      <c r="L698"/>
      <c r="M698" s="16"/>
      <c r="N698"/>
      <c r="O698"/>
      <c r="P698"/>
    </row>
    <row r="699" spans="1:16" ht="15" x14ac:dyDescent="0.2">
      <c r="A699"/>
      <c r="B699"/>
      <c r="C699"/>
      <c r="D699"/>
      <c r="E699"/>
      <c r="F699"/>
      <c r="G699"/>
      <c r="H699"/>
      <c r="I699"/>
      <c r="J699"/>
      <c r="K699"/>
      <c r="L699"/>
      <c r="M699" s="16"/>
      <c r="N699"/>
      <c r="O699"/>
      <c r="P699"/>
    </row>
    <row r="700" spans="1:16" ht="15" x14ac:dyDescent="0.2">
      <c r="A700"/>
      <c r="B700"/>
      <c r="C700"/>
      <c r="D700"/>
      <c r="E700"/>
      <c r="F700"/>
      <c r="G700"/>
      <c r="H700"/>
      <c r="I700"/>
      <c r="J700"/>
      <c r="K700"/>
      <c r="L700"/>
      <c r="M700" s="16"/>
      <c r="N700"/>
      <c r="O700"/>
      <c r="P700"/>
    </row>
    <row r="701" spans="1:16" ht="15" x14ac:dyDescent="0.2">
      <c r="A701"/>
      <c r="B701"/>
      <c r="C701"/>
      <c r="D701"/>
      <c r="E701"/>
      <c r="F701"/>
      <c r="G701"/>
      <c r="H701"/>
      <c r="I701"/>
      <c r="J701"/>
      <c r="K701"/>
      <c r="L701"/>
      <c r="M701" s="16"/>
      <c r="N701"/>
      <c r="O701"/>
      <c r="P701"/>
    </row>
    <row r="702" spans="1:16" ht="15" x14ac:dyDescent="0.2">
      <c r="A702"/>
      <c r="B702"/>
      <c r="C702"/>
      <c r="D702"/>
      <c r="E702"/>
      <c r="F702"/>
      <c r="G702"/>
      <c r="H702"/>
      <c r="I702"/>
      <c r="J702"/>
      <c r="K702"/>
      <c r="L702"/>
      <c r="M702" s="16"/>
      <c r="N702"/>
      <c r="O702"/>
      <c r="P702"/>
    </row>
    <row r="703" spans="1:16" ht="15" x14ac:dyDescent="0.2">
      <c r="A703"/>
      <c r="B703"/>
      <c r="C703"/>
      <c r="D703"/>
      <c r="E703"/>
      <c r="F703"/>
      <c r="G703"/>
      <c r="H703"/>
      <c r="I703"/>
      <c r="J703"/>
      <c r="K703"/>
      <c r="L703"/>
      <c r="M703" s="16"/>
      <c r="N703"/>
      <c r="O703"/>
      <c r="P703"/>
    </row>
    <row r="704" spans="1:16" ht="15" x14ac:dyDescent="0.2">
      <c r="A704"/>
      <c r="B704"/>
      <c r="C704"/>
      <c r="D704"/>
      <c r="E704"/>
      <c r="F704"/>
      <c r="G704"/>
      <c r="H704"/>
      <c r="I704"/>
      <c r="J704"/>
      <c r="K704"/>
      <c r="L704"/>
      <c r="M704" s="16"/>
      <c r="N704"/>
      <c r="O704"/>
      <c r="P704"/>
    </row>
    <row r="705" spans="1:16" ht="15" x14ac:dyDescent="0.2">
      <c r="A705"/>
      <c r="B705"/>
      <c r="C705"/>
      <c r="D705"/>
      <c r="E705"/>
      <c r="F705"/>
      <c r="G705"/>
      <c r="H705"/>
      <c r="I705"/>
      <c r="J705"/>
      <c r="K705"/>
      <c r="L705"/>
      <c r="M705" s="16"/>
      <c r="N705"/>
      <c r="O705"/>
      <c r="P705"/>
    </row>
    <row r="706" spans="1:16" ht="15" x14ac:dyDescent="0.2">
      <c r="A706"/>
      <c r="B706"/>
      <c r="C706"/>
      <c r="D706"/>
      <c r="E706"/>
      <c r="F706"/>
      <c r="G706"/>
      <c r="H706"/>
      <c r="I706"/>
      <c r="J706"/>
      <c r="K706"/>
      <c r="L706"/>
      <c r="M706" s="16"/>
      <c r="N706"/>
      <c r="O706"/>
      <c r="P706"/>
    </row>
    <row r="707" spans="1:16" ht="15" x14ac:dyDescent="0.2">
      <c r="A707"/>
      <c r="B707"/>
      <c r="C707"/>
      <c r="D707"/>
      <c r="E707"/>
      <c r="F707"/>
      <c r="G707"/>
      <c r="H707"/>
      <c r="I707"/>
      <c r="J707"/>
      <c r="K707"/>
      <c r="L707"/>
      <c r="M707" s="16"/>
      <c r="N707"/>
      <c r="O707"/>
      <c r="P707"/>
    </row>
    <row r="708" spans="1:16" ht="15" x14ac:dyDescent="0.2">
      <c r="A708"/>
      <c r="B708"/>
      <c r="C708"/>
      <c r="D708"/>
      <c r="E708"/>
      <c r="F708"/>
      <c r="G708"/>
      <c r="H708"/>
      <c r="I708"/>
      <c r="J708"/>
      <c r="K708"/>
      <c r="L708"/>
      <c r="M708" s="16"/>
      <c r="N708"/>
      <c r="O708"/>
      <c r="P708"/>
    </row>
    <row r="709" spans="1:16" ht="15" x14ac:dyDescent="0.2">
      <c r="A709"/>
      <c r="B709"/>
      <c r="C709"/>
      <c r="D709"/>
      <c r="E709"/>
      <c r="F709"/>
      <c r="G709"/>
      <c r="H709"/>
      <c r="I709"/>
      <c r="J709"/>
      <c r="K709"/>
      <c r="L709"/>
      <c r="M709" s="16"/>
      <c r="N709"/>
      <c r="O709"/>
      <c r="P709"/>
    </row>
    <row r="710" spans="1:16" ht="15" x14ac:dyDescent="0.2">
      <c r="A710"/>
      <c r="B710"/>
      <c r="C710"/>
      <c r="D710"/>
      <c r="E710"/>
      <c r="F710"/>
      <c r="G710"/>
      <c r="H710"/>
      <c r="I710"/>
      <c r="J710"/>
      <c r="K710"/>
      <c r="L710"/>
      <c r="M710" s="16"/>
      <c r="N710"/>
      <c r="O710"/>
      <c r="P710"/>
    </row>
    <row r="711" spans="1:16" ht="15" x14ac:dyDescent="0.2">
      <c r="A711"/>
      <c r="B711"/>
      <c r="C711"/>
      <c r="D711"/>
      <c r="E711"/>
      <c r="F711"/>
      <c r="G711"/>
      <c r="H711"/>
      <c r="I711"/>
      <c r="J711"/>
      <c r="K711"/>
      <c r="L711"/>
      <c r="M711" s="16"/>
      <c r="N711"/>
      <c r="O711"/>
      <c r="P711"/>
    </row>
    <row r="712" spans="1:16" ht="15" x14ac:dyDescent="0.2">
      <c r="A712"/>
      <c r="B712"/>
      <c r="C712"/>
      <c r="D712"/>
      <c r="E712"/>
      <c r="F712"/>
      <c r="G712"/>
      <c r="H712"/>
      <c r="I712"/>
      <c r="J712"/>
      <c r="K712"/>
      <c r="L712"/>
      <c r="M712" s="16"/>
      <c r="N712"/>
      <c r="O712"/>
      <c r="P712"/>
    </row>
    <row r="713" spans="1:16" ht="15" x14ac:dyDescent="0.2">
      <c r="A713"/>
      <c r="B713"/>
      <c r="C713"/>
      <c r="D713"/>
      <c r="E713"/>
      <c r="F713"/>
      <c r="G713"/>
      <c r="H713"/>
      <c r="I713"/>
      <c r="J713"/>
      <c r="K713"/>
      <c r="L713"/>
      <c r="M713" s="16"/>
      <c r="N713"/>
      <c r="O713"/>
      <c r="P713"/>
    </row>
    <row r="714" spans="1:16" ht="15" x14ac:dyDescent="0.2">
      <c r="A714"/>
      <c r="B714"/>
      <c r="C714"/>
      <c r="D714"/>
      <c r="E714"/>
      <c r="F714"/>
      <c r="G714"/>
      <c r="H714"/>
      <c r="I714"/>
      <c r="J714"/>
      <c r="K714"/>
      <c r="L714"/>
      <c r="M714" s="16"/>
      <c r="N714"/>
      <c r="O714"/>
      <c r="P714"/>
    </row>
    <row r="715" spans="1:16" ht="15" x14ac:dyDescent="0.2">
      <c r="A715"/>
      <c r="B715"/>
      <c r="C715"/>
      <c r="D715"/>
      <c r="E715"/>
      <c r="F715"/>
      <c r="G715"/>
      <c r="H715"/>
      <c r="I715"/>
      <c r="J715"/>
      <c r="K715"/>
      <c r="L715"/>
      <c r="M715" s="16"/>
      <c r="N715"/>
      <c r="O715"/>
      <c r="P715"/>
    </row>
    <row r="716" spans="1:16" ht="15" x14ac:dyDescent="0.2">
      <c r="A716"/>
      <c r="B716"/>
      <c r="C716"/>
      <c r="D716"/>
      <c r="E716"/>
      <c r="F716"/>
      <c r="G716"/>
      <c r="H716"/>
      <c r="I716"/>
      <c r="J716"/>
      <c r="K716"/>
      <c r="L716"/>
      <c r="M716" s="16"/>
      <c r="N716"/>
      <c r="O716"/>
      <c r="P716"/>
    </row>
    <row r="717" spans="1:16" ht="15" x14ac:dyDescent="0.2">
      <c r="A717"/>
      <c r="B717"/>
      <c r="C717"/>
      <c r="D717"/>
      <c r="E717"/>
      <c r="F717"/>
      <c r="G717"/>
      <c r="H717"/>
      <c r="I717"/>
      <c r="J717"/>
      <c r="K717"/>
      <c r="L717"/>
      <c r="M717" s="16"/>
      <c r="N717"/>
      <c r="O717"/>
      <c r="P717"/>
    </row>
    <row r="718" spans="1:16" ht="15" x14ac:dyDescent="0.2">
      <c r="A718"/>
      <c r="B718"/>
      <c r="C718"/>
      <c r="D718"/>
      <c r="E718"/>
      <c r="F718"/>
      <c r="G718"/>
      <c r="H718"/>
      <c r="I718"/>
      <c r="J718"/>
      <c r="K718"/>
      <c r="L718"/>
      <c r="M718" s="16"/>
      <c r="N718"/>
      <c r="O718"/>
      <c r="P718"/>
    </row>
    <row r="719" spans="1:16" ht="15" x14ac:dyDescent="0.2">
      <c r="A719"/>
      <c r="B719"/>
      <c r="C719"/>
      <c r="D719"/>
      <c r="E719"/>
      <c r="F719"/>
      <c r="G719"/>
      <c r="H719"/>
      <c r="I719"/>
      <c r="J719"/>
      <c r="K719"/>
      <c r="L719"/>
      <c r="M719" s="16"/>
      <c r="N719"/>
      <c r="O719"/>
      <c r="P719"/>
    </row>
    <row r="720" spans="1:16" ht="15" x14ac:dyDescent="0.2">
      <c r="A720"/>
      <c r="B720"/>
      <c r="C720"/>
      <c r="D720"/>
      <c r="E720"/>
      <c r="F720"/>
      <c r="G720"/>
      <c r="H720"/>
      <c r="I720"/>
      <c r="J720"/>
      <c r="K720"/>
      <c r="L720"/>
      <c r="M720" s="16"/>
      <c r="N720"/>
      <c r="O720"/>
      <c r="P720"/>
    </row>
    <row r="721" spans="1:16" ht="15" x14ac:dyDescent="0.2">
      <c r="A721"/>
      <c r="B721"/>
      <c r="C721"/>
      <c r="D721"/>
      <c r="E721"/>
      <c r="F721"/>
      <c r="G721"/>
      <c r="H721"/>
      <c r="I721"/>
      <c r="J721"/>
      <c r="K721"/>
      <c r="L721"/>
      <c r="M721" s="16"/>
      <c r="N721"/>
      <c r="O721"/>
      <c r="P721"/>
    </row>
    <row r="722" spans="1:16" ht="15" x14ac:dyDescent="0.2">
      <c r="A722"/>
      <c r="B722"/>
      <c r="C722"/>
      <c r="D722"/>
      <c r="E722"/>
      <c r="F722"/>
      <c r="G722"/>
      <c r="H722"/>
      <c r="I722"/>
      <c r="J722"/>
      <c r="K722"/>
      <c r="L722"/>
      <c r="M722" s="16"/>
      <c r="N722"/>
      <c r="O722"/>
      <c r="P722"/>
    </row>
    <row r="723" spans="1:16" ht="15" x14ac:dyDescent="0.2">
      <c r="A723"/>
      <c r="B723"/>
      <c r="C723"/>
      <c r="D723"/>
      <c r="E723"/>
      <c r="F723"/>
      <c r="G723"/>
      <c r="H723"/>
      <c r="I723"/>
      <c r="J723"/>
      <c r="K723"/>
      <c r="L723"/>
      <c r="M723" s="16"/>
      <c r="N723"/>
      <c r="O723"/>
      <c r="P723"/>
    </row>
    <row r="724" spans="1:16" ht="15" x14ac:dyDescent="0.2">
      <c r="A724"/>
      <c r="B724"/>
      <c r="C724"/>
      <c r="D724"/>
      <c r="E724"/>
      <c r="F724"/>
      <c r="G724"/>
      <c r="H724"/>
      <c r="I724"/>
      <c r="J724"/>
      <c r="K724"/>
      <c r="L724"/>
      <c r="M724" s="16"/>
      <c r="N724"/>
      <c r="O724"/>
      <c r="P724"/>
    </row>
    <row r="725" spans="1:16" ht="15" x14ac:dyDescent="0.2">
      <c r="A725"/>
      <c r="B725"/>
      <c r="C725"/>
      <c r="D725"/>
      <c r="E725"/>
      <c r="F725"/>
      <c r="G725"/>
      <c r="H725"/>
      <c r="I725"/>
      <c r="J725"/>
      <c r="K725"/>
      <c r="L725"/>
      <c r="M725" s="16"/>
      <c r="N725"/>
      <c r="O725"/>
      <c r="P725"/>
    </row>
    <row r="726" spans="1:16" ht="15" x14ac:dyDescent="0.2">
      <c r="A726"/>
      <c r="B726"/>
      <c r="C726"/>
      <c r="D726"/>
      <c r="E726"/>
      <c r="F726"/>
      <c r="G726"/>
      <c r="H726"/>
      <c r="I726"/>
      <c r="J726"/>
      <c r="K726"/>
      <c r="L726"/>
      <c r="M726" s="16"/>
      <c r="N726"/>
      <c r="O726"/>
      <c r="P726"/>
    </row>
    <row r="727" spans="1:16" ht="15" x14ac:dyDescent="0.2">
      <c r="A727"/>
      <c r="B727"/>
      <c r="C727"/>
      <c r="D727"/>
      <c r="E727"/>
      <c r="F727"/>
      <c r="G727"/>
      <c r="H727"/>
      <c r="I727"/>
      <c r="J727"/>
      <c r="K727"/>
      <c r="L727"/>
      <c r="M727" s="16"/>
      <c r="N727"/>
      <c r="O727"/>
      <c r="P727"/>
    </row>
    <row r="728" spans="1:16" ht="15" x14ac:dyDescent="0.2">
      <c r="A728"/>
      <c r="B728"/>
      <c r="C728"/>
      <c r="D728"/>
      <c r="E728"/>
      <c r="F728"/>
      <c r="G728"/>
      <c r="H728"/>
      <c r="I728"/>
      <c r="J728"/>
      <c r="K728"/>
      <c r="L728"/>
      <c r="M728" s="16"/>
      <c r="N728"/>
      <c r="O728"/>
      <c r="P728"/>
    </row>
    <row r="729" spans="1:16" ht="15" x14ac:dyDescent="0.2">
      <c r="A729"/>
      <c r="B729"/>
      <c r="C729"/>
      <c r="D729"/>
      <c r="E729"/>
      <c r="F729"/>
      <c r="G729"/>
      <c r="H729"/>
      <c r="I729"/>
      <c r="J729"/>
      <c r="K729"/>
      <c r="L729"/>
      <c r="M729" s="16"/>
      <c r="N729"/>
      <c r="O729"/>
      <c r="P729"/>
    </row>
    <row r="730" spans="1:16" ht="15" x14ac:dyDescent="0.2">
      <c r="A730"/>
      <c r="B730"/>
      <c r="C730"/>
      <c r="D730"/>
      <c r="E730"/>
      <c r="F730"/>
      <c r="G730"/>
      <c r="H730"/>
      <c r="I730"/>
      <c r="J730"/>
      <c r="K730"/>
      <c r="L730"/>
      <c r="M730" s="16"/>
      <c r="N730"/>
      <c r="O730"/>
      <c r="P730"/>
    </row>
    <row r="731" spans="1:16" ht="15" x14ac:dyDescent="0.2">
      <c r="A731"/>
      <c r="B731"/>
      <c r="C731"/>
      <c r="D731"/>
      <c r="E731"/>
      <c r="F731"/>
      <c r="G731"/>
      <c r="H731"/>
      <c r="I731"/>
      <c r="J731"/>
      <c r="K731"/>
      <c r="L731"/>
      <c r="M731" s="16"/>
      <c r="N731"/>
      <c r="O731"/>
      <c r="P731"/>
    </row>
    <row r="732" spans="1:16" ht="15" x14ac:dyDescent="0.2">
      <c r="A732"/>
      <c r="B732"/>
      <c r="C732"/>
      <c r="D732"/>
      <c r="E732"/>
      <c r="F732"/>
      <c r="G732"/>
      <c r="H732"/>
      <c r="I732"/>
      <c r="J732"/>
      <c r="K732"/>
      <c r="L732"/>
      <c r="M732" s="16"/>
      <c r="N732"/>
      <c r="O732"/>
      <c r="P732"/>
    </row>
    <row r="733" spans="1:16" ht="15" x14ac:dyDescent="0.2">
      <c r="A733"/>
      <c r="B733"/>
      <c r="C733"/>
      <c r="D733"/>
      <c r="E733"/>
      <c r="F733"/>
      <c r="G733"/>
      <c r="H733"/>
      <c r="I733"/>
      <c r="J733"/>
      <c r="K733"/>
      <c r="L733"/>
      <c r="M733" s="16"/>
      <c r="N733"/>
      <c r="O733"/>
      <c r="P733"/>
    </row>
    <row r="734" spans="1:16" ht="15" x14ac:dyDescent="0.2">
      <c r="A734"/>
      <c r="B734"/>
      <c r="C734"/>
      <c r="D734"/>
      <c r="E734"/>
      <c r="F734"/>
      <c r="G734"/>
      <c r="H734"/>
      <c r="I734"/>
      <c r="J734"/>
      <c r="K734"/>
      <c r="L734"/>
      <c r="M734" s="16"/>
      <c r="N734"/>
      <c r="O734"/>
      <c r="P734"/>
    </row>
    <row r="735" spans="1:16" ht="15" x14ac:dyDescent="0.2">
      <c r="A735"/>
      <c r="B735"/>
      <c r="C735"/>
      <c r="D735"/>
      <c r="E735"/>
      <c r="F735"/>
      <c r="G735"/>
      <c r="H735"/>
      <c r="I735"/>
      <c r="J735"/>
      <c r="K735"/>
      <c r="L735"/>
      <c r="M735" s="16"/>
      <c r="N735"/>
      <c r="O735"/>
      <c r="P735"/>
    </row>
    <row r="736" spans="1:16" ht="15" x14ac:dyDescent="0.2">
      <c r="A736"/>
      <c r="B736"/>
      <c r="C736"/>
      <c r="D736"/>
      <c r="E736"/>
      <c r="F736"/>
      <c r="G736"/>
      <c r="H736"/>
      <c r="I736"/>
      <c r="J736"/>
      <c r="K736"/>
      <c r="L736"/>
      <c r="M736" s="16"/>
      <c r="N736"/>
      <c r="O736"/>
      <c r="P736"/>
    </row>
    <row r="737" spans="1:16" ht="15" x14ac:dyDescent="0.2">
      <c r="A737"/>
      <c r="B737"/>
      <c r="C737"/>
      <c r="D737"/>
      <c r="E737"/>
      <c r="F737"/>
      <c r="G737"/>
      <c r="H737"/>
      <c r="I737"/>
      <c r="J737"/>
      <c r="K737"/>
      <c r="L737"/>
      <c r="M737" s="16"/>
      <c r="N737"/>
      <c r="O737"/>
      <c r="P737"/>
    </row>
    <row r="738" spans="1:16" ht="15" x14ac:dyDescent="0.2">
      <c r="A738"/>
      <c r="B738"/>
      <c r="C738"/>
      <c r="D738"/>
      <c r="E738"/>
      <c r="F738"/>
      <c r="G738"/>
      <c r="H738"/>
      <c r="I738"/>
      <c r="J738"/>
      <c r="K738"/>
      <c r="L738"/>
      <c r="M738" s="16"/>
      <c r="N738"/>
      <c r="O738"/>
      <c r="P738"/>
    </row>
    <row r="739" spans="1:16" ht="15" x14ac:dyDescent="0.2">
      <c r="A739"/>
      <c r="B739"/>
      <c r="C739"/>
      <c r="D739"/>
      <c r="E739"/>
      <c r="F739"/>
      <c r="G739"/>
      <c r="H739"/>
      <c r="I739"/>
      <c r="J739"/>
      <c r="K739"/>
      <c r="L739"/>
      <c r="M739" s="16"/>
      <c r="N739"/>
      <c r="O739"/>
      <c r="P739"/>
    </row>
    <row r="740" spans="1:16" ht="15" x14ac:dyDescent="0.2">
      <c r="A740"/>
      <c r="B740"/>
      <c r="C740"/>
      <c r="D740"/>
      <c r="E740"/>
      <c r="F740"/>
      <c r="G740"/>
      <c r="H740"/>
      <c r="I740"/>
      <c r="J740"/>
      <c r="K740"/>
      <c r="L740"/>
      <c r="M740" s="16"/>
      <c r="N740"/>
      <c r="O740"/>
      <c r="P740"/>
    </row>
    <row r="741" spans="1:16" ht="15" x14ac:dyDescent="0.2">
      <c r="A741"/>
      <c r="B741"/>
      <c r="C741"/>
      <c r="D741"/>
      <c r="E741"/>
      <c r="F741"/>
      <c r="G741"/>
      <c r="H741"/>
      <c r="I741"/>
      <c r="J741"/>
      <c r="K741"/>
      <c r="L741"/>
      <c r="M741" s="16"/>
      <c r="N741"/>
      <c r="O741"/>
      <c r="P741"/>
    </row>
    <row r="742" spans="1:16" ht="15" x14ac:dyDescent="0.2">
      <c r="A742"/>
      <c r="B742"/>
      <c r="C742"/>
      <c r="D742"/>
      <c r="E742"/>
      <c r="F742"/>
      <c r="G742"/>
      <c r="H742"/>
      <c r="I742"/>
      <c r="J742"/>
      <c r="K742"/>
      <c r="L742"/>
      <c r="M742" s="16"/>
      <c r="N742"/>
      <c r="O742"/>
      <c r="P742"/>
    </row>
    <row r="743" spans="1:16" ht="15" x14ac:dyDescent="0.2">
      <c r="A743"/>
      <c r="B743"/>
      <c r="C743"/>
      <c r="D743"/>
      <c r="E743"/>
      <c r="F743"/>
      <c r="G743"/>
      <c r="H743"/>
      <c r="I743"/>
      <c r="J743"/>
      <c r="K743"/>
      <c r="L743"/>
      <c r="M743" s="16"/>
      <c r="N743"/>
      <c r="O743"/>
      <c r="P743"/>
    </row>
    <row r="744" spans="1:16" ht="15" x14ac:dyDescent="0.2">
      <c r="A744"/>
      <c r="B744"/>
      <c r="C744"/>
      <c r="D744"/>
      <c r="E744"/>
      <c r="F744"/>
      <c r="G744"/>
      <c r="H744"/>
      <c r="I744"/>
      <c r="J744"/>
      <c r="K744"/>
      <c r="L744"/>
      <c r="M744" s="16"/>
      <c r="N744"/>
      <c r="O744"/>
      <c r="P744"/>
    </row>
    <row r="745" spans="1:16" ht="15" x14ac:dyDescent="0.2">
      <c r="A745"/>
      <c r="B745"/>
      <c r="C745"/>
      <c r="D745"/>
      <c r="E745"/>
      <c r="F745"/>
      <c r="G745"/>
      <c r="H745"/>
      <c r="I745"/>
      <c r="J745"/>
      <c r="K745"/>
      <c r="L745"/>
      <c r="M745" s="16"/>
      <c r="N745"/>
      <c r="O745"/>
      <c r="P745"/>
    </row>
    <row r="746" spans="1:16" ht="15" x14ac:dyDescent="0.2">
      <c r="A746"/>
      <c r="B746"/>
      <c r="C746"/>
      <c r="D746"/>
      <c r="E746"/>
      <c r="F746"/>
      <c r="G746"/>
      <c r="H746"/>
      <c r="I746"/>
      <c r="J746"/>
      <c r="K746"/>
      <c r="L746"/>
      <c r="M746" s="16"/>
      <c r="N746"/>
      <c r="O746"/>
      <c r="P746"/>
    </row>
    <row r="747" spans="1:16" ht="15" x14ac:dyDescent="0.2">
      <c r="A747"/>
      <c r="B747"/>
      <c r="C747"/>
      <c r="D747"/>
      <c r="E747"/>
      <c r="F747"/>
      <c r="G747"/>
      <c r="H747"/>
      <c r="I747"/>
      <c r="J747"/>
      <c r="K747"/>
      <c r="L747"/>
      <c r="M747" s="16"/>
      <c r="N747"/>
      <c r="O747"/>
      <c r="P747"/>
    </row>
    <row r="748" spans="1:16" ht="15" x14ac:dyDescent="0.2">
      <c r="A748"/>
      <c r="B748"/>
      <c r="C748"/>
      <c r="D748"/>
      <c r="E748"/>
      <c r="F748"/>
      <c r="G748"/>
      <c r="H748"/>
      <c r="I748"/>
      <c r="J748"/>
      <c r="K748"/>
      <c r="L748"/>
      <c r="M748" s="16"/>
      <c r="N748"/>
      <c r="O748"/>
      <c r="P748"/>
    </row>
    <row r="749" spans="1:16" ht="15" x14ac:dyDescent="0.2">
      <c r="A749"/>
      <c r="B749"/>
      <c r="C749"/>
      <c r="D749"/>
      <c r="E749"/>
      <c r="F749"/>
      <c r="G749"/>
      <c r="H749"/>
      <c r="I749"/>
      <c r="J749"/>
      <c r="K749"/>
      <c r="L749"/>
      <c r="M749" s="16"/>
      <c r="N749"/>
      <c r="O749"/>
      <c r="P749"/>
    </row>
    <row r="750" spans="1:16" ht="15" x14ac:dyDescent="0.2">
      <c r="A750"/>
      <c r="B750"/>
      <c r="C750"/>
      <c r="D750"/>
      <c r="E750"/>
      <c r="F750"/>
      <c r="G750"/>
      <c r="H750"/>
      <c r="I750"/>
      <c r="J750"/>
      <c r="K750"/>
      <c r="L750"/>
      <c r="M750" s="16"/>
      <c r="N750"/>
      <c r="O750"/>
      <c r="P750"/>
    </row>
    <row r="751" spans="1:16" ht="15" x14ac:dyDescent="0.2">
      <c r="A751"/>
      <c r="B751"/>
      <c r="C751"/>
      <c r="D751"/>
      <c r="E751"/>
      <c r="F751"/>
      <c r="G751"/>
      <c r="H751"/>
      <c r="I751"/>
      <c r="J751"/>
      <c r="K751"/>
      <c r="L751"/>
      <c r="M751" s="16"/>
      <c r="N751"/>
      <c r="O751"/>
      <c r="P751"/>
    </row>
    <row r="752" spans="1:16" ht="15" x14ac:dyDescent="0.2">
      <c r="A752"/>
      <c r="B752"/>
      <c r="C752"/>
      <c r="D752"/>
      <c r="E752"/>
      <c r="F752"/>
      <c r="G752"/>
      <c r="H752"/>
      <c r="I752"/>
      <c r="J752"/>
      <c r="K752"/>
      <c r="L752"/>
      <c r="M752" s="16"/>
      <c r="N752"/>
      <c r="O752"/>
      <c r="P752"/>
    </row>
    <row r="753" spans="1:16" ht="15" x14ac:dyDescent="0.2">
      <c r="A753"/>
      <c r="B753"/>
      <c r="C753"/>
      <c r="D753"/>
      <c r="E753"/>
      <c r="F753"/>
      <c r="G753"/>
      <c r="H753"/>
      <c r="I753"/>
      <c r="J753"/>
      <c r="K753"/>
      <c r="L753"/>
      <c r="M753" s="16"/>
      <c r="N753"/>
      <c r="O753"/>
      <c r="P753"/>
    </row>
    <row r="754" spans="1:16" ht="15" x14ac:dyDescent="0.2">
      <c r="A754"/>
      <c r="B754"/>
      <c r="C754"/>
      <c r="D754"/>
      <c r="E754"/>
      <c r="F754"/>
      <c r="G754"/>
      <c r="H754"/>
      <c r="I754"/>
      <c r="J754"/>
      <c r="K754"/>
      <c r="L754"/>
      <c r="M754" s="16"/>
      <c r="N754"/>
      <c r="O754"/>
      <c r="P754"/>
    </row>
    <row r="755" spans="1:16" ht="15" x14ac:dyDescent="0.2">
      <c r="A755"/>
      <c r="B755"/>
      <c r="C755"/>
      <c r="D755"/>
      <c r="E755"/>
      <c r="F755"/>
      <c r="G755"/>
      <c r="H755"/>
      <c r="I755"/>
      <c r="J755"/>
      <c r="K755"/>
      <c r="L755"/>
      <c r="M755" s="16"/>
      <c r="N755"/>
      <c r="O755"/>
      <c r="P755"/>
    </row>
    <row r="756" spans="1:16" ht="15" x14ac:dyDescent="0.2">
      <c r="A756"/>
      <c r="B756"/>
      <c r="C756"/>
      <c r="D756"/>
      <c r="E756"/>
      <c r="F756"/>
      <c r="G756"/>
      <c r="H756"/>
      <c r="I756"/>
      <c r="J756"/>
      <c r="K756"/>
      <c r="L756"/>
      <c r="M756" s="16"/>
      <c r="N756"/>
      <c r="O756"/>
      <c r="P756"/>
    </row>
    <row r="757" spans="1:16" ht="15" x14ac:dyDescent="0.2">
      <c r="A757"/>
      <c r="B757"/>
      <c r="C757"/>
      <c r="D757"/>
      <c r="E757"/>
      <c r="F757"/>
      <c r="G757"/>
      <c r="H757"/>
      <c r="I757"/>
      <c r="J757"/>
      <c r="K757"/>
      <c r="L757"/>
      <c r="M757" s="16"/>
      <c r="N757"/>
      <c r="O757"/>
      <c r="P757"/>
    </row>
    <row r="758" spans="1:16" ht="15" x14ac:dyDescent="0.2">
      <c r="A758"/>
      <c r="B758"/>
      <c r="C758"/>
      <c r="D758"/>
      <c r="E758"/>
      <c r="F758"/>
      <c r="G758"/>
      <c r="H758"/>
      <c r="I758"/>
      <c r="J758"/>
      <c r="K758"/>
      <c r="L758"/>
      <c r="M758" s="16"/>
      <c r="N758"/>
      <c r="O758"/>
      <c r="P758"/>
    </row>
    <row r="759" spans="1:16" ht="15" x14ac:dyDescent="0.2">
      <c r="A759"/>
      <c r="B759"/>
      <c r="C759"/>
      <c r="D759"/>
      <c r="E759"/>
      <c r="F759"/>
      <c r="G759"/>
      <c r="H759"/>
      <c r="I759"/>
      <c r="J759"/>
      <c r="K759"/>
      <c r="L759"/>
      <c r="M759" s="16"/>
      <c r="N759"/>
      <c r="O759"/>
      <c r="P759"/>
    </row>
    <row r="760" spans="1:16" ht="15" x14ac:dyDescent="0.2">
      <c r="A760"/>
      <c r="B760"/>
      <c r="C760"/>
      <c r="D760"/>
      <c r="E760"/>
      <c r="F760"/>
      <c r="G760"/>
      <c r="H760"/>
      <c r="I760"/>
      <c r="J760"/>
      <c r="K760"/>
      <c r="L760"/>
      <c r="M760" s="16"/>
      <c r="N760"/>
      <c r="O760"/>
      <c r="P760"/>
    </row>
    <row r="761" spans="1:16" ht="15" x14ac:dyDescent="0.2">
      <c r="A761"/>
      <c r="B761"/>
      <c r="C761"/>
      <c r="D761"/>
      <c r="E761"/>
      <c r="F761"/>
      <c r="G761"/>
      <c r="H761"/>
      <c r="I761"/>
      <c r="J761"/>
      <c r="K761"/>
      <c r="L761"/>
      <c r="M761" s="16"/>
      <c r="N761"/>
      <c r="O761"/>
      <c r="P761"/>
    </row>
    <row r="762" spans="1:16" ht="15" x14ac:dyDescent="0.2">
      <c r="A762"/>
      <c r="B762"/>
      <c r="C762"/>
      <c r="D762"/>
      <c r="E762"/>
      <c r="F762"/>
      <c r="G762"/>
      <c r="H762"/>
      <c r="I762"/>
      <c r="J762"/>
      <c r="K762"/>
      <c r="L762"/>
      <c r="M762" s="16"/>
      <c r="N762"/>
      <c r="O762"/>
      <c r="P762"/>
    </row>
    <row r="763" spans="1:16" ht="15" x14ac:dyDescent="0.2">
      <c r="A763"/>
      <c r="B763"/>
      <c r="C763"/>
      <c r="D763"/>
      <c r="E763"/>
      <c r="F763"/>
      <c r="G763"/>
      <c r="H763"/>
      <c r="I763"/>
      <c r="J763"/>
      <c r="K763"/>
      <c r="L763"/>
      <c r="M763" s="16"/>
      <c r="N763"/>
      <c r="O763"/>
      <c r="P763"/>
    </row>
    <row r="764" spans="1:16" ht="15" x14ac:dyDescent="0.2">
      <c r="A764"/>
      <c r="B764"/>
      <c r="C764"/>
      <c r="D764"/>
      <c r="E764"/>
      <c r="F764"/>
      <c r="G764"/>
      <c r="H764"/>
      <c r="I764"/>
      <c r="J764"/>
      <c r="K764"/>
      <c r="L764"/>
      <c r="M764" s="16"/>
      <c r="N764"/>
      <c r="O764"/>
      <c r="P764"/>
    </row>
    <row r="765" spans="1:16" ht="15" x14ac:dyDescent="0.2">
      <c r="A765"/>
      <c r="B765"/>
      <c r="C765"/>
      <c r="D765"/>
      <c r="E765"/>
      <c r="F765"/>
      <c r="G765"/>
      <c r="H765"/>
      <c r="I765"/>
      <c r="J765"/>
      <c r="K765"/>
      <c r="L765"/>
      <c r="M765" s="16"/>
      <c r="N765"/>
      <c r="O765"/>
      <c r="P765"/>
    </row>
    <row r="766" spans="1:16" ht="15" x14ac:dyDescent="0.2">
      <c r="A766"/>
      <c r="B766"/>
      <c r="C766"/>
      <c r="D766"/>
      <c r="E766"/>
      <c r="F766"/>
      <c r="G766"/>
      <c r="H766"/>
      <c r="I766"/>
      <c r="J766"/>
      <c r="K766"/>
      <c r="L766"/>
      <c r="M766" s="16"/>
      <c r="N766"/>
      <c r="O766"/>
      <c r="P766"/>
    </row>
    <row r="767" spans="1:16" ht="15" x14ac:dyDescent="0.2">
      <c r="A767"/>
      <c r="B767"/>
      <c r="C767"/>
      <c r="D767"/>
      <c r="E767"/>
      <c r="F767"/>
      <c r="G767"/>
      <c r="H767"/>
      <c r="I767"/>
      <c r="J767"/>
      <c r="K767"/>
      <c r="L767"/>
      <c r="M767" s="16"/>
      <c r="N767"/>
      <c r="O767"/>
      <c r="P767"/>
    </row>
    <row r="768" spans="1:16" ht="15" x14ac:dyDescent="0.2">
      <c r="A768"/>
      <c r="B768"/>
      <c r="C768"/>
      <c r="D768"/>
      <c r="E768"/>
      <c r="F768"/>
      <c r="G768"/>
      <c r="H768"/>
      <c r="I768"/>
      <c r="J768"/>
      <c r="K768"/>
      <c r="L768"/>
      <c r="M768" s="16"/>
      <c r="N768"/>
      <c r="O768"/>
      <c r="P768"/>
    </row>
    <row r="769" spans="1:16" ht="15" x14ac:dyDescent="0.2">
      <c r="A769"/>
      <c r="B769"/>
      <c r="C769"/>
      <c r="D769"/>
      <c r="E769"/>
      <c r="F769"/>
      <c r="G769"/>
      <c r="H769"/>
      <c r="I769"/>
      <c r="J769"/>
      <c r="K769"/>
      <c r="L769"/>
      <c r="M769" s="16"/>
      <c r="N769"/>
      <c r="O769"/>
      <c r="P769"/>
    </row>
    <row r="770" spans="1:16" ht="15" x14ac:dyDescent="0.2">
      <c r="A770"/>
      <c r="B770"/>
      <c r="C770"/>
      <c r="D770"/>
      <c r="E770"/>
      <c r="F770"/>
      <c r="G770"/>
      <c r="H770"/>
      <c r="I770"/>
      <c r="J770"/>
      <c r="K770"/>
      <c r="L770"/>
      <c r="M770" s="16"/>
      <c r="N770"/>
      <c r="O770"/>
      <c r="P770"/>
    </row>
    <row r="771" spans="1:16" ht="15" x14ac:dyDescent="0.2">
      <c r="A771"/>
      <c r="B771"/>
      <c r="C771"/>
      <c r="D771"/>
      <c r="E771"/>
      <c r="F771"/>
      <c r="G771"/>
      <c r="H771"/>
      <c r="I771"/>
      <c r="J771"/>
      <c r="K771"/>
      <c r="L771"/>
      <c r="M771" s="16"/>
      <c r="N771"/>
      <c r="O771"/>
      <c r="P771"/>
    </row>
    <row r="772" spans="1:16" ht="15" x14ac:dyDescent="0.2">
      <c r="A772"/>
      <c r="B772"/>
      <c r="C772"/>
      <c r="D772"/>
      <c r="E772"/>
      <c r="F772"/>
      <c r="G772"/>
      <c r="H772"/>
      <c r="I772"/>
      <c r="J772"/>
      <c r="K772"/>
      <c r="L772"/>
      <c r="M772" s="16"/>
      <c r="N772"/>
      <c r="O772"/>
      <c r="P772"/>
    </row>
    <row r="773" spans="1:16" ht="15" x14ac:dyDescent="0.2">
      <c r="A773"/>
      <c r="B773"/>
      <c r="C773"/>
      <c r="D773"/>
      <c r="E773"/>
      <c r="F773"/>
      <c r="G773"/>
      <c r="H773"/>
      <c r="I773"/>
      <c r="J773"/>
      <c r="K773"/>
      <c r="L773"/>
      <c r="M773" s="16"/>
      <c r="N773"/>
      <c r="O773"/>
      <c r="P773"/>
    </row>
    <row r="774" spans="1:16" ht="15" x14ac:dyDescent="0.2">
      <c r="A774"/>
      <c r="B774"/>
      <c r="C774"/>
      <c r="D774"/>
      <c r="E774"/>
      <c r="F774"/>
      <c r="G774"/>
      <c r="H774"/>
      <c r="I774"/>
      <c r="J774"/>
      <c r="K774"/>
      <c r="L774"/>
      <c r="M774" s="16"/>
      <c r="N774"/>
      <c r="O774"/>
      <c r="P774"/>
    </row>
    <row r="775" spans="1:16" ht="15" x14ac:dyDescent="0.2">
      <c r="A775"/>
      <c r="B775"/>
      <c r="C775"/>
      <c r="D775"/>
      <c r="E775"/>
      <c r="F775"/>
      <c r="G775"/>
      <c r="H775"/>
      <c r="I775"/>
      <c r="J775"/>
      <c r="K775"/>
      <c r="L775"/>
      <c r="M775" s="16"/>
      <c r="N775"/>
      <c r="O775"/>
      <c r="P775"/>
    </row>
    <row r="776" spans="1:16" ht="15" x14ac:dyDescent="0.2">
      <c r="A776"/>
      <c r="B776"/>
      <c r="C776"/>
      <c r="D776"/>
      <c r="E776"/>
      <c r="F776"/>
      <c r="G776"/>
      <c r="H776"/>
      <c r="I776"/>
      <c r="J776"/>
      <c r="K776"/>
      <c r="L776"/>
      <c r="M776" s="16"/>
      <c r="N776"/>
      <c r="O776"/>
      <c r="P776"/>
    </row>
    <row r="777" spans="1:16" ht="15" x14ac:dyDescent="0.2">
      <c r="A777"/>
      <c r="B777"/>
      <c r="C777"/>
      <c r="D777"/>
      <c r="E777"/>
      <c r="F777"/>
      <c r="G777"/>
      <c r="H777"/>
      <c r="I777"/>
      <c r="J777"/>
      <c r="K777"/>
      <c r="L777"/>
      <c r="M777" s="16"/>
      <c r="N777"/>
      <c r="O777"/>
      <c r="P777"/>
    </row>
    <row r="778" spans="1:16" ht="15" x14ac:dyDescent="0.2">
      <c r="A778"/>
      <c r="B778"/>
      <c r="C778"/>
      <c r="D778"/>
      <c r="E778"/>
      <c r="F778"/>
      <c r="G778"/>
      <c r="H778"/>
      <c r="I778"/>
      <c r="J778"/>
      <c r="K778"/>
      <c r="L778"/>
      <c r="M778" s="16"/>
      <c r="N778"/>
      <c r="O778"/>
      <c r="P778"/>
    </row>
    <row r="779" spans="1:16" ht="15" x14ac:dyDescent="0.2">
      <c r="A779"/>
      <c r="B779"/>
      <c r="C779"/>
      <c r="D779"/>
      <c r="E779"/>
      <c r="F779"/>
      <c r="G779"/>
      <c r="H779"/>
      <c r="I779"/>
      <c r="J779"/>
      <c r="K779"/>
      <c r="L779"/>
      <c r="M779" s="16"/>
      <c r="N779"/>
      <c r="O779"/>
      <c r="P779"/>
    </row>
    <row r="780" spans="1:16" ht="15" x14ac:dyDescent="0.2">
      <c r="A780"/>
      <c r="B780"/>
      <c r="C780"/>
      <c r="D780"/>
      <c r="E780"/>
      <c r="F780"/>
      <c r="G780"/>
      <c r="H780"/>
      <c r="I780"/>
      <c r="J780"/>
      <c r="K780"/>
      <c r="L780"/>
      <c r="M780" s="16"/>
      <c r="N780"/>
      <c r="O780"/>
      <c r="P780"/>
    </row>
    <row r="781" spans="1:16" ht="15" x14ac:dyDescent="0.2">
      <c r="A781"/>
      <c r="B781"/>
      <c r="C781"/>
      <c r="D781"/>
      <c r="E781"/>
      <c r="F781"/>
      <c r="G781"/>
      <c r="H781"/>
      <c r="I781"/>
      <c r="J781"/>
      <c r="K781"/>
      <c r="L781"/>
      <c r="M781" s="16"/>
      <c r="N781"/>
      <c r="O781"/>
      <c r="P781"/>
    </row>
    <row r="782" spans="1:16" ht="15" x14ac:dyDescent="0.2">
      <c r="A782"/>
      <c r="B782"/>
      <c r="C782"/>
      <c r="D782"/>
      <c r="E782"/>
      <c r="F782"/>
      <c r="G782"/>
      <c r="H782"/>
      <c r="I782"/>
      <c r="J782"/>
      <c r="K782"/>
      <c r="L782"/>
      <c r="M782" s="16"/>
      <c r="N782"/>
      <c r="O782"/>
      <c r="P782"/>
    </row>
    <row r="783" spans="1:16" ht="15" x14ac:dyDescent="0.2">
      <c r="A783"/>
      <c r="B783"/>
      <c r="C783"/>
      <c r="D783"/>
      <c r="E783"/>
      <c r="F783"/>
      <c r="G783"/>
      <c r="H783"/>
      <c r="I783"/>
      <c r="J783"/>
      <c r="K783"/>
      <c r="L783"/>
      <c r="M783" s="16"/>
      <c r="N783"/>
      <c r="O783"/>
      <c r="P783"/>
    </row>
    <row r="784" spans="1:16" ht="15" x14ac:dyDescent="0.2">
      <c r="A784"/>
      <c r="B784"/>
      <c r="C784"/>
      <c r="D784"/>
      <c r="E784"/>
      <c r="F784"/>
      <c r="G784"/>
      <c r="H784"/>
      <c r="I784"/>
      <c r="J784"/>
      <c r="K784"/>
      <c r="L784"/>
      <c r="M784" s="16"/>
      <c r="N784"/>
      <c r="O784"/>
      <c r="P784"/>
    </row>
    <row r="785" spans="1:16" ht="15" x14ac:dyDescent="0.2">
      <c r="A785"/>
      <c r="B785"/>
      <c r="C785"/>
      <c r="D785"/>
      <c r="E785"/>
      <c r="F785"/>
      <c r="G785"/>
      <c r="H785"/>
      <c r="I785"/>
      <c r="J785"/>
      <c r="K785"/>
      <c r="L785"/>
      <c r="M785" s="16"/>
      <c r="N785"/>
      <c r="O785"/>
      <c r="P785"/>
    </row>
    <row r="786" spans="1:16" ht="15" x14ac:dyDescent="0.2">
      <c r="A786"/>
      <c r="B786"/>
      <c r="C786"/>
      <c r="D786"/>
      <c r="E786"/>
      <c r="F786"/>
      <c r="G786"/>
      <c r="H786"/>
      <c r="I786"/>
      <c r="J786"/>
      <c r="K786"/>
      <c r="L786"/>
      <c r="M786" s="16"/>
      <c r="N786"/>
      <c r="O786"/>
      <c r="P786"/>
    </row>
    <row r="787" spans="1:16" ht="15" x14ac:dyDescent="0.2">
      <c r="A787"/>
      <c r="B787"/>
      <c r="C787"/>
      <c r="D787"/>
      <c r="E787"/>
      <c r="F787"/>
      <c r="G787"/>
      <c r="H787"/>
      <c r="I787"/>
      <c r="J787"/>
      <c r="K787"/>
      <c r="L787"/>
      <c r="M787" s="16"/>
      <c r="N787"/>
      <c r="O787"/>
      <c r="P787"/>
    </row>
    <row r="788" spans="1:16" ht="15" x14ac:dyDescent="0.2">
      <c r="A788"/>
      <c r="B788"/>
      <c r="C788"/>
      <c r="D788"/>
      <c r="E788"/>
      <c r="F788"/>
      <c r="G788"/>
      <c r="H788"/>
      <c r="I788"/>
      <c r="J788"/>
      <c r="K788"/>
      <c r="L788"/>
      <c r="M788" s="16"/>
      <c r="N788"/>
      <c r="O788"/>
      <c r="P788"/>
    </row>
    <row r="789" spans="1:16" ht="15" x14ac:dyDescent="0.2">
      <c r="A789"/>
      <c r="B789"/>
      <c r="C789"/>
      <c r="D789"/>
      <c r="E789"/>
      <c r="F789"/>
      <c r="G789"/>
      <c r="H789"/>
      <c r="I789"/>
      <c r="J789"/>
      <c r="K789"/>
      <c r="L789"/>
      <c r="M789" s="16"/>
      <c r="N789"/>
      <c r="O789"/>
      <c r="P789"/>
    </row>
    <row r="790" spans="1:16" ht="15" x14ac:dyDescent="0.2">
      <c r="A790"/>
      <c r="B790"/>
      <c r="C790"/>
      <c r="D790"/>
      <c r="E790"/>
      <c r="F790"/>
      <c r="G790"/>
      <c r="H790"/>
      <c r="I790"/>
      <c r="J790"/>
      <c r="K790"/>
      <c r="L790"/>
      <c r="M790" s="16"/>
      <c r="N790"/>
      <c r="O790"/>
      <c r="P790"/>
    </row>
    <row r="791" spans="1:16" ht="15" x14ac:dyDescent="0.2">
      <c r="A791"/>
      <c r="B791"/>
      <c r="C791"/>
      <c r="D791"/>
      <c r="E791"/>
      <c r="F791"/>
      <c r="G791"/>
      <c r="H791"/>
      <c r="I791"/>
      <c r="J791"/>
      <c r="K791"/>
      <c r="L791"/>
      <c r="M791" s="16"/>
      <c r="N791"/>
      <c r="O791"/>
      <c r="P791"/>
    </row>
    <row r="792" spans="1:16" ht="15" x14ac:dyDescent="0.2">
      <c r="A792"/>
      <c r="B792"/>
      <c r="C792"/>
      <c r="D792"/>
      <c r="E792"/>
      <c r="F792"/>
      <c r="G792"/>
      <c r="H792"/>
      <c r="I792"/>
      <c r="J792"/>
      <c r="K792"/>
      <c r="L792"/>
      <c r="M792" s="16"/>
      <c r="N792"/>
      <c r="O792"/>
      <c r="P792"/>
    </row>
    <row r="793" spans="1:16" ht="15" x14ac:dyDescent="0.2">
      <c r="A793"/>
      <c r="B793"/>
      <c r="C793"/>
      <c r="D793"/>
      <c r="E793"/>
      <c r="F793"/>
      <c r="G793"/>
      <c r="H793"/>
      <c r="I793"/>
      <c r="J793"/>
      <c r="K793"/>
      <c r="L793"/>
      <c r="M793" s="16"/>
      <c r="N793"/>
      <c r="O793"/>
      <c r="P793"/>
    </row>
    <row r="794" spans="1:16" ht="15" x14ac:dyDescent="0.2">
      <c r="A794"/>
      <c r="B794"/>
      <c r="C794"/>
      <c r="D794"/>
      <c r="E794"/>
      <c r="F794"/>
      <c r="G794"/>
      <c r="H794"/>
      <c r="I794"/>
      <c r="J794"/>
      <c r="K794"/>
      <c r="L794"/>
      <c r="M794" s="16"/>
      <c r="N794"/>
      <c r="O794"/>
      <c r="P794"/>
    </row>
    <row r="795" spans="1:16" ht="15" x14ac:dyDescent="0.2">
      <c r="A795"/>
      <c r="B795"/>
      <c r="C795"/>
      <c r="D795"/>
      <c r="E795"/>
      <c r="F795"/>
      <c r="G795"/>
      <c r="H795"/>
      <c r="I795"/>
      <c r="J795"/>
      <c r="K795"/>
      <c r="L795"/>
      <c r="M795" s="16"/>
      <c r="N795"/>
      <c r="O795"/>
      <c r="P795"/>
    </row>
    <row r="796" spans="1:16" ht="15" x14ac:dyDescent="0.2">
      <c r="A796"/>
      <c r="B796"/>
      <c r="C796"/>
      <c r="D796"/>
      <c r="E796"/>
      <c r="F796"/>
      <c r="G796"/>
      <c r="H796"/>
      <c r="I796"/>
      <c r="J796"/>
      <c r="K796"/>
      <c r="L796"/>
      <c r="M796" s="16"/>
      <c r="N796"/>
      <c r="O796"/>
      <c r="P796"/>
    </row>
    <row r="797" spans="1:16" ht="15" x14ac:dyDescent="0.2">
      <c r="A797"/>
      <c r="B797"/>
      <c r="C797"/>
      <c r="D797"/>
      <c r="E797"/>
      <c r="F797"/>
      <c r="G797"/>
      <c r="H797"/>
      <c r="I797"/>
      <c r="J797"/>
      <c r="K797"/>
      <c r="L797"/>
      <c r="M797" s="16"/>
      <c r="N797"/>
      <c r="O797"/>
      <c r="P797"/>
    </row>
    <row r="798" spans="1:16" ht="15" x14ac:dyDescent="0.2">
      <c r="A798"/>
      <c r="B798"/>
      <c r="C798"/>
      <c r="D798"/>
      <c r="E798"/>
      <c r="F798"/>
      <c r="G798"/>
      <c r="H798"/>
      <c r="I798"/>
      <c r="J798"/>
      <c r="K798"/>
      <c r="L798"/>
      <c r="M798" s="16"/>
      <c r="N798"/>
      <c r="O798"/>
      <c r="P798"/>
    </row>
    <row r="799" spans="1:16" ht="15" x14ac:dyDescent="0.2">
      <c r="A799"/>
      <c r="B799"/>
      <c r="C799"/>
      <c r="D799"/>
      <c r="E799"/>
      <c r="F799"/>
      <c r="G799"/>
      <c r="H799"/>
      <c r="I799"/>
      <c r="J799"/>
      <c r="K799"/>
      <c r="L799"/>
      <c r="M799" s="16"/>
      <c r="N799"/>
      <c r="O799"/>
      <c r="P799"/>
    </row>
    <row r="800" spans="1:16" ht="15" x14ac:dyDescent="0.2">
      <c r="A800"/>
      <c r="B800"/>
      <c r="C800"/>
      <c r="D800"/>
      <c r="E800"/>
      <c r="F800"/>
      <c r="G800"/>
      <c r="H800"/>
      <c r="I800"/>
      <c r="J800"/>
      <c r="K800"/>
      <c r="L800"/>
      <c r="M800" s="16"/>
      <c r="N800"/>
      <c r="O800"/>
      <c r="P800"/>
    </row>
    <row r="801" spans="1:16" ht="15" x14ac:dyDescent="0.2">
      <c r="A801"/>
      <c r="B801"/>
      <c r="C801"/>
      <c r="D801"/>
      <c r="E801"/>
      <c r="F801"/>
      <c r="G801"/>
      <c r="H801"/>
      <c r="I801"/>
      <c r="J801"/>
      <c r="K801"/>
      <c r="L801"/>
      <c r="M801" s="16"/>
      <c r="N801"/>
      <c r="O801"/>
      <c r="P801"/>
    </row>
    <row r="802" spans="1:16" ht="15" x14ac:dyDescent="0.2">
      <c r="A802"/>
      <c r="B802"/>
      <c r="C802"/>
      <c r="D802"/>
      <c r="E802"/>
      <c r="F802"/>
      <c r="G802"/>
      <c r="H802"/>
      <c r="I802"/>
      <c r="J802"/>
      <c r="K802"/>
      <c r="L802"/>
      <c r="M802" s="16"/>
      <c r="N802"/>
      <c r="O802"/>
      <c r="P802"/>
    </row>
    <row r="803" spans="1:16" ht="15" x14ac:dyDescent="0.2">
      <c r="A803"/>
      <c r="B803"/>
      <c r="C803"/>
      <c r="D803"/>
      <c r="E803"/>
      <c r="F803"/>
      <c r="G803"/>
      <c r="H803"/>
      <c r="I803"/>
      <c r="J803"/>
      <c r="K803"/>
      <c r="L803"/>
      <c r="M803" s="16"/>
      <c r="N803"/>
      <c r="O803"/>
      <c r="P803"/>
    </row>
    <row r="804" spans="1:16" ht="15" x14ac:dyDescent="0.2">
      <c r="A804"/>
      <c r="B804"/>
      <c r="C804"/>
      <c r="D804"/>
      <c r="E804"/>
      <c r="F804"/>
      <c r="G804"/>
      <c r="H804"/>
      <c r="I804"/>
      <c r="J804"/>
      <c r="K804"/>
      <c r="L804"/>
      <c r="M804" s="16"/>
      <c r="N804"/>
      <c r="O804"/>
      <c r="P804"/>
    </row>
    <row r="805" spans="1:16" ht="15" x14ac:dyDescent="0.2">
      <c r="A805"/>
      <c r="B805"/>
      <c r="C805"/>
      <c r="D805"/>
      <c r="E805"/>
      <c r="F805"/>
      <c r="G805"/>
      <c r="H805"/>
      <c r="I805"/>
      <c r="J805"/>
      <c r="K805"/>
      <c r="L805"/>
      <c r="M805" s="16"/>
      <c r="N805"/>
      <c r="O805"/>
      <c r="P805"/>
    </row>
    <row r="806" spans="1:16" ht="15" x14ac:dyDescent="0.2">
      <c r="A806"/>
      <c r="B806"/>
      <c r="C806"/>
      <c r="D806"/>
      <c r="E806"/>
      <c r="F806"/>
      <c r="G806"/>
      <c r="H806"/>
      <c r="I806"/>
      <c r="J806"/>
      <c r="K806"/>
      <c r="L806"/>
      <c r="M806" s="16"/>
      <c r="N806"/>
      <c r="O806"/>
      <c r="P806"/>
    </row>
    <row r="807" spans="1:16" ht="15" x14ac:dyDescent="0.2">
      <c r="A807"/>
      <c r="B807"/>
      <c r="C807"/>
      <c r="D807"/>
      <c r="E807"/>
      <c r="F807"/>
      <c r="G807"/>
      <c r="H807"/>
      <c r="I807"/>
      <c r="J807"/>
      <c r="K807"/>
      <c r="L807"/>
      <c r="M807" s="16"/>
      <c r="N807"/>
      <c r="O807"/>
      <c r="P807"/>
    </row>
    <row r="808" spans="1:16" ht="15" x14ac:dyDescent="0.2">
      <c r="A808"/>
      <c r="B808"/>
      <c r="C808"/>
      <c r="D808"/>
      <c r="E808"/>
      <c r="F808"/>
      <c r="G808"/>
      <c r="H808"/>
      <c r="I808"/>
      <c r="J808"/>
      <c r="K808"/>
      <c r="L808"/>
      <c r="M808" s="16"/>
      <c r="N808"/>
      <c r="O808"/>
      <c r="P808"/>
    </row>
    <row r="809" spans="1:16" ht="15" x14ac:dyDescent="0.2">
      <c r="A809"/>
      <c r="B809"/>
      <c r="C809"/>
      <c r="D809"/>
      <c r="E809"/>
      <c r="F809"/>
      <c r="G809"/>
      <c r="H809"/>
      <c r="I809"/>
      <c r="J809"/>
      <c r="K809"/>
      <c r="L809"/>
      <c r="M809" s="16"/>
      <c r="N809"/>
      <c r="O809"/>
      <c r="P809"/>
    </row>
    <row r="810" spans="1:16" ht="15" x14ac:dyDescent="0.2">
      <c r="A810"/>
      <c r="B810"/>
      <c r="C810"/>
      <c r="D810"/>
      <c r="E810"/>
      <c r="F810"/>
      <c r="G810"/>
      <c r="H810"/>
      <c r="I810"/>
      <c r="J810"/>
      <c r="K810"/>
      <c r="L810"/>
      <c r="M810" s="16"/>
      <c r="N810"/>
      <c r="O810"/>
      <c r="P810"/>
    </row>
    <row r="811" spans="1:16" ht="15" x14ac:dyDescent="0.2">
      <c r="A811"/>
      <c r="B811"/>
      <c r="C811"/>
      <c r="D811"/>
      <c r="E811"/>
      <c r="F811"/>
      <c r="G811"/>
      <c r="H811"/>
      <c r="I811"/>
      <c r="J811"/>
      <c r="K811"/>
      <c r="L811"/>
      <c r="M811" s="16"/>
      <c r="N811"/>
      <c r="O811"/>
      <c r="P811"/>
    </row>
    <row r="812" spans="1:16" ht="15" x14ac:dyDescent="0.2">
      <c r="A812"/>
      <c r="B812"/>
      <c r="C812"/>
      <c r="D812"/>
      <c r="E812"/>
      <c r="F812"/>
      <c r="G812"/>
      <c r="H812"/>
      <c r="I812"/>
      <c r="J812"/>
      <c r="K812"/>
      <c r="L812"/>
      <c r="M812" s="16"/>
      <c r="N812"/>
      <c r="O812"/>
      <c r="P812"/>
    </row>
    <row r="813" spans="1:16" ht="15" x14ac:dyDescent="0.2">
      <c r="A813"/>
      <c r="B813"/>
      <c r="C813"/>
      <c r="D813"/>
      <c r="E813"/>
      <c r="F813"/>
      <c r="G813"/>
      <c r="H813"/>
      <c r="I813"/>
      <c r="J813"/>
      <c r="K813"/>
      <c r="L813"/>
      <c r="M813" s="16"/>
      <c r="N813"/>
      <c r="O813"/>
      <c r="P813"/>
    </row>
    <row r="814" spans="1:16" ht="15" x14ac:dyDescent="0.2">
      <c r="A814"/>
      <c r="B814"/>
      <c r="C814"/>
      <c r="D814"/>
      <c r="E814"/>
      <c r="F814"/>
      <c r="G814"/>
      <c r="H814"/>
      <c r="I814"/>
      <c r="J814"/>
      <c r="K814"/>
      <c r="L814"/>
      <c r="M814" s="16"/>
      <c r="N814"/>
      <c r="O814"/>
      <c r="P814"/>
    </row>
    <row r="815" spans="1:16" ht="15" x14ac:dyDescent="0.2">
      <c r="A815"/>
      <c r="B815"/>
      <c r="C815"/>
      <c r="D815"/>
      <c r="E815"/>
      <c r="F815"/>
      <c r="G815"/>
      <c r="H815"/>
      <c r="I815"/>
      <c r="J815"/>
      <c r="K815"/>
      <c r="L815"/>
      <c r="M815" s="16"/>
      <c r="N815"/>
      <c r="O815"/>
      <c r="P815"/>
    </row>
    <row r="816" spans="1:16" ht="15" x14ac:dyDescent="0.2">
      <c r="A816"/>
      <c r="B816"/>
      <c r="C816"/>
      <c r="D816"/>
      <c r="E816"/>
      <c r="F816"/>
      <c r="G816"/>
      <c r="H816"/>
      <c r="I816"/>
      <c r="J816"/>
      <c r="K816"/>
      <c r="L816"/>
      <c r="M816" s="16"/>
      <c r="N816"/>
      <c r="O816"/>
      <c r="P816"/>
    </row>
    <row r="817" spans="1:16" ht="15" x14ac:dyDescent="0.2">
      <c r="A817"/>
      <c r="B817"/>
      <c r="C817"/>
      <c r="D817"/>
      <c r="E817"/>
      <c r="F817"/>
      <c r="G817"/>
      <c r="H817"/>
      <c r="I817"/>
      <c r="J817"/>
      <c r="K817"/>
      <c r="L817"/>
      <c r="M817" s="16"/>
      <c r="N817"/>
      <c r="O817"/>
      <c r="P817"/>
    </row>
    <row r="818" spans="1:16" ht="15" x14ac:dyDescent="0.2">
      <c r="A818"/>
      <c r="B818"/>
      <c r="C818"/>
      <c r="D818"/>
      <c r="E818"/>
      <c r="F818"/>
      <c r="G818"/>
      <c r="H818"/>
      <c r="I818"/>
      <c r="J818"/>
      <c r="K818"/>
      <c r="L818"/>
      <c r="M818" s="16"/>
      <c r="N818"/>
      <c r="O818"/>
      <c r="P818"/>
    </row>
    <row r="819" spans="1:16" ht="15" x14ac:dyDescent="0.2">
      <c r="A819"/>
      <c r="B819"/>
      <c r="C819"/>
      <c r="D819"/>
      <c r="E819"/>
      <c r="F819"/>
      <c r="G819"/>
      <c r="H819"/>
      <c r="I819"/>
      <c r="J819"/>
      <c r="K819"/>
      <c r="L819"/>
      <c r="M819" s="16"/>
      <c r="N819"/>
      <c r="O819"/>
      <c r="P819"/>
    </row>
    <row r="820" spans="1:16" ht="15" x14ac:dyDescent="0.2">
      <c r="A820"/>
      <c r="B820"/>
      <c r="C820"/>
      <c r="D820"/>
      <c r="E820"/>
      <c r="F820"/>
      <c r="G820"/>
      <c r="H820"/>
      <c r="I820"/>
      <c r="J820"/>
      <c r="K820"/>
      <c r="L820"/>
      <c r="M820" s="16"/>
      <c r="N820"/>
      <c r="O820"/>
      <c r="P820"/>
    </row>
    <row r="821" spans="1:16" ht="15" x14ac:dyDescent="0.2">
      <c r="A821"/>
      <c r="B821"/>
      <c r="C821"/>
      <c r="D821"/>
      <c r="E821"/>
      <c r="F821"/>
      <c r="G821"/>
      <c r="H821"/>
      <c r="I821"/>
      <c r="J821"/>
      <c r="K821"/>
      <c r="L821"/>
      <c r="M821" s="16"/>
      <c r="N821"/>
      <c r="O821"/>
      <c r="P821"/>
    </row>
    <row r="822" spans="1:16" ht="15" x14ac:dyDescent="0.2">
      <c r="A822"/>
      <c r="B822"/>
      <c r="C822"/>
      <c r="D822"/>
      <c r="E822"/>
      <c r="F822"/>
      <c r="G822"/>
      <c r="H822"/>
      <c r="I822"/>
      <c r="J822"/>
      <c r="K822"/>
      <c r="L822"/>
      <c r="M822" s="16"/>
      <c r="N822"/>
      <c r="O822"/>
      <c r="P822"/>
    </row>
    <row r="823" spans="1:16" ht="15" x14ac:dyDescent="0.2">
      <c r="A823"/>
      <c r="B823"/>
      <c r="C823"/>
      <c r="D823"/>
      <c r="E823"/>
      <c r="F823"/>
      <c r="G823"/>
      <c r="H823"/>
      <c r="I823"/>
      <c r="J823"/>
      <c r="K823"/>
      <c r="L823"/>
      <c r="M823" s="16"/>
      <c r="N823"/>
      <c r="O823"/>
      <c r="P823"/>
    </row>
    <row r="824" spans="1:16" ht="15" x14ac:dyDescent="0.2">
      <c r="A824"/>
      <c r="B824"/>
      <c r="C824"/>
      <c r="D824"/>
      <c r="E824"/>
      <c r="F824"/>
      <c r="G824"/>
      <c r="H824"/>
      <c r="I824"/>
      <c r="J824"/>
      <c r="K824"/>
      <c r="L824"/>
      <c r="M824" s="16"/>
      <c r="N824"/>
      <c r="O824"/>
      <c r="P824"/>
    </row>
    <row r="825" spans="1:16" ht="15" x14ac:dyDescent="0.2">
      <c r="A825"/>
      <c r="B825"/>
      <c r="C825"/>
      <c r="D825"/>
      <c r="E825"/>
      <c r="F825"/>
      <c r="G825"/>
      <c r="H825"/>
      <c r="I825"/>
      <c r="J825"/>
      <c r="K825"/>
      <c r="L825"/>
      <c r="M825" s="16"/>
      <c r="N825"/>
      <c r="O825"/>
      <c r="P825"/>
    </row>
    <row r="826" spans="1:16" ht="15" x14ac:dyDescent="0.2">
      <c r="A826"/>
      <c r="B826"/>
      <c r="C826"/>
      <c r="D826"/>
      <c r="E826"/>
      <c r="F826"/>
      <c r="G826"/>
      <c r="H826"/>
      <c r="I826"/>
      <c r="J826"/>
      <c r="K826"/>
      <c r="L826"/>
      <c r="M826" s="16"/>
      <c r="N826"/>
      <c r="O826"/>
      <c r="P826"/>
    </row>
    <row r="827" spans="1:16" ht="15" x14ac:dyDescent="0.2">
      <c r="A827"/>
      <c r="B827"/>
      <c r="C827"/>
      <c r="D827"/>
      <c r="E827"/>
      <c r="F827"/>
      <c r="G827"/>
      <c r="H827"/>
      <c r="I827"/>
      <c r="J827"/>
      <c r="K827"/>
      <c r="L827"/>
      <c r="M827" s="16"/>
      <c r="N827"/>
      <c r="O827"/>
      <c r="P827"/>
    </row>
    <row r="828" spans="1:16" ht="15" x14ac:dyDescent="0.2">
      <c r="A828"/>
      <c r="B828"/>
      <c r="C828"/>
      <c r="D828"/>
      <c r="E828"/>
      <c r="F828"/>
      <c r="G828"/>
      <c r="H828"/>
      <c r="I828"/>
      <c r="J828"/>
      <c r="K828"/>
      <c r="L828"/>
      <c r="M828" s="16"/>
      <c r="N828"/>
      <c r="O828"/>
      <c r="P828"/>
    </row>
    <row r="829" spans="1:16" ht="15" x14ac:dyDescent="0.2">
      <c r="A829"/>
      <c r="B829"/>
      <c r="C829"/>
      <c r="D829"/>
      <c r="E829"/>
      <c r="F829"/>
      <c r="G829"/>
      <c r="H829"/>
      <c r="I829"/>
      <c r="J829"/>
      <c r="K829"/>
      <c r="L829"/>
      <c r="M829" s="16"/>
      <c r="N829"/>
      <c r="O829"/>
      <c r="P829"/>
    </row>
    <row r="830" spans="1:16" ht="15" x14ac:dyDescent="0.2">
      <c r="A830"/>
      <c r="B830"/>
      <c r="C830"/>
      <c r="D830"/>
      <c r="E830"/>
      <c r="F830"/>
      <c r="G830"/>
      <c r="H830"/>
      <c r="I830"/>
      <c r="J830"/>
      <c r="K830"/>
      <c r="L830"/>
      <c r="M830" s="16"/>
      <c r="N830"/>
      <c r="O830"/>
      <c r="P830"/>
    </row>
    <row r="831" spans="1:16" ht="15" x14ac:dyDescent="0.2">
      <c r="A831"/>
      <c r="B831"/>
      <c r="C831"/>
      <c r="D831"/>
      <c r="E831"/>
      <c r="F831"/>
      <c r="G831"/>
      <c r="H831"/>
      <c r="I831"/>
      <c r="J831"/>
      <c r="K831"/>
      <c r="L831"/>
      <c r="M831" s="16"/>
      <c r="N831"/>
      <c r="O831"/>
      <c r="P831"/>
    </row>
    <row r="832" spans="1:16" ht="15" x14ac:dyDescent="0.2">
      <c r="A832"/>
      <c r="B832"/>
      <c r="C832"/>
      <c r="D832"/>
      <c r="E832"/>
      <c r="F832"/>
      <c r="G832"/>
      <c r="H832"/>
      <c r="I832"/>
      <c r="J832"/>
      <c r="K832"/>
      <c r="L832"/>
      <c r="M832" s="16"/>
      <c r="N832"/>
      <c r="O832"/>
      <c r="P832"/>
    </row>
    <row r="833" spans="1:16" ht="15" x14ac:dyDescent="0.2">
      <c r="A833"/>
      <c r="B833"/>
      <c r="C833"/>
      <c r="D833"/>
      <c r="E833"/>
      <c r="F833"/>
      <c r="G833"/>
      <c r="H833"/>
      <c r="I833"/>
      <c r="J833"/>
      <c r="K833"/>
      <c r="L833"/>
      <c r="M833" s="16"/>
      <c r="N833"/>
      <c r="O833"/>
      <c r="P833"/>
    </row>
    <row r="834" spans="1:16" ht="15" x14ac:dyDescent="0.2">
      <c r="A834"/>
      <c r="B834"/>
      <c r="C834"/>
      <c r="D834"/>
      <c r="E834"/>
      <c r="F834"/>
      <c r="G834"/>
      <c r="H834"/>
      <c r="I834"/>
      <c r="J834"/>
      <c r="K834"/>
      <c r="L834"/>
      <c r="M834" s="16"/>
      <c r="N834"/>
      <c r="O834"/>
      <c r="P834"/>
    </row>
    <row r="835" spans="1:16" ht="15" x14ac:dyDescent="0.2">
      <c r="A835"/>
      <c r="B835"/>
      <c r="C835"/>
      <c r="D835"/>
      <c r="E835"/>
      <c r="F835"/>
      <c r="G835"/>
      <c r="H835"/>
      <c r="I835"/>
      <c r="J835"/>
      <c r="K835"/>
      <c r="L835"/>
      <c r="M835" s="16"/>
      <c r="N835"/>
      <c r="O835"/>
      <c r="P835"/>
    </row>
    <row r="836" spans="1:16" ht="15" x14ac:dyDescent="0.2">
      <c r="A836"/>
      <c r="B836"/>
      <c r="C836"/>
      <c r="D836"/>
      <c r="E836"/>
      <c r="F836"/>
      <c r="G836"/>
      <c r="H836"/>
      <c r="I836"/>
      <c r="J836"/>
      <c r="K836"/>
      <c r="L836"/>
      <c r="M836" s="16"/>
      <c r="N836"/>
      <c r="O836"/>
      <c r="P836"/>
    </row>
    <row r="837" spans="1:16" ht="15" x14ac:dyDescent="0.2">
      <c r="A837"/>
      <c r="B837"/>
      <c r="C837"/>
      <c r="D837"/>
      <c r="E837"/>
      <c r="F837"/>
      <c r="G837"/>
      <c r="H837"/>
      <c r="I837"/>
      <c r="J837"/>
      <c r="K837"/>
      <c r="L837"/>
      <c r="M837" s="16"/>
      <c r="N837"/>
      <c r="O837"/>
      <c r="P837"/>
    </row>
    <row r="838" spans="1:16" ht="15" x14ac:dyDescent="0.2">
      <c r="A838"/>
      <c r="B838"/>
      <c r="C838"/>
      <c r="D838"/>
      <c r="E838"/>
      <c r="F838"/>
      <c r="G838"/>
      <c r="H838"/>
      <c r="I838"/>
      <c r="J838"/>
      <c r="K838"/>
      <c r="L838"/>
      <c r="M838" s="16"/>
      <c r="N838"/>
      <c r="O838"/>
      <c r="P838"/>
    </row>
    <row r="839" spans="1:16" ht="15" x14ac:dyDescent="0.2">
      <c r="A839"/>
      <c r="B839"/>
      <c r="C839"/>
      <c r="D839"/>
      <c r="E839"/>
      <c r="F839"/>
      <c r="G839"/>
      <c r="H839"/>
      <c r="I839"/>
      <c r="J839"/>
      <c r="K839"/>
      <c r="L839"/>
      <c r="M839" s="16"/>
      <c r="N839"/>
      <c r="O839"/>
      <c r="P839"/>
    </row>
    <row r="840" spans="1:16" ht="15" x14ac:dyDescent="0.2">
      <c r="A840"/>
      <c r="B840"/>
      <c r="C840"/>
      <c r="D840"/>
      <c r="E840"/>
      <c r="F840"/>
      <c r="G840"/>
      <c r="H840"/>
      <c r="I840"/>
      <c r="J840"/>
      <c r="K840"/>
      <c r="L840"/>
      <c r="M840" s="16"/>
      <c r="N840"/>
      <c r="O840"/>
      <c r="P840"/>
    </row>
    <row r="841" spans="1:16" ht="15" x14ac:dyDescent="0.2">
      <c r="A841"/>
      <c r="B841"/>
      <c r="C841"/>
      <c r="D841"/>
      <c r="E841"/>
      <c r="F841"/>
      <c r="G841"/>
      <c r="H841"/>
      <c r="I841"/>
      <c r="J841"/>
      <c r="K841"/>
      <c r="L841"/>
      <c r="M841" s="16"/>
      <c r="N841"/>
      <c r="O841"/>
      <c r="P841"/>
    </row>
    <row r="842" spans="1:16" ht="15" x14ac:dyDescent="0.2">
      <c r="A842"/>
      <c r="B842"/>
      <c r="C842"/>
      <c r="D842"/>
      <c r="E842"/>
      <c r="F842"/>
      <c r="G842"/>
      <c r="H842"/>
      <c r="I842"/>
      <c r="J842"/>
      <c r="K842"/>
      <c r="L842"/>
      <c r="M842" s="16"/>
      <c r="N842"/>
      <c r="O842"/>
      <c r="P842"/>
    </row>
    <row r="843" spans="1:16" ht="15" x14ac:dyDescent="0.2">
      <c r="A843"/>
      <c r="B843"/>
      <c r="C843"/>
      <c r="D843"/>
      <c r="E843"/>
      <c r="F843"/>
      <c r="G843"/>
      <c r="H843"/>
      <c r="I843"/>
      <c r="J843"/>
      <c r="K843"/>
      <c r="L843"/>
      <c r="M843" s="16"/>
      <c r="N843"/>
      <c r="O843"/>
      <c r="P843"/>
    </row>
    <row r="844" spans="1:16" ht="15" x14ac:dyDescent="0.2">
      <c r="A844"/>
      <c r="B844"/>
      <c r="C844"/>
      <c r="D844"/>
      <c r="E844"/>
      <c r="F844"/>
      <c r="G844"/>
      <c r="H844"/>
      <c r="I844"/>
      <c r="J844"/>
      <c r="K844"/>
      <c r="L844"/>
      <c r="M844" s="16"/>
      <c r="N844"/>
      <c r="O844"/>
      <c r="P844"/>
    </row>
    <row r="845" spans="1:16" ht="15" x14ac:dyDescent="0.2">
      <c r="A845"/>
      <c r="B845"/>
      <c r="C845"/>
      <c r="D845"/>
      <c r="E845"/>
      <c r="F845"/>
      <c r="G845"/>
      <c r="H845"/>
      <c r="I845"/>
      <c r="J845"/>
      <c r="K845"/>
      <c r="L845"/>
      <c r="M845" s="16"/>
      <c r="N845"/>
      <c r="O845"/>
      <c r="P845"/>
    </row>
    <row r="846" spans="1:16" ht="15" x14ac:dyDescent="0.2">
      <c r="A846"/>
      <c r="B846"/>
      <c r="C846"/>
      <c r="D846"/>
      <c r="E846"/>
      <c r="F846"/>
      <c r="G846"/>
      <c r="H846"/>
      <c r="I846"/>
      <c r="J846"/>
      <c r="K846"/>
      <c r="L846"/>
      <c r="M846" s="16"/>
      <c r="N846"/>
      <c r="O846"/>
      <c r="P846"/>
    </row>
    <row r="847" spans="1:16" ht="15" x14ac:dyDescent="0.2">
      <c r="A847"/>
      <c r="B847"/>
      <c r="C847"/>
      <c r="D847"/>
      <c r="E847"/>
      <c r="F847"/>
      <c r="G847"/>
      <c r="H847"/>
      <c r="I847"/>
      <c r="J847"/>
      <c r="K847"/>
      <c r="L847"/>
      <c r="M847" s="16"/>
      <c r="N847"/>
      <c r="O847"/>
      <c r="P847"/>
    </row>
    <row r="848" spans="1:16" ht="15" x14ac:dyDescent="0.2">
      <c r="A848"/>
      <c r="B848"/>
      <c r="C848"/>
      <c r="D848"/>
      <c r="E848"/>
      <c r="F848"/>
      <c r="G848"/>
      <c r="H848"/>
      <c r="I848"/>
      <c r="J848"/>
      <c r="K848"/>
      <c r="L848"/>
      <c r="M848" s="16"/>
      <c r="N848"/>
      <c r="O848"/>
      <c r="P848"/>
    </row>
    <row r="849" spans="1:16" ht="15" x14ac:dyDescent="0.2">
      <c r="A849"/>
      <c r="B849"/>
      <c r="C849"/>
      <c r="D849"/>
      <c r="E849"/>
      <c r="F849"/>
      <c r="G849"/>
      <c r="H849"/>
      <c r="I849"/>
      <c r="J849"/>
      <c r="K849"/>
      <c r="L849"/>
      <c r="M849" s="16"/>
      <c r="N849"/>
      <c r="O849"/>
      <c r="P849"/>
    </row>
    <row r="850" spans="1:16" ht="15" x14ac:dyDescent="0.2">
      <c r="A850"/>
      <c r="B850"/>
      <c r="C850"/>
      <c r="D850"/>
      <c r="E850"/>
      <c r="F850"/>
      <c r="G850"/>
      <c r="H850"/>
      <c r="I850"/>
      <c r="J850"/>
      <c r="K850"/>
      <c r="L850"/>
      <c r="M850" s="16"/>
      <c r="N850"/>
      <c r="O850"/>
      <c r="P850"/>
    </row>
    <row r="851" spans="1:16" ht="15" x14ac:dyDescent="0.2">
      <c r="A851"/>
      <c r="B851"/>
      <c r="C851"/>
      <c r="D851"/>
      <c r="E851"/>
      <c r="F851"/>
      <c r="G851"/>
      <c r="H851"/>
      <c r="I851"/>
      <c r="J851"/>
      <c r="K851"/>
      <c r="L851"/>
      <c r="M851" s="16"/>
      <c r="N851"/>
      <c r="O851"/>
      <c r="P851"/>
    </row>
    <row r="852" spans="1:16" ht="15" x14ac:dyDescent="0.2">
      <c r="A852"/>
      <c r="B852"/>
      <c r="C852"/>
      <c r="D852"/>
      <c r="E852"/>
      <c r="F852"/>
      <c r="G852"/>
      <c r="H852"/>
      <c r="I852"/>
      <c r="J852"/>
      <c r="K852"/>
      <c r="L852"/>
      <c r="M852" s="16"/>
      <c r="N852"/>
      <c r="O852"/>
      <c r="P852"/>
    </row>
    <row r="853" spans="1:16" ht="15" x14ac:dyDescent="0.2">
      <c r="A853"/>
      <c r="B853"/>
      <c r="C853"/>
      <c r="D853"/>
      <c r="E853"/>
      <c r="F853"/>
      <c r="G853"/>
      <c r="H853"/>
      <c r="I853"/>
      <c r="J853"/>
      <c r="K853"/>
      <c r="L853"/>
      <c r="M853" s="16"/>
      <c r="N853"/>
      <c r="O853"/>
      <c r="P853"/>
    </row>
    <row r="854" spans="1:16" ht="15" x14ac:dyDescent="0.2">
      <c r="A854"/>
      <c r="B854"/>
      <c r="C854"/>
      <c r="D854"/>
      <c r="E854"/>
      <c r="F854"/>
      <c r="G854"/>
      <c r="H854"/>
      <c r="I854"/>
      <c r="J854"/>
      <c r="K854"/>
      <c r="L854"/>
      <c r="M854" s="16"/>
      <c r="N854"/>
      <c r="O854"/>
      <c r="P854"/>
    </row>
    <row r="855" spans="1:16" ht="15" x14ac:dyDescent="0.2">
      <c r="A855"/>
      <c r="B855"/>
      <c r="C855"/>
      <c r="D855"/>
      <c r="E855"/>
      <c r="F855"/>
      <c r="G855"/>
      <c r="H855"/>
      <c r="I855"/>
      <c r="J855"/>
      <c r="K855"/>
      <c r="L855"/>
      <c r="M855" s="16"/>
      <c r="N855"/>
      <c r="O855"/>
      <c r="P855"/>
    </row>
    <row r="856" spans="1:16" ht="15" x14ac:dyDescent="0.2">
      <c r="A856"/>
      <c r="B856"/>
      <c r="C856"/>
      <c r="D856"/>
      <c r="E856"/>
      <c r="F856"/>
      <c r="G856"/>
      <c r="H856"/>
      <c r="I856"/>
      <c r="J856"/>
      <c r="K856"/>
      <c r="L856"/>
      <c r="M856" s="16"/>
      <c r="N856"/>
      <c r="O856"/>
      <c r="P856"/>
    </row>
    <row r="857" spans="1:16" ht="15" x14ac:dyDescent="0.2">
      <c r="A857"/>
      <c r="B857"/>
      <c r="C857"/>
      <c r="D857"/>
      <c r="E857"/>
      <c r="F857"/>
      <c r="G857"/>
      <c r="H857"/>
      <c r="I857"/>
      <c r="J857"/>
      <c r="K857"/>
      <c r="L857"/>
      <c r="M857" s="16"/>
      <c r="N857"/>
      <c r="O857"/>
      <c r="P857"/>
    </row>
    <row r="858" spans="1:16" ht="15" x14ac:dyDescent="0.2">
      <c r="A858"/>
      <c r="B858"/>
      <c r="C858"/>
      <c r="D858"/>
      <c r="E858"/>
      <c r="F858"/>
      <c r="G858"/>
      <c r="H858"/>
      <c r="I858"/>
      <c r="J858"/>
      <c r="K858"/>
      <c r="L858"/>
      <c r="M858" s="16"/>
      <c r="N858"/>
      <c r="O858"/>
      <c r="P858"/>
    </row>
    <row r="859" spans="1:16" ht="15" x14ac:dyDescent="0.2">
      <c r="A859"/>
      <c r="B859"/>
      <c r="C859"/>
      <c r="D859"/>
      <c r="E859"/>
      <c r="F859"/>
      <c r="G859"/>
      <c r="H859"/>
      <c r="I859"/>
      <c r="J859"/>
      <c r="K859"/>
      <c r="L859"/>
      <c r="M859" s="16"/>
      <c r="N859"/>
      <c r="O859"/>
      <c r="P859"/>
    </row>
    <row r="860" spans="1:16" ht="15" x14ac:dyDescent="0.2">
      <c r="A860"/>
      <c r="B860"/>
      <c r="C860"/>
      <c r="D860"/>
      <c r="E860"/>
      <c r="F860"/>
      <c r="G860"/>
      <c r="H860"/>
      <c r="I860"/>
      <c r="J860"/>
      <c r="K860"/>
      <c r="L860"/>
      <c r="M860" s="16"/>
      <c r="N860"/>
      <c r="O860"/>
      <c r="P860"/>
    </row>
    <row r="861" spans="1:16" ht="15" x14ac:dyDescent="0.2">
      <c r="A861"/>
      <c r="B861"/>
      <c r="C861"/>
      <c r="D861"/>
      <c r="E861"/>
      <c r="F861"/>
      <c r="G861"/>
      <c r="H861"/>
      <c r="I861"/>
      <c r="J861"/>
      <c r="K861"/>
      <c r="L861"/>
      <c r="M861" s="16"/>
      <c r="N861"/>
      <c r="O861"/>
      <c r="P861"/>
    </row>
    <row r="862" spans="1:16" ht="15" x14ac:dyDescent="0.2">
      <c r="A862"/>
      <c r="B862"/>
      <c r="C862"/>
      <c r="D862"/>
      <c r="E862"/>
      <c r="F862"/>
      <c r="G862"/>
      <c r="H862"/>
      <c r="I862"/>
      <c r="J862"/>
      <c r="K862"/>
      <c r="L862"/>
      <c r="M862" s="16"/>
      <c r="N862"/>
      <c r="O862"/>
      <c r="P862"/>
    </row>
    <row r="863" spans="1:16" ht="15" x14ac:dyDescent="0.2">
      <c r="A863"/>
      <c r="B863"/>
      <c r="C863"/>
      <c r="D863"/>
      <c r="E863"/>
      <c r="F863"/>
      <c r="G863"/>
      <c r="H863"/>
      <c r="I863"/>
      <c r="J863"/>
      <c r="K863"/>
      <c r="L863"/>
      <c r="M863" s="16"/>
      <c r="N863"/>
      <c r="O863"/>
      <c r="P863"/>
    </row>
    <row r="864" spans="1:16" ht="15" x14ac:dyDescent="0.2">
      <c r="A864"/>
      <c r="B864"/>
      <c r="C864"/>
      <c r="D864"/>
      <c r="E864"/>
      <c r="F864"/>
      <c r="G864"/>
      <c r="H864"/>
      <c r="I864"/>
      <c r="J864"/>
      <c r="K864"/>
      <c r="L864"/>
      <c r="M864" s="16"/>
      <c r="N864"/>
      <c r="O864"/>
      <c r="P864"/>
    </row>
    <row r="865" spans="1:16" ht="15" x14ac:dyDescent="0.2">
      <c r="A865"/>
      <c r="B865"/>
      <c r="C865"/>
      <c r="D865"/>
      <c r="E865"/>
      <c r="F865"/>
      <c r="G865"/>
      <c r="H865"/>
      <c r="I865"/>
      <c r="J865"/>
      <c r="K865"/>
      <c r="L865"/>
      <c r="M865" s="16"/>
      <c r="N865"/>
      <c r="O865"/>
      <c r="P865"/>
    </row>
    <row r="866" spans="1:16" ht="15" x14ac:dyDescent="0.2">
      <c r="A866"/>
      <c r="B866"/>
      <c r="C866"/>
      <c r="D866"/>
      <c r="E866"/>
      <c r="F866"/>
      <c r="G866"/>
      <c r="H866"/>
      <c r="I866"/>
      <c r="J866"/>
      <c r="K866"/>
      <c r="L866"/>
      <c r="M866" s="16"/>
      <c r="N866"/>
      <c r="O866"/>
      <c r="P866"/>
    </row>
    <row r="867" spans="1:16" ht="15" x14ac:dyDescent="0.2">
      <c r="A867"/>
      <c r="B867"/>
      <c r="C867"/>
      <c r="D867"/>
      <c r="E867"/>
      <c r="F867"/>
      <c r="G867"/>
      <c r="H867"/>
      <c r="I867"/>
      <c r="J867"/>
      <c r="K867"/>
      <c r="L867"/>
      <c r="M867" s="16"/>
      <c r="N867"/>
      <c r="O867"/>
      <c r="P867"/>
    </row>
    <row r="868" spans="1:16" ht="15" x14ac:dyDescent="0.2">
      <c r="A868"/>
      <c r="B868"/>
      <c r="C868"/>
      <c r="D868"/>
      <c r="E868"/>
      <c r="F868"/>
      <c r="G868"/>
      <c r="H868"/>
      <c r="I868"/>
      <c r="J868"/>
      <c r="K868"/>
      <c r="L868"/>
      <c r="M868" s="16"/>
      <c r="N868"/>
      <c r="O868"/>
      <c r="P868"/>
    </row>
    <row r="869" spans="1:16" ht="15" x14ac:dyDescent="0.2">
      <c r="A869"/>
      <c r="B869"/>
      <c r="C869"/>
      <c r="D869"/>
      <c r="E869"/>
      <c r="F869"/>
      <c r="G869"/>
      <c r="H869"/>
      <c r="I869"/>
      <c r="J869"/>
      <c r="K869"/>
      <c r="L869"/>
      <c r="M869" s="16"/>
      <c r="N869"/>
      <c r="O869"/>
      <c r="P869"/>
    </row>
    <row r="870" spans="1:16" ht="15" x14ac:dyDescent="0.2">
      <c r="A870"/>
      <c r="B870"/>
      <c r="C870"/>
      <c r="D870"/>
      <c r="E870"/>
      <c r="F870"/>
      <c r="G870"/>
      <c r="H870"/>
      <c r="I870"/>
      <c r="J870"/>
      <c r="K870"/>
      <c r="L870"/>
      <c r="M870" s="16"/>
      <c r="N870"/>
      <c r="O870"/>
      <c r="P870"/>
    </row>
    <row r="871" spans="1:16" ht="15" x14ac:dyDescent="0.2">
      <c r="A871"/>
      <c r="B871"/>
      <c r="C871"/>
      <c r="D871"/>
      <c r="E871"/>
      <c r="F871"/>
      <c r="G871"/>
      <c r="H871"/>
      <c r="I871"/>
      <c r="J871"/>
      <c r="K871"/>
      <c r="L871"/>
      <c r="M871" s="16"/>
      <c r="N871"/>
      <c r="O871"/>
      <c r="P871"/>
    </row>
    <row r="872" spans="1:16" ht="15" x14ac:dyDescent="0.2">
      <c r="A872"/>
      <c r="B872"/>
      <c r="C872"/>
      <c r="D872"/>
      <c r="E872"/>
      <c r="F872"/>
      <c r="G872"/>
      <c r="H872"/>
      <c r="I872"/>
      <c r="J872"/>
      <c r="K872"/>
      <c r="L872"/>
      <c r="M872" s="16"/>
      <c r="N872"/>
      <c r="O872"/>
      <c r="P872"/>
    </row>
    <row r="873" spans="1:16" ht="15" x14ac:dyDescent="0.2">
      <c r="A873"/>
      <c r="B873"/>
      <c r="C873"/>
      <c r="D873"/>
      <c r="E873"/>
      <c r="F873"/>
      <c r="G873"/>
      <c r="H873"/>
      <c r="I873"/>
      <c r="J873"/>
      <c r="K873"/>
      <c r="L873"/>
      <c r="M873" s="16"/>
      <c r="N873"/>
      <c r="O873"/>
      <c r="P873"/>
    </row>
    <row r="874" spans="1:16" ht="15" x14ac:dyDescent="0.2">
      <c r="A874"/>
      <c r="B874"/>
      <c r="C874"/>
      <c r="D874"/>
      <c r="E874"/>
      <c r="F874"/>
      <c r="G874"/>
      <c r="H874"/>
      <c r="I874"/>
      <c r="J874"/>
      <c r="K874"/>
      <c r="L874"/>
      <c r="M874" s="16"/>
      <c r="N874"/>
      <c r="O874"/>
      <c r="P874"/>
    </row>
    <row r="875" spans="1:16" ht="15" x14ac:dyDescent="0.2">
      <c r="A875"/>
      <c r="B875"/>
      <c r="C875"/>
      <c r="D875"/>
      <c r="E875"/>
      <c r="F875"/>
      <c r="G875"/>
      <c r="H875"/>
      <c r="I875"/>
      <c r="J875"/>
      <c r="K875"/>
      <c r="L875"/>
      <c r="M875" s="16"/>
      <c r="N875"/>
      <c r="O875"/>
      <c r="P875"/>
    </row>
    <row r="876" spans="1:16" ht="15" x14ac:dyDescent="0.2">
      <c r="A876"/>
      <c r="B876"/>
      <c r="C876"/>
      <c r="D876"/>
      <c r="E876"/>
      <c r="F876"/>
      <c r="G876"/>
      <c r="H876"/>
      <c r="I876"/>
      <c r="J876"/>
      <c r="K876"/>
      <c r="L876"/>
      <c r="M876" s="16"/>
      <c r="N876"/>
      <c r="O876"/>
      <c r="P876"/>
    </row>
    <row r="877" spans="1:16" ht="15" x14ac:dyDescent="0.2">
      <c r="A877"/>
      <c r="B877"/>
      <c r="C877"/>
      <c r="D877"/>
      <c r="E877"/>
      <c r="F877"/>
      <c r="G877"/>
      <c r="H877"/>
      <c r="I877"/>
      <c r="J877"/>
      <c r="K877"/>
      <c r="L877"/>
      <c r="M877" s="16"/>
      <c r="N877"/>
      <c r="O877"/>
      <c r="P877"/>
    </row>
    <row r="878" spans="1:16" ht="15" x14ac:dyDescent="0.2">
      <c r="A878"/>
      <c r="B878"/>
      <c r="C878"/>
      <c r="D878"/>
      <c r="E878"/>
      <c r="F878"/>
      <c r="G878"/>
      <c r="H878"/>
      <c r="I878"/>
      <c r="J878"/>
      <c r="K878"/>
      <c r="L878"/>
      <c r="M878" s="16"/>
      <c r="N878"/>
      <c r="O878"/>
      <c r="P878"/>
    </row>
    <row r="879" spans="1:16" ht="15" x14ac:dyDescent="0.2">
      <c r="A879"/>
      <c r="B879"/>
      <c r="C879"/>
      <c r="D879"/>
      <c r="E879"/>
      <c r="F879"/>
      <c r="G879"/>
      <c r="H879"/>
      <c r="I879"/>
      <c r="J879"/>
      <c r="K879"/>
      <c r="L879"/>
      <c r="M879" s="16"/>
      <c r="N879"/>
      <c r="O879"/>
      <c r="P879"/>
    </row>
    <row r="880" spans="1:16" ht="15" x14ac:dyDescent="0.2">
      <c r="A880"/>
      <c r="B880"/>
      <c r="C880"/>
      <c r="D880"/>
      <c r="E880"/>
      <c r="F880"/>
      <c r="G880"/>
      <c r="H880"/>
      <c r="I880"/>
      <c r="J880"/>
      <c r="K880"/>
      <c r="L880"/>
      <c r="M880" s="16"/>
      <c r="N880"/>
      <c r="O880"/>
      <c r="P880"/>
    </row>
    <row r="881" spans="1:16" ht="15" x14ac:dyDescent="0.2">
      <c r="A881"/>
      <c r="B881"/>
      <c r="C881"/>
      <c r="D881"/>
      <c r="E881"/>
      <c r="F881"/>
      <c r="G881"/>
      <c r="H881"/>
      <c r="I881"/>
      <c r="J881"/>
      <c r="K881"/>
      <c r="L881"/>
      <c r="M881" s="16"/>
      <c r="N881"/>
      <c r="O881"/>
      <c r="P881"/>
    </row>
    <row r="882" spans="1:16" ht="15" x14ac:dyDescent="0.2">
      <c r="A882"/>
      <c r="B882"/>
      <c r="C882"/>
      <c r="D882"/>
      <c r="E882"/>
      <c r="F882"/>
      <c r="G882"/>
      <c r="H882"/>
      <c r="I882"/>
      <c r="J882"/>
      <c r="K882"/>
      <c r="L882"/>
      <c r="M882" s="16"/>
      <c r="N882"/>
      <c r="O882"/>
      <c r="P882"/>
    </row>
    <row r="883" spans="1:16" ht="15" x14ac:dyDescent="0.2">
      <c r="A883"/>
      <c r="B883"/>
      <c r="C883"/>
      <c r="D883"/>
      <c r="E883"/>
      <c r="F883"/>
      <c r="G883"/>
      <c r="H883"/>
      <c r="I883"/>
      <c r="J883"/>
      <c r="K883"/>
      <c r="L883"/>
      <c r="M883" s="16"/>
      <c r="N883"/>
      <c r="O883"/>
      <c r="P883"/>
    </row>
    <row r="884" spans="1:16" ht="15" x14ac:dyDescent="0.2">
      <c r="A884"/>
      <c r="B884"/>
      <c r="C884"/>
      <c r="D884"/>
      <c r="E884"/>
      <c r="F884"/>
      <c r="G884"/>
      <c r="H884"/>
      <c r="I884"/>
      <c r="J884"/>
      <c r="K884"/>
      <c r="L884"/>
      <c r="M884" s="16"/>
      <c r="N884"/>
      <c r="O884"/>
      <c r="P884"/>
    </row>
    <row r="885" spans="1:16" ht="15" x14ac:dyDescent="0.2">
      <c r="A885"/>
      <c r="B885"/>
      <c r="C885"/>
      <c r="D885"/>
      <c r="E885"/>
      <c r="F885"/>
      <c r="G885"/>
      <c r="H885"/>
      <c r="I885"/>
      <c r="J885"/>
      <c r="K885"/>
      <c r="L885"/>
      <c r="M885" s="16"/>
      <c r="N885"/>
      <c r="O885"/>
      <c r="P885"/>
    </row>
    <row r="886" spans="1:16" ht="15" x14ac:dyDescent="0.2">
      <c r="A886"/>
      <c r="B886"/>
      <c r="C886"/>
      <c r="D886"/>
      <c r="E886"/>
      <c r="F886"/>
      <c r="G886"/>
      <c r="H886"/>
      <c r="I886"/>
      <c r="J886"/>
      <c r="K886"/>
      <c r="L886"/>
      <c r="M886" s="16"/>
      <c r="N886"/>
      <c r="O886"/>
      <c r="P886"/>
    </row>
    <row r="887" spans="1:16" ht="15" x14ac:dyDescent="0.2">
      <c r="A887"/>
      <c r="B887"/>
      <c r="C887"/>
      <c r="D887"/>
      <c r="E887"/>
      <c r="F887"/>
      <c r="G887"/>
      <c r="H887"/>
      <c r="I887"/>
      <c r="J887"/>
      <c r="K887"/>
      <c r="L887"/>
      <c r="M887" s="16"/>
      <c r="N887"/>
      <c r="O887"/>
      <c r="P887"/>
    </row>
    <row r="888" spans="1:16" ht="15" x14ac:dyDescent="0.2">
      <c r="A888"/>
      <c r="B888"/>
      <c r="C888"/>
      <c r="D888"/>
      <c r="E888"/>
      <c r="F888"/>
      <c r="G888"/>
      <c r="H888"/>
      <c r="I888"/>
      <c r="J888"/>
      <c r="K888"/>
      <c r="L888"/>
      <c r="M888" s="16"/>
      <c r="N888"/>
      <c r="O888"/>
      <c r="P888"/>
    </row>
    <row r="889" spans="1:16" ht="15" x14ac:dyDescent="0.2">
      <c r="A889"/>
      <c r="B889"/>
      <c r="C889"/>
      <c r="D889"/>
      <c r="E889"/>
      <c r="F889"/>
      <c r="G889"/>
      <c r="H889"/>
      <c r="I889"/>
      <c r="J889"/>
      <c r="K889"/>
      <c r="L889"/>
      <c r="M889" s="16"/>
      <c r="N889"/>
      <c r="O889"/>
      <c r="P889"/>
    </row>
    <row r="890" spans="1:16" ht="15" x14ac:dyDescent="0.2">
      <c r="A890"/>
      <c r="B890"/>
      <c r="C890"/>
      <c r="D890"/>
      <c r="E890"/>
      <c r="F890"/>
      <c r="G890"/>
      <c r="H890"/>
      <c r="I890"/>
      <c r="J890"/>
      <c r="K890"/>
      <c r="L890"/>
      <c r="M890" s="16"/>
      <c r="N890"/>
      <c r="O890"/>
      <c r="P890"/>
    </row>
    <row r="891" spans="1:16" ht="15" x14ac:dyDescent="0.2">
      <c r="A891"/>
      <c r="B891"/>
      <c r="C891"/>
      <c r="D891"/>
      <c r="E891"/>
      <c r="F891"/>
      <c r="G891"/>
      <c r="H891"/>
      <c r="I891"/>
      <c r="J891"/>
      <c r="K891"/>
      <c r="L891"/>
      <c r="M891" s="16"/>
      <c r="N891"/>
      <c r="O891"/>
      <c r="P891"/>
    </row>
    <row r="892" spans="1:16" ht="15" x14ac:dyDescent="0.2">
      <c r="A892"/>
      <c r="B892"/>
      <c r="C892"/>
      <c r="D892"/>
      <c r="E892"/>
      <c r="F892"/>
      <c r="G892"/>
      <c r="H892"/>
      <c r="I892"/>
      <c r="J892"/>
      <c r="K892"/>
      <c r="L892"/>
      <c r="M892" s="16"/>
      <c r="N892"/>
      <c r="O892"/>
      <c r="P892"/>
    </row>
    <row r="893" spans="1:16" ht="15" x14ac:dyDescent="0.2">
      <c r="A893"/>
      <c r="B893"/>
      <c r="C893"/>
      <c r="D893"/>
      <c r="E893"/>
      <c r="F893"/>
      <c r="G893"/>
      <c r="H893"/>
      <c r="I893"/>
      <c r="J893"/>
      <c r="K893"/>
      <c r="L893"/>
      <c r="M893" s="16"/>
      <c r="N893"/>
      <c r="O893"/>
      <c r="P893"/>
    </row>
    <row r="894" spans="1:16" ht="15" x14ac:dyDescent="0.2">
      <c r="A894"/>
      <c r="B894"/>
      <c r="C894"/>
      <c r="D894"/>
      <c r="E894"/>
      <c r="F894"/>
      <c r="G894"/>
      <c r="H894"/>
      <c r="I894"/>
      <c r="J894"/>
      <c r="K894"/>
      <c r="L894"/>
      <c r="M894" s="16"/>
      <c r="N894"/>
      <c r="O894"/>
      <c r="P894"/>
    </row>
    <row r="895" spans="1:16" ht="15" x14ac:dyDescent="0.2">
      <c r="A895"/>
      <c r="B895"/>
      <c r="C895"/>
      <c r="D895"/>
      <c r="E895"/>
      <c r="F895"/>
      <c r="G895"/>
      <c r="H895"/>
      <c r="I895"/>
      <c r="J895"/>
      <c r="K895"/>
      <c r="L895"/>
      <c r="M895" s="16"/>
      <c r="N895"/>
      <c r="O895"/>
      <c r="P895"/>
    </row>
    <row r="896" spans="1:16" ht="15" x14ac:dyDescent="0.2">
      <c r="A896"/>
      <c r="B896"/>
      <c r="C896"/>
      <c r="D896"/>
      <c r="E896"/>
      <c r="F896"/>
      <c r="G896"/>
      <c r="H896"/>
      <c r="I896"/>
      <c r="J896"/>
      <c r="K896"/>
      <c r="L896"/>
      <c r="M896" s="16"/>
      <c r="N896"/>
      <c r="O896"/>
      <c r="P896"/>
    </row>
    <row r="897" spans="1:16" ht="15" x14ac:dyDescent="0.2">
      <c r="A897"/>
      <c r="B897"/>
      <c r="C897"/>
      <c r="D897"/>
      <c r="E897"/>
      <c r="F897"/>
      <c r="G897"/>
      <c r="H897"/>
      <c r="I897"/>
      <c r="J897"/>
      <c r="K897"/>
      <c r="L897"/>
      <c r="M897" s="16"/>
      <c r="N897"/>
      <c r="O897"/>
      <c r="P897"/>
    </row>
    <row r="898" spans="1:16" ht="15" x14ac:dyDescent="0.2">
      <c r="A898"/>
      <c r="B898"/>
      <c r="C898"/>
      <c r="D898"/>
      <c r="E898"/>
      <c r="F898"/>
      <c r="G898"/>
      <c r="H898"/>
      <c r="I898"/>
      <c r="J898"/>
      <c r="K898"/>
      <c r="L898"/>
      <c r="M898" s="16"/>
      <c r="N898"/>
      <c r="O898"/>
      <c r="P898"/>
    </row>
    <row r="899" spans="1:16" ht="15" x14ac:dyDescent="0.2">
      <c r="A899"/>
      <c r="B899"/>
      <c r="C899"/>
      <c r="D899"/>
      <c r="E899"/>
      <c r="F899"/>
      <c r="G899"/>
      <c r="H899"/>
      <c r="I899"/>
      <c r="J899"/>
      <c r="K899"/>
      <c r="L899"/>
      <c r="M899" s="16"/>
      <c r="N899"/>
      <c r="O899"/>
      <c r="P899"/>
    </row>
    <row r="900" spans="1:16" ht="15" x14ac:dyDescent="0.2">
      <c r="A900"/>
      <c r="B900"/>
      <c r="C900"/>
      <c r="D900"/>
      <c r="E900"/>
      <c r="F900"/>
      <c r="G900"/>
      <c r="H900"/>
      <c r="I900"/>
      <c r="J900"/>
      <c r="K900"/>
      <c r="L900"/>
      <c r="M900" s="16"/>
      <c r="N900"/>
      <c r="O900"/>
      <c r="P900"/>
    </row>
    <row r="901" spans="1:16" ht="15" x14ac:dyDescent="0.2">
      <c r="A901"/>
      <c r="B901"/>
      <c r="C901"/>
      <c r="D901"/>
      <c r="E901"/>
      <c r="F901"/>
      <c r="G901"/>
      <c r="H901"/>
      <c r="I901"/>
      <c r="J901"/>
      <c r="K901"/>
      <c r="L901"/>
      <c r="M901" s="16"/>
      <c r="N901"/>
      <c r="O901"/>
      <c r="P901"/>
    </row>
    <row r="902" spans="1:16" ht="15" x14ac:dyDescent="0.2">
      <c r="A902"/>
      <c r="B902"/>
      <c r="C902"/>
      <c r="D902"/>
      <c r="E902"/>
      <c r="F902"/>
      <c r="G902"/>
      <c r="H902"/>
      <c r="I902"/>
      <c r="J902"/>
      <c r="K902"/>
      <c r="L902"/>
      <c r="M902" s="16"/>
      <c r="N902"/>
      <c r="O902"/>
      <c r="P902"/>
    </row>
    <row r="903" spans="1:16" ht="15" x14ac:dyDescent="0.2">
      <c r="A903"/>
      <c r="B903"/>
      <c r="C903"/>
      <c r="D903"/>
      <c r="E903"/>
      <c r="F903"/>
      <c r="G903"/>
      <c r="H903"/>
      <c r="I903"/>
      <c r="J903"/>
      <c r="K903"/>
      <c r="L903"/>
      <c r="M903" s="16"/>
      <c r="N903"/>
      <c r="O903"/>
      <c r="P903"/>
    </row>
    <row r="904" spans="1:16" ht="15" x14ac:dyDescent="0.2">
      <c r="A904"/>
      <c r="B904"/>
      <c r="C904"/>
      <c r="D904"/>
      <c r="E904"/>
      <c r="F904"/>
      <c r="G904"/>
      <c r="H904"/>
      <c r="I904"/>
      <c r="J904"/>
      <c r="K904"/>
      <c r="L904"/>
      <c r="M904" s="16"/>
      <c r="N904"/>
      <c r="O904"/>
      <c r="P904"/>
    </row>
    <row r="905" spans="1:16" ht="15" x14ac:dyDescent="0.2">
      <c r="A905"/>
      <c r="B905"/>
      <c r="C905"/>
      <c r="D905"/>
      <c r="E905"/>
      <c r="F905"/>
      <c r="G905"/>
      <c r="H905"/>
      <c r="I905"/>
      <c r="J905"/>
      <c r="K905"/>
      <c r="L905"/>
      <c r="M905" s="16"/>
      <c r="N905"/>
      <c r="O905"/>
      <c r="P905"/>
    </row>
    <row r="906" spans="1:16" ht="15" x14ac:dyDescent="0.2">
      <c r="A906"/>
      <c r="B906"/>
      <c r="C906"/>
      <c r="D906"/>
      <c r="E906"/>
      <c r="F906"/>
      <c r="G906"/>
      <c r="H906"/>
      <c r="I906"/>
      <c r="J906"/>
      <c r="K906"/>
      <c r="L906"/>
      <c r="M906" s="16"/>
      <c r="N906"/>
      <c r="O906"/>
      <c r="P906"/>
    </row>
    <row r="907" spans="1:16" ht="15" x14ac:dyDescent="0.2">
      <c r="A907"/>
      <c r="B907"/>
      <c r="C907"/>
      <c r="D907"/>
      <c r="E907"/>
      <c r="F907"/>
      <c r="G907"/>
      <c r="H907"/>
      <c r="I907"/>
      <c r="J907"/>
      <c r="K907"/>
      <c r="L907"/>
      <c r="M907" s="16"/>
      <c r="N907"/>
      <c r="O907"/>
      <c r="P907"/>
    </row>
    <row r="908" spans="1:16" ht="15" x14ac:dyDescent="0.2">
      <c r="A908"/>
      <c r="B908"/>
      <c r="C908"/>
      <c r="D908"/>
      <c r="E908"/>
      <c r="F908"/>
      <c r="G908"/>
      <c r="H908"/>
      <c r="I908"/>
      <c r="J908"/>
      <c r="K908"/>
      <c r="L908"/>
      <c r="M908" s="16"/>
      <c r="N908"/>
      <c r="O908"/>
      <c r="P908"/>
    </row>
    <row r="909" spans="1:16" ht="15" x14ac:dyDescent="0.2">
      <c r="A909"/>
      <c r="B909"/>
      <c r="C909"/>
      <c r="D909"/>
      <c r="E909"/>
      <c r="F909"/>
      <c r="G909"/>
      <c r="H909"/>
      <c r="I909"/>
      <c r="J909"/>
      <c r="K909"/>
      <c r="L909"/>
      <c r="M909" s="16"/>
      <c r="N909"/>
      <c r="O909"/>
      <c r="P909"/>
    </row>
    <row r="910" spans="1:16" ht="15" x14ac:dyDescent="0.2">
      <c r="A910"/>
      <c r="B910"/>
      <c r="C910"/>
      <c r="D910"/>
      <c r="E910"/>
      <c r="F910"/>
      <c r="G910"/>
      <c r="H910"/>
      <c r="I910"/>
      <c r="J910"/>
      <c r="K910"/>
      <c r="L910"/>
      <c r="M910" s="16"/>
      <c r="N910"/>
      <c r="O910"/>
      <c r="P910"/>
    </row>
    <row r="911" spans="1:16" ht="15" x14ac:dyDescent="0.2">
      <c r="A911"/>
      <c r="B911"/>
      <c r="C911"/>
      <c r="D911"/>
      <c r="E911"/>
      <c r="F911"/>
      <c r="G911"/>
      <c r="H911"/>
      <c r="I911"/>
      <c r="J911"/>
      <c r="K911"/>
      <c r="L911"/>
      <c r="M911" s="16"/>
      <c r="N911"/>
      <c r="O911"/>
      <c r="P911"/>
    </row>
    <row r="912" spans="1:16" ht="15" x14ac:dyDescent="0.2">
      <c r="A912"/>
      <c r="B912"/>
      <c r="C912"/>
      <c r="D912"/>
      <c r="E912"/>
      <c r="F912"/>
      <c r="G912"/>
      <c r="H912"/>
      <c r="I912"/>
      <c r="J912"/>
      <c r="K912"/>
      <c r="L912"/>
      <c r="M912" s="16"/>
      <c r="N912"/>
      <c r="O912"/>
      <c r="P912"/>
    </row>
    <row r="913" spans="1:16" ht="15" x14ac:dyDescent="0.2">
      <c r="A913"/>
      <c r="B913"/>
      <c r="C913"/>
      <c r="D913"/>
      <c r="E913"/>
      <c r="F913"/>
      <c r="G913"/>
      <c r="H913"/>
      <c r="I913"/>
      <c r="J913"/>
      <c r="K913"/>
      <c r="L913"/>
      <c r="M913" s="16"/>
      <c r="N913"/>
      <c r="O913"/>
      <c r="P913"/>
    </row>
    <row r="914" spans="1:16" ht="15" x14ac:dyDescent="0.2">
      <c r="A914"/>
      <c r="B914"/>
      <c r="C914"/>
      <c r="D914"/>
      <c r="E914"/>
      <c r="F914"/>
      <c r="G914"/>
      <c r="H914"/>
      <c r="I914"/>
      <c r="J914"/>
      <c r="K914"/>
      <c r="L914"/>
      <c r="M914" s="16"/>
      <c r="N914"/>
      <c r="O914"/>
      <c r="P914"/>
    </row>
    <row r="915" spans="1:16" ht="15" x14ac:dyDescent="0.2">
      <c r="A915"/>
      <c r="B915"/>
      <c r="C915"/>
      <c r="D915"/>
      <c r="E915"/>
      <c r="F915"/>
      <c r="G915"/>
      <c r="H915"/>
      <c r="I915"/>
      <c r="J915"/>
      <c r="K915"/>
      <c r="L915"/>
      <c r="M915" s="16"/>
      <c r="N915"/>
      <c r="O915"/>
      <c r="P915"/>
    </row>
    <row r="916" spans="1:16" ht="15" x14ac:dyDescent="0.2">
      <c r="A916"/>
      <c r="B916"/>
      <c r="C916"/>
      <c r="D916"/>
      <c r="E916"/>
      <c r="F916"/>
      <c r="G916"/>
      <c r="H916"/>
      <c r="I916"/>
      <c r="J916"/>
      <c r="K916"/>
      <c r="L916"/>
      <c r="M916" s="16"/>
      <c r="N916"/>
      <c r="O916"/>
      <c r="P916"/>
    </row>
    <row r="917" spans="1:16" ht="15" x14ac:dyDescent="0.2">
      <c r="A917"/>
      <c r="B917"/>
      <c r="C917"/>
      <c r="D917"/>
      <c r="E917"/>
      <c r="F917"/>
      <c r="G917"/>
      <c r="H917"/>
      <c r="I917"/>
      <c r="J917"/>
      <c r="K917"/>
      <c r="L917"/>
      <c r="M917" s="16"/>
      <c r="N917"/>
      <c r="O917"/>
      <c r="P917"/>
    </row>
    <row r="918" spans="1:16" ht="15" x14ac:dyDescent="0.2">
      <c r="A918"/>
      <c r="B918"/>
      <c r="C918"/>
      <c r="D918"/>
      <c r="E918"/>
      <c r="F918"/>
      <c r="G918"/>
      <c r="H918"/>
      <c r="I918"/>
      <c r="J918"/>
      <c r="K918"/>
      <c r="L918"/>
      <c r="M918" s="16"/>
      <c r="N918"/>
      <c r="O918"/>
      <c r="P918"/>
    </row>
    <row r="919" spans="1:16" ht="15" x14ac:dyDescent="0.2">
      <c r="A919"/>
      <c r="B919"/>
      <c r="C919"/>
      <c r="D919"/>
      <c r="E919"/>
      <c r="F919"/>
      <c r="G919"/>
      <c r="H919"/>
      <c r="I919"/>
      <c r="J919"/>
      <c r="K919"/>
      <c r="L919"/>
      <c r="M919" s="16"/>
      <c r="N919"/>
      <c r="O919"/>
      <c r="P919"/>
    </row>
    <row r="920" spans="1:16" ht="15" x14ac:dyDescent="0.2">
      <c r="A920"/>
      <c r="B920"/>
      <c r="C920"/>
      <c r="D920"/>
      <c r="E920"/>
      <c r="F920"/>
      <c r="G920"/>
      <c r="H920"/>
      <c r="I920"/>
      <c r="J920"/>
      <c r="K920"/>
      <c r="L920"/>
      <c r="M920" s="16"/>
      <c r="N920"/>
      <c r="O920"/>
      <c r="P920"/>
    </row>
    <row r="921" spans="1:16" ht="15" x14ac:dyDescent="0.2">
      <c r="A921"/>
      <c r="B921"/>
      <c r="C921"/>
      <c r="D921"/>
      <c r="E921"/>
      <c r="F921"/>
      <c r="G921"/>
      <c r="H921"/>
      <c r="I921"/>
      <c r="J921"/>
      <c r="K921"/>
      <c r="L921"/>
      <c r="M921" s="16"/>
      <c r="N921"/>
      <c r="O921"/>
      <c r="P921"/>
    </row>
    <row r="922" spans="1:16" ht="15" x14ac:dyDescent="0.2">
      <c r="A922"/>
      <c r="B922"/>
      <c r="C922"/>
      <c r="D922"/>
      <c r="E922"/>
      <c r="F922"/>
      <c r="G922"/>
      <c r="H922"/>
      <c r="I922"/>
      <c r="J922"/>
      <c r="K922"/>
      <c r="L922"/>
      <c r="M922" s="16"/>
      <c r="N922"/>
      <c r="O922"/>
      <c r="P922"/>
    </row>
    <row r="923" spans="1:16" ht="15" x14ac:dyDescent="0.2">
      <c r="A923"/>
      <c r="B923"/>
      <c r="C923"/>
      <c r="D923"/>
      <c r="E923"/>
      <c r="F923"/>
      <c r="G923"/>
      <c r="H923"/>
      <c r="I923"/>
      <c r="J923"/>
      <c r="K923"/>
      <c r="L923"/>
      <c r="M923" s="16"/>
      <c r="N923"/>
      <c r="O923"/>
      <c r="P923"/>
    </row>
    <row r="924" spans="1:16" ht="15" x14ac:dyDescent="0.2">
      <c r="A924"/>
      <c r="B924"/>
      <c r="C924"/>
      <c r="D924"/>
      <c r="E924"/>
      <c r="F924"/>
      <c r="G924"/>
      <c r="H924"/>
      <c r="I924"/>
      <c r="J924"/>
      <c r="K924"/>
      <c r="L924"/>
      <c r="M924" s="16"/>
      <c r="N924"/>
      <c r="O924"/>
      <c r="P924"/>
    </row>
    <row r="925" spans="1:16" ht="15" x14ac:dyDescent="0.2">
      <c r="A925"/>
      <c r="B925"/>
      <c r="C925"/>
      <c r="D925"/>
      <c r="E925"/>
      <c r="F925"/>
      <c r="G925"/>
      <c r="H925"/>
      <c r="I925"/>
      <c r="J925"/>
      <c r="K925"/>
      <c r="L925"/>
      <c r="M925" s="16"/>
      <c r="N925"/>
      <c r="O925"/>
      <c r="P925"/>
    </row>
    <row r="926" spans="1:16" ht="15" x14ac:dyDescent="0.2">
      <c r="A926"/>
      <c r="B926"/>
      <c r="C926"/>
      <c r="D926"/>
      <c r="E926"/>
      <c r="F926"/>
      <c r="G926"/>
      <c r="H926"/>
      <c r="I926"/>
      <c r="J926"/>
      <c r="K926"/>
      <c r="L926"/>
      <c r="M926" s="16"/>
      <c r="N926"/>
      <c r="O926"/>
      <c r="P926"/>
    </row>
    <row r="927" spans="1:16" ht="15" x14ac:dyDescent="0.2">
      <c r="A927"/>
      <c r="B927"/>
      <c r="C927"/>
      <c r="D927"/>
      <c r="E927"/>
      <c r="F927"/>
      <c r="G927"/>
      <c r="H927"/>
      <c r="I927"/>
      <c r="J927"/>
      <c r="K927"/>
      <c r="L927"/>
      <c r="M927" s="16"/>
      <c r="N927"/>
      <c r="O927"/>
      <c r="P927"/>
    </row>
    <row r="928" spans="1:16" ht="15" x14ac:dyDescent="0.2">
      <c r="A928"/>
      <c r="B928"/>
      <c r="C928"/>
      <c r="D928"/>
      <c r="E928"/>
      <c r="F928"/>
      <c r="G928"/>
      <c r="H928"/>
      <c r="I928"/>
      <c r="J928"/>
      <c r="K928"/>
      <c r="L928"/>
      <c r="M928" s="16"/>
      <c r="N928"/>
      <c r="O928"/>
      <c r="P928"/>
    </row>
    <row r="929" spans="1:16" ht="15" x14ac:dyDescent="0.2">
      <c r="A929"/>
      <c r="B929"/>
      <c r="C929"/>
      <c r="D929"/>
      <c r="E929"/>
      <c r="F929"/>
      <c r="G929"/>
      <c r="H929"/>
      <c r="I929"/>
      <c r="J929"/>
      <c r="K929"/>
      <c r="L929"/>
      <c r="M929" s="16"/>
      <c r="N929"/>
      <c r="O929"/>
      <c r="P929"/>
    </row>
    <row r="930" spans="1:16" ht="15" x14ac:dyDescent="0.2">
      <c r="A930"/>
      <c r="B930"/>
      <c r="C930"/>
      <c r="D930"/>
      <c r="E930"/>
      <c r="F930"/>
      <c r="G930"/>
      <c r="H930"/>
      <c r="I930"/>
      <c r="J930"/>
      <c r="K930"/>
      <c r="L930"/>
      <c r="M930" s="16"/>
      <c r="N930"/>
      <c r="O930"/>
      <c r="P930"/>
    </row>
    <row r="931" spans="1:16" ht="15" x14ac:dyDescent="0.2">
      <c r="A931"/>
      <c r="B931"/>
      <c r="C931"/>
      <c r="D931"/>
      <c r="E931"/>
      <c r="F931"/>
      <c r="G931"/>
      <c r="H931"/>
      <c r="I931"/>
      <c r="J931"/>
      <c r="K931"/>
      <c r="L931"/>
      <c r="M931" s="16"/>
      <c r="N931"/>
      <c r="O931"/>
      <c r="P931"/>
    </row>
    <row r="932" spans="1:16" ht="15" x14ac:dyDescent="0.2">
      <c r="A932"/>
      <c r="B932"/>
      <c r="C932"/>
      <c r="D932"/>
      <c r="E932"/>
      <c r="F932"/>
      <c r="G932"/>
      <c r="H932"/>
      <c r="I932"/>
      <c r="J932"/>
      <c r="K932"/>
      <c r="L932"/>
      <c r="M932" s="16"/>
      <c r="N932"/>
      <c r="O932"/>
      <c r="P932"/>
    </row>
    <row r="933" spans="1:16" ht="15" x14ac:dyDescent="0.2">
      <c r="A933"/>
      <c r="B933"/>
      <c r="C933"/>
      <c r="D933"/>
      <c r="E933"/>
      <c r="F933"/>
      <c r="G933"/>
      <c r="H933"/>
      <c r="I933"/>
      <c r="J933"/>
      <c r="K933"/>
      <c r="L933"/>
      <c r="M933" s="16"/>
      <c r="N933"/>
      <c r="O933"/>
      <c r="P933"/>
    </row>
    <row r="934" spans="1:16" ht="15" x14ac:dyDescent="0.2">
      <c r="A934"/>
      <c r="B934"/>
      <c r="C934"/>
      <c r="D934"/>
      <c r="E934"/>
      <c r="F934"/>
      <c r="G934"/>
      <c r="H934"/>
      <c r="I934"/>
      <c r="J934"/>
      <c r="K934"/>
      <c r="L934"/>
      <c r="M934" s="16"/>
      <c r="N934"/>
      <c r="O934"/>
      <c r="P934"/>
    </row>
    <row r="935" spans="1:16" ht="15" x14ac:dyDescent="0.2">
      <c r="A935"/>
      <c r="B935"/>
      <c r="C935"/>
      <c r="D935"/>
      <c r="E935"/>
      <c r="F935"/>
      <c r="G935"/>
      <c r="H935"/>
      <c r="I935"/>
      <c r="J935"/>
      <c r="K935"/>
      <c r="L935"/>
      <c r="M935" s="16"/>
      <c r="N935"/>
      <c r="O935"/>
      <c r="P935"/>
    </row>
    <row r="936" spans="1:16" ht="15" x14ac:dyDescent="0.2">
      <c r="A936"/>
      <c r="B936"/>
      <c r="C936"/>
      <c r="D936"/>
      <c r="E936"/>
      <c r="F936"/>
      <c r="G936"/>
      <c r="H936"/>
      <c r="I936"/>
      <c r="J936"/>
      <c r="K936"/>
      <c r="L936"/>
      <c r="M936" s="16"/>
      <c r="N936"/>
      <c r="O936"/>
      <c r="P936"/>
    </row>
    <row r="937" spans="1:16" ht="15" x14ac:dyDescent="0.2">
      <c r="A937"/>
      <c r="B937"/>
      <c r="C937"/>
      <c r="D937"/>
      <c r="E937"/>
      <c r="F937"/>
      <c r="G937"/>
      <c r="H937"/>
      <c r="I937"/>
      <c r="J937"/>
      <c r="K937"/>
      <c r="L937"/>
      <c r="M937" s="16"/>
      <c r="N937"/>
      <c r="O937"/>
      <c r="P937"/>
    </row>
    <row r="938" spans="1:16" ht="15" x14ac:dyDescent="0.2">
      <c r="A938"/>
      <c r="B938"/>
      <c r="C938"/>
      <c r="D938"/>
      <c r="E938"/>
      <c r="F938"/>
      <c r="G938"/>
      <c r="H938"/>
      <c r="I938"/>
      <c r="J938"/>
      <c r="K938"/>
      <c r="L938"/>
      <c r="M938" s="16"/>
      <c r="N938"/>
      <c r="O938"/>
      <c r="P938"/>
    </row>
    <row r="939" spans="1:16" ht="15" x14ac:dyDescent="0.2">
      <c r="A939"/>
      <c r="B939"/>
      <c r="C939"/>
      <c r="D939"/>
      <c r="E939"/>
      <c r="F939"/>
      <c r="G939"/>
      <c r="H939"/>
      <c r="I939"/>
      <c r="J939"/>
      <c r="K939"/>
      <c r="L939"/>
      <c r="M939" s="16"/>
      <c r="N939"/>
      <c r="O939"/>
      <c r="P939"/>
    </row>
    <row r="940" spans="1:16" ht="15" x14ac:dyDescent="0.2">
      <c r="A940"/>
      <c r="B940"/>
      <c r="C940"/>
      <c r="D940"/>
      <c r="E940"/>
      <c r="F940"/>
      <c r="G940"/>
      <c r="H940"/>
      <c r="I940"/>
      <c r="J940"/>
      <c r="K940"/>
      <c r="L940"/>
      <c r="M940" s="16"/>
      <c r="N940"/>
      <c r="O940"/>
      <c r="P940"/>
    </row>
    <row r="941" spans="1:16" ht="15" x14ac:dyDescent="0.2">
      <c r="A941"/>
      <c r="B941"/>
      <c r="C941"/>
      <c r="D941"/>
      <c r="E941"/>
      <c r="F941"/>
      <c r="G941"/>
      <c r="H941"/>
      <c r="I941"/>
      <c r="J941"/>
      <c r="K941"/>
      <c r="L941"/>
      <c r="M941" s="16"/>
      <c r="N941"/>
      <c r="O941"/>
      <c r="P941"/>
    </row>
    <row r="942" spans="1:16" ht="15" x14ac:dyDescent="0.2">
      <c r="A942"/>
      <c r="B942"/>
      <c r="C942"/>
      <c r="D942"/>
      <c r="E942"/>
      <c r="F942"/>
      <c r="G942"/>
      <c r="H942"/>
      <c r="I942"/>
      <c r="J942"/>
      <c r="K942"/>
      <c r="L942"/>
      <c r="M942" s="16"/>
      <c r="N942"/>
      <c r="O942"/>
      <c r="P942"/>
    </row>
    <row r="943" spans="1:16" ht="15" x14ac:dyDescent="0.2">
      <c r="A943"/>
      <c r="B943"/>
      <c r="C943"/>
      <c r="D943"/>
      <c r="E943"/>
      <c r="F943"/>
      <c r="G943"/>
      <c r="H943"/>
      <c r="I943"/>
      <c r="J943"/>
      <c r="K943"/>
      <c r="L943"/>
      <c r="M943" s="16"/>
      <c r="N943"/>
      <c r="O943"/>
      <c r="P943"/>
    </row>
    <row r="944" spans="1:16" ht="15" x14ac:dyDescent="0.2">
      <c r="A944"/>
      <c r="B944"/>
      <c r="C944"/>
      <c r="D944"/>
      <c r="E944"/>
      <c r="F944"/>
      <c r="G944"/>
      <c r="H944"/>
      <c r="I944"/>
      <c r="J944"/>
      <c r="K944"/>
      <c r="L944"/>
      <c r="M944" s="16"/>
      <c r="N944"/>
      <c r="O944"/>
      <c r="P944"/>
    </row>
    <row r="945" spans="1:16" ht="15" x14ac:dyDescent="0.2">
      <c r="A945"/>
      <c r="B945"/>
      <c r="C945"/>
      <c r="D945"/>
      <c r="E945"/>
      <c r="F945"/>
      <c r="G945"/>
      <c r="H945"/>
      <c r="I945"/>
      <c r="J945"/>
      <c r="K945"/>
      <c r="L945"/>
      <c r="M945" s="16"/>
      <c r="N945"/>
      <c r="O945"/>
      <c r="P945"/>
    </row>
    <row r="946" spans="1:16" ht="15" x14ac:dyDescent="0.2">
      <c r="A946"/>
      <c r="B946"/>
      <c r="C946"/>
      <c r="D946"/>
      <c r="E946"/>
      <c r="F946"/>
      <c r="G946"/>
      <c r="H946"/>
      <c r="I946"/>
      <c r="J946"/>
      <c r="K946"/>
      <c r="L946"/>
      <c r="M946" s="16"/>
      <c r="N946"/>
      <c r="O946"/>
      <c r="P946"/>
    </row>
    <row r="947" spans="1:16" ht="15" x14ac:dyDescent="0.2">
      <c r="A947"/>
      <c r="B947"/>
      <c r="C947"/>
      <c r="D947"/>
      <c r="E947"/>
      <c r="F947"/>
      <c r="G947"/>
      <c r="H947"/>
      <c r="I947"/>
      <c r="J947"/>
      <c r="K947"/>
      <c r="L947"/>
      <c r="M947" s="16"/>
      <c r="N947"/>
      <c r="O947"/>
      <c r="P947"/>
    </row>
    <row r="948" spans="1:16" ht="15" x14ac:dyDescent="0.2">
      <c r="A948"/>
      <c r="B948"/>
      <c r="C948"/>
      <c r="D948"/>
      <c r="E948"/>
      <c r="F948"/>
      <c r="G948"/>
      <c r="H948"/>
      <c r="I948"/>
      <c r="J948"/>
      <c r="K948"/>
      <c r="L948"/>
      <c r="M948" s="16"/>
      <c r="N948"/>
      <c r="O948"/>
      <c r="P948"/>
    </row>
    <row r="949" spans="1:16" ht="15" x14ac:dyDescent="0.2">
      <c r="A949"/>
      <c r="B949"/>
      <c r="C949"/>
      <c r="D949"/>
      <c r="E949"/>
      <c r="F949"/>
      <c r="G949"/>
      <c r="H949"/>
      <c r="I949"/>
      <c r="J949"/>
      <c r="K949"/>
      <c r="L949"/>
      <c r="M949" s="16"/>
      <c r="N949"/>
      <c r="O949"/>
      <c r="P949"/>
    </row>
    <row r="950" spans="1:16" ht="15" x14ac:dyDescent="0.2">
      <c r="A950"/>
      <c r="B950"/>
      <c r="C950"/>
      <c r="D950"/>
      <c r="E950"/>
      <c r="F950"/>
      <c r="G950"/>
      <c r="H950"/>
      <c r="I950"/>
      <c r="J950"/>
      <c r="K950"/>
      <c r="L950"/>
      <c r="M950" s="16"/>
      <c r="N950"/>
      <c r="O950"/>
      <c r="P950"/>
    </row>
    <row r="951" spans="1:16" ht="15" x14ac:dyDescent="0.2">
      <c r="A951"/>
      <c r="B951"/>
      <c r="C951"/>
      <c r="D951"/>
      <c r="E951"/>
      <c r="F951"/>
      <c r="G951"/>
      <c r="H951"/>
      <c r="I951"/>
      <c r="J951"/>
      <c r="K951"/>
      <c r="L951"/>
      <c r="M951" s="16"/>
      <c r="N951"/>
      <c r="O951"/>
      <c r="P951"/>
    </row>
    <row r="952" spans="1:16" ht="15" x14ac:dyDescent="0.2">
      <c r="A952"/>
      <c r="B952"/>
      <c r="C952"/>
      <c r="D952"/>
      <c r="E952"/>
      <c r="F952"/>
      <c r="G952"/>
      <c r="H952"/>
      <c r="I952"/>
      <c r="J952"/>
      <c r="K952"/>
      <c r="L952"/>
      <c r="M952" s="16"/>
      <c r="N952"/>
      <c r="O952"/>
      <c r="P952"/>
    </row>
    <row r="953" spans="1:16" ht="15" x14ac:dyDescent="0.2">
      <c r="A953"/>
      <c r="B953"/>
      <c r="C953"/>
      <c r="D953"/>
      <c r="E953"/>
      <c r="F953"/>
      <c r="G953"/>
      <c r="H953"/>
      <c r="I953"/>
      <c r="J953"/>
      <c r="K953"/>
      <c r="L953"/>
      <c r="M953" s="16"/>
      <c r="N953"/>
      <c r="O953"/>
      <c r="P953"/>
    </row>
    <row r="954" spans="1:16" ht="15" x14ac:dyDescent="0.2">
      <c r="A954"/>
      <c r="B954"/>
      <c r="C954"/>
      <c r="D954"/>
      <c r="E954"/>
      <c r="F954"/>
      <c r="G954"/>
      <c r="H954"/>
      <c r="I954"/>
      <c r="J954"/>
      <c r="K954"/>
      <c r="L954"/>
      <c r="M954" s="16"/>
      <c r="N954"/>
      <c r="O954"/>
      <c r="P954"/>
    </row>
    <row r="955" spans="1:16" ht="15" x14ac:dyDescent="0.2">
      <c r="A955"/>
      <c r="B955"/>
      <c r="C955"/>
      <c r="D955"/>
      <c r="E955"/>
      <c r="F955"/>
      <c r="G955"/>
      <c r="H955"/>
      <c r="I955"/>
      <c r="J955"/>
      <c r="K955"/>
      <c r="L955"/>
      <c r="M955" s="16"/>
      <c r="N955"/>
      <c r="O955"/>
      <c r="P955"/>
    </row>
    <row r="956" spans="1:16" ht="15" x14ac:dyDescent="0.2">
      <c r="A956"/>
      <c r="B956"/>
      <c r="C956"/>
      <c r="D956"/>
      <c r="E956"/>
      <c r="F956"/>
      <c r="G956"/>
      <c r="H956"/>
      <c r="I956"/>
      <c r="J956"/>
      <c r="K956"/>
      <c r="L956"/>
      <c r="M956" s="16"/>
      <c r="N956"/>
      <c r="O956"/>
      <c r="P956"/>
    </row>
    <row r="957" spans="1:16" ht="15" x14ac:dyDescent="0.2">
      <c r="A957"/>
      <c r="B957"/>
      <c r="C957"/>
      <c r="D957"/>
      <c r="E957"/>
      <c r="F957"/>
      <c r="G957"/>
      <c r="H957"/>
      <c r="I957"/>
      <c r="J957"/>
      <c r="K957"/>
      <c r="L957"/>
      <c r="M957" s="16"/>
      <c r="N957"/>
      <c r="O957"/>
      <c r="P957"/>
    </row>
    <row r="958" spans="1:16" ht="15" x14ac:dyDescent="0.2">
      <c r="A958"/>
      <c r="B958"/>
      <c r="C958"/>
      <c r="D958"/>
      <c r="E958"/>
      <c r="F958"/>
      <c r="G958"/>
      <c r="H958"/>
      <c r="I958"/>
      <c r="J958"/>
      <c r="K958"/>
      <c r="L958"/>
      <c r="M958" s="16"/>
      <c r="N958"/>
      <c r="O958"/>
      <c r="P958"/>
    </row>
    <row r="959" spans="1:16" ht="15" x14ac:dyDescent="0.2">
      <c r="A959"/>
      <c r="B959"/>
      <c r="C959"/>
      <c r="D959"/>
      <c r="E959"/>
      <c r="F959"/>
      <c r="G959"/>
      <c r="H959"/>
      <c r="I959"/>
      <c r="J959"/>
      <c r="K959"/>
      <c r="L959"/>
      <c r="M959" s="16"/>
      <c r="N959"/>
      <c r="O959"/>
      <c r="P959"/>
    </row>
    <row r="960" spans="1:16" ht="15" x14ac:dyDescent="0.2">
      <c r="A960"/>
      <c r="B960"/>
      <c r="C960"/>
      <c r="D960"/>
      <c r="E960"/>
      <c r="F960"/>
      <c r="G960"/>
      <c r="H960"/>
      <c r="I960"/>
      <c r="J960"/>
      <c r="K960"/>
      <c r="L960"/>
      <c r="M960" s="16"/>
      <c r="N960"/>
      <c r="O960"/>
      <c r="P960"/>
    </row>
    <row r="961" spans="1:16" ht="15" x14ac:dyDescent="0.2">
      <c r="A961"/>
      <c r="B961"/>
      <c r="C961"/>
      <c r="D961"/>
      <c r="E961"/>
      <c r="F961"/>
      <c r="G961"/>
      <c r="H961"/>
      <c r="I961"/>
      <c r="J961"/>
      <c r="K961"/>
      <c r="L961"/>
      <c r="M961" s="16"/>
      <c r="N961"/>
      <c r="O961"/>
      <c r="P961"/>
    </row>
    <row r="962" spans="1:16" ht="15" x14ac:dyDescent="0.2">
      <c r="A962"/>
      <c r="B962"/>
      <c r="C962"/>
      <c r="D962"/>
      <c r="E962"/>
      <c r="F962"/>
      <c r="G962"/>
      <c r="H962"/>
      <c r="I962"/>
      <c r="J962"/>
      <c r="K962"/>
      <c r="L962"/>
      <c r="M962" s="16"/>
      <c r="N962"/>
      <c r="O962"/>
      <c r="P962"/>
    </row>
    <row r="963" spans="1:16" ht="15" x14ac:dyDescent="0.2">
      <c r="A963"/>
      <c r="B963"/>
      <c r="C963"/>
      <c r="D963"/>
      <c r="E963"/>
      <c r="F963"/>
      <c r="G963"/>
      <c r="H963"/>
      <c r="I963"/>
      <c r="J963"/>
      <c r="K963"/>
      <c r="L963"/>
      <c r="M963" s="16"/>
      <c r="N963"/>
      <c r="O963"/>
      <c r="P963"/>
    </row>
    <row r="964" spans="1:16" ht="15" x14ac:dyDescent="0.2">
      <c r="A964"/>
      <c r="B964"/>
      <c r="C964"/>
      <c r="D964"/>
      <c r="E964"/>
      <c r="F964"/>
      <c r="G964"/>
      <c r="H964"/>
      <c r="I964"/>
      <c r="J964"/>
      <c r="K964"/>
      <c r="L964"/>
      <c r="M964" s="16"/>
      <c r="N964"/>
      <c r="O964"/>
      <c r="P964"/>
    </row>
    <row r="965" spans="1:16" ht="15" x14ac:dyDescent="0.2">
      <c r="A965"/>
      <c r="B965"/>
      <c r="C965"/>
      <c r="D965"/>
      <c r="E965"/>
      <c r="F965"/>
      <c r="G965"/>
      <c r="H965"/>
      <c r="I965"/>
      <c r="J965"/>
      <c r="K965"/>
      <c r="L965"/>
      <c r="M965" s="16"/>
      <c r="N965"/>
      <c r="O965"/>
      <c r="P965"/>
    </row>
    <row r="966" spans="1:16" ht="15" x14ac:dyDescent="0.2">
      <c r="A966"/>
      <c r="B966"/>
      <c r="C966"/>
      <c r="D966"/>
      <c r="E966"/>
      <c r="F966"/>
      <c r="G966"/>
      <c r="H966"/>
      <c r="I966"/>
      <c r="J966"/>
      <c r="K966"/>
      <c r="L966"/>
      <c r="M966" s="16"/>
      <c r="N966"/>
      <c r="O966"/>
      <c r="P966"/>
    </row>
    <row r="967" spans="1:16" ht="15" x14ac:dyDescent="0.2">
      <c r="A967"/>
      <c r="B967"/>
      <c r="C967"/>
      <c r="D967"/>
      <c r="E967"/>
      <c r="F967"/>
      <c r="G967"/>
      <c r="H967"/>
      <c r="I967"/>
      <c r="J967"/>
      <c r="K967"/>
      <c r="L967"/>
      <c r="M967" s="16"/>
      <c r="N967"/>
      <c r="O967"/>
      <c r="P967"/>
    </row>
    <row r="968" spans="1:16" ht="15" x14ac:dyDescent="0.2">
      <c r="A968"/>
      <c r="B968"/>
      <c r="C968"/>
      <c r="D968"/>
      <c r="E968"/>
      <c r="F968"/>
      <c r="G968"/>
      <c r="H968"/>
      <c r="I968"/>
      <c r="J968"/>
      <c r="K968"/>
      <c r="L968"/>
      <c r="M968" s="16"/>
      <c r="N968"/>
      <c r="O968"/>
      <c r="P968"/>
    </row>
    <row r="969" spans="1:16" ht="15" x14ac:dyDescent="0.2">
      <c r="A969"/>
      <c r="B969"/>
      <c r="C969"/>
      <c r="D969"/>
      <c r="E969"/>
      <c r="F969"/>
      <c r="G969"/>
      <c r="H969"/>
      <c r="I969"/>
      <c r="J969"/>
      <c r="K969"/>
      <c r="L969"/>
      <c r="M969" s="16"/>
      <c r="N969"/>
      <c r="O969"/>
      <c r="P969"/>
    </row>
    <row r="970" spans="1:16" ht="15" x14ac:dyDescent="0.2">
      <c r="A970"/>
      <c r="B970"/>
      <c r="C970"/>
      <c r="D970"/>
      <c r="E970"/>
      <c r="F970"/>
      <c r="G970"/>
      <c r="H970"/>
      <c r="I970"/>
      <c r="J970"/>
      <c r="K970"/>
      <c r="L970"/>
      <c r="M970" s="16"/>
      <c r="N970"/>
      <c r="O970"/>
      <c r="P970"/>
    </row>
    <row r="971" spans="1:16" ht="15" x14ac:dyDescent="0.2">
      <c r="A971"/>
      <c r="B971"/>
      <c r="C971"/>
      <c r="D971"/>
      <c r="E971"/>
      <c r="F971"/>
      <c r="G971"/>
      <c r="H971"/>
      <c r="I971"/>
      <c r="J971"/>
      <c r="K971"/>
      <c r="L971"/>
      <c r="M971" s="16"/>
      <c r="N971"/>
      <c r="O971"/>
      <c r="P971"/>
    </row>
    <row r="972" spans="1:16" ht="15" x14ac:dyDescent="0.2">
      <c r="A972"/>
      <c r="B972"/>
      <c r="C972"/>
      <c r="D972"/>
      <c r="E972"/>
      <c r="F972"/>
      <c r="G972"/>
      <c r="H972"/>
      <c r="I972"/>
      <c r="J972"/>
      <c r="K972"/>
      <c r="L972"/>
      <c r="M972" s="16"/>
      <c r="N972"/>
      <c r="O972"/>
      <c r="P972"/>
    </row>
    <row r="973" spans="1:16" ht="15" x14ac:dyDescent="0.2">
      <c r="A973"/>
      <c r="B973"/>
      <c r="C973"/>
      <c r="D973"/>
      <c r="E973"/>
      <c r="F973"/>
      <c r="G973"/>
      <c r="H973"/>
      <c r="I973"/>
      <c r="J973"/>
      <c r="K973"/>
      <c r="L973"/>
      <c r="M973" s="16"/>
      <c r="N973"/>
      <c r="O973"/>
      <c r="P973"/>
    </row>
    <row r="974" spans="1:16" ht="15" x14ac:dyDescent="0.2">
      <c r="A974"/>
      <c r="B974"/>
      <c r="C974"/>
      <c r="D974"/>
      <c r="E974"/>
      <c r="F974"/>
      <c r="G974"/>
      <c r="H974"/>
      <c r="I974"/>
      <c r="J974"/>
      <c r="K974"/>
      <c r="L974"/>
      <c r="M974" s="16"/>
      <c r="N974"/>
      <c r="O974"/>
      <c r="P974"/>
    </row>
    <row r="975" spans="1:16" ht="15" x14ac:dyDescent="0.2">
      <c r="A975"/>
      <c r="B975"/>
      <c r="C975"/>
      <c r="D975"/>
      <c r="E975"/>
      <c r="F975"/>
      <c r="G975"/>
      <c r="H975"/>
      <c r="I975"/>
      <c r="J975"/>
      <c r="K975"/>
      <c r="L975"/>
      <c r="M975" s="16"/>
      <c r="N975"/>
      <c r="O975"/>
      <c r="P975"/>
    </row>
    <row r="976" spans="1:16" ht="15" x14ac:dyDescent="0.2">
      <c r="A976"/>
      <c r="B976"/>
      <c r="C976"/>
      <c r="D976"/>
      <c r="E976"/>
      <c r="F976"/>
      <c r="G976"/>
      <c r="H976"/>
      <c r="I976"/>
      <c r="J976"/>
      <c r="K976"/>
      <c r="L976"/>
      <c r="M976" s="16"/>
      <c r="N976"/>
      <c r="O976"/>
      <c r="P976"/>
    </row>
    <row r="977" spans="1:16" ht="15" x14ac:dyDescent="0.2">
      <c r="A977"/>
      <c r="B977"/>
      <c r="C977"/>
      <c r="D977"/>
      <c r="E977"/>
      <c r="F977"/>
      <c r="G977"/>
      <c r="H977"/>
      <c r="I977"/>
      <c r="J977"/>
      <c r="K977"/>
      <c r="L977"/>
      <c r="M977" s="16"/>
      <c r="N977"/>
      <c r="O977"/>
      <c r="P977"/>
    </row>
    <row r="978" spans="1:16" ht="15" x14ac:dyDescent="0.2">
      <c r="A978"/>
      <c r="B978"/>
      <c r="C978"/>
      <c r="D978"/>
      <c r="E978"/>
      <c r="F978"/>
      <c r="G978"/>
      <c r="H978"/>
      <c r="I978"/>
      <c r="J978"/>
      <c r="K978"/>
      <c r="L978"/>
      <c r="M978" s="16"/>
      <c r="N978"/>
      <c r="O978"/>
      <c r="P978"/>
    </row>
    <row r="979" spans="1:16" ht="15" x14ac:dyDescent="0.2">
      <c r="A979"/>
      <c r="B979"/>
      <c r="C979"/>
      <c r="D979"/>
      <c r="E979"/>
      <c r="F979"/>
      <c r="G979"/>
      <c r="H979"/>
      <c r="I979"/>
      <c r="J979"/>
      <c r="K979"/>
      <c r="L979"/>
      <c r="M979" s="16"/>
      <c r="N979"/>
      <c r="O979"/>
      <c r="P979"/>
    </row>
    <row r="980" spans="1:16" ht="15" x14ac:dyDescent="0.2">
      <c r="A980"/>
      <c r="B980"/>
      <c r="C980"/>
      <c r="D980"/>
      <c r="E980"/>
      <c r="F980"/>
      <c r="G980"/>
      <c r="H980"/>
      <c r="I980"/>
      <c r="J980"/>
      <c r="K980"/>
      <c r="L980"/>
      <c r="M980" s="16"/>
      <c r="N980"/>
      <c r="O980"/>
      <c r="P980"/>
    </row>
    <row r="981" spans="1:16" ht="15" x14ac:dyDescent="0.2">
      <c r="A981"/>
      <c r="B981"/>
      <c r="C981"/>
      <c r="D981"/>
      <c r="E981"/>
      <c r="F981"/>
      <c r="G981"/>
      <c r="H981"/>
      <c r="I981"/>
      <c r="J981"/>
      <c r="K981"/>
      <c r="L981"/>
      <c r="M981" s="16"/>
      <c r="N981"/>
      <c r="O981"/>
      <c r="P981"/>
    </row>
    <row r="982" spans="1:16" ht="15" x14ac:dyDescent="0.2">
      <c r="A982"/>
      <c r="B982"/>
      <c r="C982"/>
      <c r="D982"/>
      <c r="E982"/>
      <c r="F982"/>
      <c r="G982"/>
      <c r="H982"/>
      <c r="I982"/>
      <c r="J982"/>
      <c r="K982"/>
      <c r="L982"/>
      <c r="M982" s="16"/>
      <c r="N982"/>
      <c r="O982"/>
      <c r="P982"/>
    </row>
    <row r="983" spans="1:16" ht="15" x14ac:dyDescent="0.2">
      <c r="A983"/>
      <c r="B983"/>
      <c r="C983"/>
      <c r="D983"/>
      <c r="E983"/>
      <c r="F983"/>
      <c r="G983"/>
      <c r="H983"/>
      <c r="I983"/>
      <c r="J983"/>
      <c r="K983"/>
      <c r="L983"/>
      <c r="M983" s="16"/>
      <c r="N983"/>
      <c r="O983"/>
      <c r="P983"/>
    </row>
    <row r="984" spans="1:16" ht="15" x14ac:dyDescent="0.2">
      <c r="A984"/>
      <c r="B984"/>
      <c r="C984"/>
      <c r="D984"/>
      <c r="E984"/>
      <c r="F984"/>
      <c r="G984"/>
      <c r="H984"/>
      <c r="I984"/>
      <c r="J984"/>
      <c r="K984"/>
      <c r="L984"/>
      <c r="M984" s="16"/>
      <c r="N984"/>
      <c r="O984"/>
      <c r="P984"/>
    </row>
    <row r="985" spans="1:16" ht="15" x14ac:dyDescent="0.2">
      <c r="A985"/>
      <c r="B985"/>
      <c r="C985"/>
      <c r="D985"/>
      <c r="E985"/>
      <c r="F985"/>
      <c r="G985"/>
      <c r="H985"/>
      <c r="I985"/>
      <c r="J985"/>
      <c r="K985"/>
      <c r="L985"/>
      <c r="M985" s="16"/>
      <c r="N985"/>
      <c r="O985"/>
      <c r="P985"/>
    </row>
    <row r="986" spans="1:16" ht="15" x14ac:dyDescent="0.2">
      <c r="A986"/>
      <c r="B986"/>
      <c r="C986"/>
      <c r="D986"/>
      <c r="E986"/>
      <c r="F986"/>
      <c r="G986"/>
      <c r="H986"/>
      <c r="I986"/>
      <c r="J986"/>
      <c r="K986"/>
      <c r="L986"/>
      <c r="M986" s="16"/>
      <c r="N986"/>
      <c r="O986"/>
      <c r="P986"/>
    </row>
    <row r="987" spans="1:16" ht="15" x14ac:dyDescent="0.2">
      <c r="A987"/>
      <c r="B987"/>
      <c r="C987"/>
      <c r="D987"/>
      <c r="E987"/>
      <c r="F987"/>
      <c r="G987"/>
      <c r="H987"/>
      <c r="I987"/>
      <c r="J987"/>
      <c r="K987"/>
      <c r="L987"/>
      <c r="M987" s="16"/>
      <c r="N987"/>
      <c r="O987"/>
      <c r="P987"/>
    </row>
    <row r="988" spans="1:16" ht="15" x14ac:dyDescent="0.2">
      <c r="A988"/>
      <c r="B988"/>
      <c r="C988"/>
      <c r="D988"/>
      <c r="E988"/>
      <c r="F988"/>
      <c r="G988"/>
      <c r="H988"/>
      <c r="I988"/>
      <c r="J988"/>
      <c r="K988"/>
      <c r="L988"/>
      <c r="M988" s="16"/>
      <c r="N988"/>
      <c r="O988"/>
      <c r="P988"/>
    </row>
    <row r="989" spans="1:16" ht="15" x14ac:dyDescent="0.2">
      <c r="A989"/>
      <c r="B989"/>
      <c r="C989"/>
      <c r="D989"/>
      <c r="E989"/>
      <c r="F989"/>
      <c r="G989"/>
      <c r="H989"/>
      <c r="I989"/>
      <c r="J989"/>
      <c r="K989"/>
      <c r="L989"/>
      <c r="M989" s="16"/>
      <c r="N989"/>
      <c r="O989"/>
      <c r="P989"/>
    </row>
    <row r="990" spans="1:16" ht="15" x14ac:dyDescent="0.2">
      <c r="A990"/>
      <c r="B990"/>
      <c r="C990"/>
      <c r="D990"/>
      <c r="E990"/>
      <c r="F990"/>
      <c r="G990"/>
      <c r="H990"/>
      <c r="I990"/>
      <c r="J990"/>
      <c r="K990"/>
      <c r="L990"/>
      <c r="M990" s="16"/>
      <c r="N990"/>
      <c r="O990"/>
      <c r="P990"/>
    </row>
    <row r="991" spans="1:16" ht="15" x14ac:dyDescent="0.2">
      <c r="A991"/>
      <c r="B991"/>
      <c r="C991"/>
      <c r="D991"/>
      <c r="E991"/>
      <c r="F991"/>
      <c r="G991"/>
      <c r="H991"/>
      <c r="I991"/>
      <c r="J991"/>
      <c r="K991"/>
      <c r="L991"/>
      <c r="M991" s="16"/>
      <c r="N991"/>
      <c r="O991"/>
      <c r="P991"/>
    </row>
    <row r="992" spans="1:16" ht="15" x14ac:dyDescent="0.2">
      <c r="A992"/>
      <c r="B992"/>
      <c r="C992"/>
      <c r="D992"/>
      <c r="E992"/>
      <c r="F992"/>
      <c r="G992"/>
      <c r="H992"/>
      <c r="I992"/>
      <c r="J992"/>
      <c r="K992"/>
      <c r="L992"/>
      <c r="M992" s="16"/>
      <c r="N992"/>
      <c r="O992"/>
      <c r="P992"/>
    </row>
    <row r="993" spans="1:16" ht="15" x14ac:dyDescent="0.2">
      <c r="A993"/>
      <c r="B993"/>
      <c r="C993"/>
      <c r="D993"/>
      <c r="E993"/>
      <c r="F993"/>
      <c r="G993"/>
      <c r="H993"/>
      <c r="I993"/>
      <c r="J993"/>
      <c r="K993"/>
      <c r="L993"/>
      <c r="M993" s="16"/>
      <c r="N993"/>
      <c r="O993"/>
      <c r="P993"/>
    </row>
    <row r="994" spans="1:16" ht="15" x14ac:dyDescent="0.2">
      <c r="A994"/>
      <c r="B994"/>
      <c r="C994"/>
      <c r="D994"/>
      <c r="E994"/>
      <c r="F994"/>
      <c r="G994"/>
      <c r="H994"/>
      <c r="I994"/>
      <c r="J994"/>
      <c r="K994"/>
      <c r="L994"/>
      <c r="M994" s="16"/>
      <c r="N994"/>
      <c r="O994"/>
      <c r="P994"/>
    </row>
    <row r="995" spans="1:16" ht="15" x14ac:dyDescent="0.2">
      <c r="A995"/>
      <c r="B995"/>
      <c r="C995"/>
      <c r="D995"/>
      <c r="E995"/>
      <c r="F995"/>
      <c r="G995"/>
      <c r="H995"/>
      <c r="I995"/>
      <c r="J995"/>
      <c r="K995"/>
      <c r="L995"/>
      <c r="M995" s="16"/>
      <c r="N995"/>
      <c r="O995"/>
      <c r="P995"/>
    </row>
    <row r="996" spans="1:16" ht="15" x14ac:dyDescent="0.2">
      <c r="A996"/>
      <c r="B996"/>
      <c r="C996"/>
      <c r="D996"/>
      <c r="E996"/>
      <c r="F996"/>
      <c r="G996"/>
      <c r="H996"/>
      <c r="I996"/>
      <c r="J996"/>
      <c r="K996"/>
      <c r="L996"/>
      <c r="M996" s="16"/>
      <c r="N996"/>
      <c r="O996"/>
      <c r="P996"/>
    </row>
    <row r="997" spans="1:16" ht="15" x14ac:dyDescent="0.2">
      <c r="A997"/>
      <c r="B997"/>
      <c r="C997"/>
      <c r="D997"/>
      <c r="E997"/>
      <c r="F997"/>
      <c r="G997"/>
      <c r="H997"/>
      <c r="I997"/>
      <c r="J997"/>
      <c r="K997"/>
      <c r="L997"/>
      <c r="M997" s="16"/>
      <c r="N997"/>
      <c r="O997"/>
      <c r="P997"/>
    </row>
    <row r="998" spans="1:16" ht="15" x14ac:dyDescent="0.2">
      <c r="A998"/>
      <c r="B998"/>
      <c r="C998"/>
      <c r="D998"/>
      <c r="E998"/>
      <c r="F998"/>
      <c r="G998"/>
      <c r="H998"/>
      <c r="I998"/>
      <c r="J998"/>
      <c r="K998"/>
      <c r="L998"/>
      <c r="M998" s="16"/>
      <c r="N998"/>
      <c r="O998"/>
      <c r="P998"/>
    </row>
    <row r="999" spans="1:16" ht="15" x14ac:dyDescent="0.2">
      <c r="A999"/>
      <c r="B999"/>
      <c r="C999"/>
      <c r="D999"/>
      <c r="E999"/>
      <c r="F999"/>
      <c r="G999"/>
      <c r="H999"/>
      <c r="I999"/>
      <c r="J999"/>
      <c r="K999"/>
      <c r="L999"/>
      <c r="M999" s="16"/>
      <c r="N999"/>
      <c r="O999"/>
      <c r="P999"/>
    </row>
    <row r="1000" spans="1:16" ht="15" x14ac:dyDescent="0.2">
      <c r="A1000"/>
      <c r="B1000"/>
      <c r="C1000"/>
      <c r="D1000"/>
      <c r="E1000"/>
      <c r="F1000"/>
      <c r="G1000"/>
      <c r="H1000"/>
      <c r="I1000"/>
      <c r="J1000"/>
      <c r="K1000"/>
      <c r="L1000"/>
      <c r="M1000" s="16"/>
      <c r="N1000"/>
      <c r="O1000"/>
      <c r="P1000"/>
    </row>
    <row r="1001" spans="1:16" ht="15" x14ac:dyDescent="0.2">
      <c r="A1001"/>
      <c r="B1001"/>
      <c r="C1001"/>
      <c r="D1001"/>
      <c r="E1001"/>
      <c r="F1001"/>
      <c r="G1001"/>
      <c r="H1001"/>
      <c r="I1001"/>
      <c r="J1001"/>
      <c r="K1001"/>
      <c r="L1001"/>
      <c r="M1001" s="16"/>
      <c r="N1001"/>
      <c r="O1001"/>
      <c r="P1001"/>
    </row>
    <row r="1002" spans="1:16" ht="15" x14ac:dyDescent="0.2">
      <c r="A1002"/>
      <c r="B1002"/>
      <c r="C1002"/>
      <c r="D1002"/>
      <c r="E1002"/>
      <c r="F1002"/>
      <c r="G1002"/>
      <c r="H1002"/>
      <c r="I1002"/>
      <c r="J1002"/>
      <c r="K1002"/>
      <c r="L1002"/>
      <c r="M1002" s="16"/>
      <c r="N1002"/>
      <c r="O1002"/>
      <c r="P1002"/>
    </row>
    <row r="1003" spans="1:16" ht="15" x14ac:dyDescent="0.2">
      <c r="A1003"/>
      <c r="B1003"/>
      <c r="C1003"/>
      <c r="D1003"/>
      <c r="E1003"/>
      <c r="F1003"/>
      <c r="G1003"/>
      <c r="H1003"/>
      <c r="I1003"/>
      <c r="J1003"/>
      <c r="K1003"/>
      <c r="L1003"/>
      <c r="M1003" s="16"/>
      <c r="N1003"/>
      <c r="O1003"/>
      <c r="P1003"/>
    </row>
    <row r="1004" spans="1:16" ht="15" x14ac:dyDescent="0.2">
      <c r="A1004"/>
      <c r="B1004"/>
      <c r="C1004"/>
      <c r="D1004"/>
      <c r="E1004"/>
      <c r="F1004"/>
      <c r="G1004"/>
      <c r="H1004"/>
      <c r="I1004"/>
      <c r="J1004"/>
      <c r="K1004"/>
      <c r="L1004"/>
      <c r="M1004" s="16"/>
      <c r="N1004"/>
      <c r="O1004"/>
      <c r="P1004"/>
    </row>
    <row r="1005" spans="1:16" ht="15" x14ac:dyDescent="0.2">
      <c r="A1005"/>
      <c r="B1005"/>
      <c r="C1005"/>
      <c r="D1005"/>
      <c r="E1005"/>
      <c r="F1005"/>
      <c r="G1005"/>
      <c r="H1005"/>
      <c r="I1005"/>
      <c r="J1005"/>
      <c r="K1005"/>
      <c r="L1005"/>
      <c r="M1005" s="16"/>
      <c r="N1005"/>
      <c r="O1005"/>
      <c r="P1005"/>
    </row>
    <row r="1006" spans="1:16" ht="15" x14ac:dyDescent="0.2">
      <c r="A1006"/>
      <c r="B1006"/>
      <c r="C1006"/>
      <c r="D1006"/>
      <c r="E1006"/>
      <c r="F1006"/>
      <c r="G1006"/>
      <c r="H1006"/>
      <c r="I1006"/>
      <c r="J1006"/>
      <c r="K1006"/>
      <c r="L1006"/>
      <c r="M1006" s="16"/>
      <c r="N1006"/>
      <c r="O1006"/>
      <c r="P1006"/>
    </row>
    <row r="1007" spans="1:16" ht="15" x14ac:dyDescent="0.2">
      <c r="A1007"/>
      <c r="B1007"/>
      <c r="C1007"/>
      <c r="D1007"/>
      <c r="E1007"/>
      <c r="F1007"/>
      <c r="G1007"/>
      <c r="H1007"/>
      <c r="I1007"/>
      <c r="J1007"/>
      <c r="K1007"/>
      <c r="L1007"/>
      <c r="M1007" s="16"/>
      <c r="N1007"/>
      <c r="O1007"/>
      <c r="P1007"/>
    </row>
    <row r="1008" spans="1:16" ht="15" x14ac:dyDescent="0.2">
      <c r="A1008"/>
      <c r="B1008"/>
      <c r="C1008"/>
      <c r="D1008"/>
      <c r="E1008"/>
      <c r="F1008"/>
      <c r="G1008"/>
      <c r="H1008"/>
      <c r="I1008"/>
      <c r="J1008"/>
      <c r="K1008"/>
      <c r="L1008"/>
      <c r="M1008" s="16"/>
      <c r="N1008"/>
      <c r="O1008"/>
      <c r="P1008"/>
    </row>
    <row r="1009" spans="1:16" ht="15" x14ac:dyDescent="0.2">
      <c r="A1009"/>
      <c r="B1009"/>
      <c r="C1009"/>
      <c r="D1009"/>
      <c r="E1009"/>
      <c r="F1009"/>
      <c r="G1009"/>
      <c r="H1009"/>
      <c r="I1009"/>
      <c r="J1009"/>
      <c r="K1009"/>
      <c r="L1009"/>
      <c r="M1009" s="16"/>
      <c r="N1009"/>
      <c r="O1009"/>
      <c r="P1009"/>
    </row>
    <row r="1010" spans="1:16" ht="15" x14ac:dyDescent="0.2">
      <c r="A1010"/>
      <c r="B1010"/>
      <c r="C1010"/>
      <c r="D1010"/>
      <c r="E1010"/>
      <c r="F1010"/>
      <c r="G1010"/>
      <c r="H1010"/>
      <c r="I1010"/>
      <c r="J1010"/>
      <c r="K1010"/>
      <c r="L1010"/>
      <c r="M1010" s="16"/>
      <c r="N1010"/>
      <c r="O1010"/>
      <c r="P1010"/>
    </row>
    <row r="1011" spans="1:16" ht="15" x14ac:dyDescent="0.2">
      <c r="A1011"/>
      <c r="B1011"/>
      <c r="C1011"/>
      <c r="D1011"/>
      <c r="E1011"/>
      <c r="F1011"/>
      <c r="G1011"/>
      <c r="H1011"/>
      <c r="I1011"/>
      <c r="J1011"/>
      <c r="K1011"/>
      <c r="L1011"/>
      <c r="M1011" s="16"/>
      <c r="N1011"/>
      <c r="O1011"/>
      <c r="P1011"/>
    </row>
    <row r="1012" spans="1:16" ht="15" x14ac:dyDescent="0.2">
      <c r="A1012"/>
      <c r="B1012"/>
      <c r="C1012"/>
      <c r="D1012"/>
      <c r="E1012"/>
      <c r="F1012"/>
      <c r="G1012"/>
      <c r="H1012"/>
      <c r="I1012"/>
      <c r="J1012"/>
      <c r="K1012"/>
      <c r="L1012"/>
      <c r="M1012" s="16"/>
      <c r="N1012"/>
      <c r="O1012"/>
      <c r="P1012"/>
    </row>
    <row r="1013" spans="1:16" ht="15" x14ac:dyDescent="0.2">
      <c r="A1013"/>
      <c r="B1013"/>
      <c r="C1013"/>
      <c r="D1013"/>
      <c r="E1013"/>
      <c r="F1013"/>
      <c r="G1013"/>
      <c r="H1013"/>
      <c r="I1013"/>
      <c r="J1013"/>
      <c r="K1013"/>
      <c r="L1013"/>
      <c r="M1013" s="16"/>
      <c r="N1013"/>
      <c r="O1013"/>
      <c r="P1013"/>
    </row>
    <row r="1014" spans="1:16" ht="15" x14ac:dyDescent="0.2">
      <c r="A1014"/>
      <c r="B1014"/>
      <c r="C1014"/>
      <c r="D1014"/>
      <c r="E1014"/>
      <c r="F1014"/>
      <c r="G1014"/>
      <c r="H1014"/>
      <c r="I1014"/>
      <c r="J1014"/>
      <c r="K1014"/>
      <c r="L1014"/>
      <c r="M1014" s="16"/>
      <c r="N1014"/>
      <c r="O1014"/>
      <c r="P1014"/>
    </row>
    <row r="1015" spans="1:16" ht="15" x14ac:dyDescent="0.2">
      <c r="A1015"/>
      <c r="B1015"/>
      <c r="C1015"/>
      <c r="D1015"/>
      <c r="E1015"/>
      <c r="F1015"/>
      <c r="G1015"/>
      <c r="H1015"/>
      <c r="I1015"/>
      <c r="J1015"/>
      <c r="K1015"/>
      <c r="L1015"/>
      <c r="M1015" s="16"/>
      <c r="N1015"/>
      <c r="O1015"/>
      <c r="P1015"/>
    </row>
    <row r="1016" spans="1:16" ht="15" x14ac:dyDescent="0.2">
      <c r="A1016"/>
      <c r="B1016"/>
      <c r="C1016"/>
      <c r="D1016"/>
      <c r="E1016"/>
      <c r="F1016"/>
      <c r="G1016"/>
      <c r="H1016"/>
      <c r="I1016"/>
      <c r="J1016"/>
      <c r="K1016"/>
      <c r="L1016"/>
      <c r="M1016" s="16"/>
      <c r="N1016"/>
      <c r="O1016"/>
      <c r="P1016"/>
    </row>
    <row r="1017" spans="1:16" ht="15" x14ac:dyDescent="0.2">
      <c r="A1017"/>
      <c r="B1017"/>
      <c r="C1017"/>
      <c r="D1017"/>
      <c r="E1017"/>
      <c r="F1017"/>
      <c r="G1017"/>
      <c r="H1017"/>
      <c r="I1017"/>
      <c r="J1017"/>
      <c r="K1017"/>
      <c r="L1017"/>
      <c r="M1017" s="16"/>
      <c r="N1017"/>
      <c r="O1017"/>
      <c r="P1017"/>
    </row>
    <row r="1018" spans="1:16" ht="15" x14ac:dyDescent="0.2">
      <c r="A1018"/>
      <c r="B1018"/>
      <c r="C1018"/>
      <c r="D1018"/>
      <c r="E1018"/>
      <c r="F1018"/>
      <c r="G1018"/>
      <c r="H1018"/>
      <c r="I1018"/>
      <c r="J1018"/>
      <c r="K1018"/>
      <c r="L1018"/>
      <c r="M1018" s="16"/>
      <c r="N1018"/>
      <c r="O1018"/>
      <c r="P1018"/>
    </row>
    <row r="1019" spans="1:16" ht="15" x14ac:dyDescent="0.2">
      <c r="A1019"/>
      <c r="B1019"/>
      <c r="C1019"/>
      <c r="D1019"/>
      <c r="E1019"/>
      <c r="F1019"/>
      <c r="G1019"/>
      <c r="H1019"/>
      <c r="I1019"/>
      <c r="J1019"/>
      <c r="K1019"/>
      <c r="L1019"/>
      <c r="M1019" s="16"/>
      <c r="N1019"/>
      <c r="O1019"/>
      <c r="P1019"/>
    </row>
    <row r="1020" spans="1:16" ht="15" x14ac:dyDescent="0.2">
      <c r="A1020"/>
      <c r="B1020"/>
      <c r="C1020"/>
      <c r="D1020"/>
      <c r="E1020"/>
      <c r="F1020"/>
      <c r="G1020"/>
      <c r="H1020"/>
      <c r="I1020"/>
      <c r="J1020"/>
      <c r="K1020"/>
      <c r="L1020"/>
      <c r="M1020" s="16"/>
      <c r="N1020"/>
      <c r="O1020"/>
      <c r="P1020"/>
    </row>
    <row r="1021" spans="1:16" ht="15" x14ac:dyDescent="0.2">
      <c r="A1021"/>
      <c r="B1021"/>
      <c r="C1021"/>
      <c r="D1021"/>
      <c r="E1021"/>
      <c r="F1021"/>
      <c r="G1021"/>
      <c r="H1021"/>
      <c r="I1021"/>
      <c r="J1021"/>
      <c r="K1021"/>
      <c r="L1021"/>
      <c r="M1021" s="16"/>
      <c r="N1021"/>
      <c r="O1021"/>
      <c r="P1021"/>
    </row>
    <row r="1022" spans="1:16" ht="15" x14ac:dyDescent="0.2">
      <c r="A1022"/>
      <c r="B1022"/>
      <c r="C1022"/>
      <c r="D1022"/>
      <c r="E1022"/>
      <c r="F1022"/>
      <c r="G1022"/>
      <c r="H1022"/>
      <c r="I1022"/>
      <c r="J1022"/>
      <c r="K1022"/>
      <c r="L1022"/>
      <c r="M1022" s="16"/>
      <c r="N1022"/>
      <c r="O1022"/>
      <c r="P1022"/>
    </row>
    <row r="1023" spans="1:16" ht="15" x14ac:dyDescent="0.2">
      <c r="A1023"/>
      <c r="B1023"/>
      <c r="C1023"/>
      <c r="D1023"/>
      <c r="E1023"/>
      <c r="F1023"/>
      <c r="G1023"/>
      <c r="H1023"/>
      <c r="I1023"/>
      <c r="J1023"/>
      <c r="K1023"/>
      <c r="L1023"/>
      <c r="M1023" s="16"/>
      <c r="N1023"/>
      <c r="O1023"/>
      <c r="P1023"/>
    </row>
    <row r="1024" spans="1:16" ht="15" x14ac:dyDescent="0.2">
      <c r="A1024"/>
      <c r="B1024"/>
      <c r="C1024"/>
      <c r="D1024"/>
      <c r="E1024"/>
      <c r="F1024"/>
      <c r="G1024"/>
      <c r="H1024"/>
      <c r="I1024"/>
      <c r="J1024"/>
      <c r="K1024"/>
      <c r="L1024"/>
      <c r="M1024" s="16"/>
      <c r="N1024"/>
      <c r="O1024"/>
      <c r="P1024"/>
    </row>
    <row r="1025" spans="1:16" ht="15" x14ac:dyDescent="0.2">
      <c r="A1025"/>
      <c r="B1025"/>
      <c r="C1025"/>
      <c r="D1025"/>
      <c r="E1025"/>
      <c r="F1025"/>
      <c r="G1025"/>
      <c r="H1025"/>
      <c r="I1025"/>
      <c r="J1025"/>
      <c r="K1025"/>
      <c r="L1025"/>
      <c r="M1025" s="16"/>
      <c r="N1025"/>
      <c r="O1025"/>
      <c r="P1025"/>
    </row>
    <row r="1026" spans="1:16" ht="15" x14ac:dyDescent="0.2">
      <c r="A1026"/>
      <c r="B1026"/>
      <c r="C1026"/>
      <c r="D1026"/>
      <c r="E1026"/>
      <c r="F1026"/>
      <c r="G1026"/>
      <c r="H1026"/>
      <c r="I1026"/>
      <c r="J1026"/>
      <c r="K1026"/>
      <c r="L1026"/>
      <c r="M1026" s="16"/>
      <c r="N1026"/>
      <c r="O1026"/>
      <c r="P1026"/>
    </row>
    <row r="1027" spans="1:16" ht="15" x14ac:dyDescent="0.2">
      <c r="A1027"/>
      <c r="B1027"/>
      <c r="C1027"/>
      <c r="D1027"/>
      <c r="E1027"/>
      <c r="F1027"/>
      <c r="G1027"/>
      <c r="H1027"/>
      <c r="I1027"/>
      <c r="J1027"/>
      <c r="K1027"/>
      <c r="L1027"/>
      <c r="M1027" s="16"/>
      <c r="N1027"/>
      <c r="O1027"/>
      <c r="P1027"/>
    </row>
    <row r="1028" spans="1:16" ht="15" x14ac:dyDescent="0.2">
      <c r="A1028"/>
      <c r="B1028"/>
      <c r="C1028"/>
      <c r="D1028"/>
      <c r="E1028"/>
      <c r="F1028"/>
      <c r="G1028"/>
      <c r="H1028"/>
      <c r="I1028"/>
      <c r="J1028"/>
      <c r="K1028"/>
      <c r="L1028"/>
      <c r="M1028" s="16"/>
      <c r="N1028"/>
      <c r="O1028"/>
      <c r="P1028"/>
    </row>
    <row r="1029" spans="1:16" ht="15" x14ac:dyDescent="0.2">
      <c r="A1029"/>
      <c r="B1029"/>
      <c r="C1029"/>
      <c r="D1029"/>
      <c r="E1029"/>
      <c r="F1029"/>
      <c r="G1029"/>
      <c r="H1029"/>
      <c r="I1029"/>
      <c r="J1029"/>
      <c r="K1029"/>
      <c r="L1029"/>
      <c r="M1029" s="16"/>
      <c r="N1029"/>
      <c r="O1029"/>
      <c r="P1029"/>
    </row>
    <row r="1030" spans="1:16" ht="15" x14ac:dyDescent="0.2">
      <c r="A1030"/>
      <c r="B1030"/>
      <c r="C1030"/>
      <c r="D1030"/>
      <c r="E1030"/>
      <c r="F1030"/>
      <c r="G1030"/>
      <c r="H1030"/>
      <c r="I1030"/>
      <c r="J1030"/>
      <c r="K1030"/>
      <c r="L1030"/>
      <c r="M1030" s="16"/>
      <c r="N1030"/>
      <c r="O1030"/>
      <c r="P1030"/>
    </row>
    <row r="1031" spans="1:16" ht="15" x14ac:dyDescent="0.2">
      <c r="A1031"/>
      <c r="B1031"/>
      <c r="C1031"/>
      <c r="D1031"/>
      <c r="E1031"/>
      <c r="F1031"/>
      <c r="G1031"/>
      <c r="H1031"/>
      <c r="I1031"/>
      <c r="J1031"/>
      <c r="K1031"/>
      <c r="L1031"/>
      <c r="M1031" s="16"/>
      <c r="N1031"/>
      <c r="O1031"/>
      <c r="P1031"/>
    </row>
    <row r="1032" spans="1:16" ht="15" x14ac:dyDescent="0.2">
      <c r="A1032"/>
      <c r="B1032"/>
      <c r="C1032"/>
      <c r="D1032"/>
      <c r="E1032"/>
      <c r="F1032"/>
      <c r="G1032"/>
      <c r="H1032"/>
      <c r="I1032"/>
      <c r="J1032"/>
      <c r="K1032"/>
      <c r="L1032"/>
      <c r="M1032" s="16"/>
      <c r="N1032"/>
      <c r="O1032"/>
      <c r="P1032"/>
    </row>
    <row r="1033" spans="1:16" ht="15" x14ac:dyDescent="0.2">
      <c r="A1033"/>
      <c r="B1033"/>
      <c r="C1033"/>
      <c r="D1033"/>
      <c r="E1033"/>
      <c r="F1033"/>
      <c r="G1033"/>
      <c r="H1033"/>
      <c r="I1033"/>
      <c r="J1033"/>
      <c r="K1033"/>
      <c r="L1033"/>
      <c r="M1033" s="16"/>
      <c r="N1033"/>
      <c r="O1033"/>
      <c r="P1033"/>
    </row>
    <row r="1034" spans="1:16" ht="15" x14ac:dyDescent="0.2">
      <c r="A1034"/>
      <c r="B1034"/>
      <c r="C1034"/>
      <c r="D1034"/>
      <c r="E1034"/>
      <c r="F1034"/>
      <c r="G1034"/>
      <c r="H1034"/>
      <c r="I1034"/>
      <c r="J1034"/>
      <c r="K1034"/>
      <c r="L1034"/>
      <c r="M1034" s="16"/>
      <c r="N1034"/>
      <c r="O1034"/>
      <c r="P1034"/>
    </row>
    <row r="1035" spans="1:16" ht="15" x14ac:dyDescent="0.2">
      <c r="A1035"/>
      <c r="B1035"/>
      <c r="C1035"/>
      <c r="D1035"/>
      <c r="E1035"/>
      <c r="F1035"/>
      <c r="G1035"/>
      <c r="H1035"/>
      <c r="I1035"/>
      <c r="J1035"/>
      <c r="K1035"/>
      <c r="L1035"/>
      <c r="M1035" s="16"/>
      <c r="N1035"/>
      <c r="O1035"/>
      <c r="P1035"/>
    </row>
    <row r="1036" spans="1:16" ht="15" x14ac:dyDescent="0.2">
      <c r="A1036"/>
      <c r="B1036"/>
      <c r="C1036"/>
      <c r="D1036"/>
      <c r="E1036"/>
      <c r="F1036"/>
      <c r="G1036"/>
      <c r="H1036"/>
      <c r="I1036"/>
      <c r="J1036"/>
      <c r="K1036"/>
      <c r="L1036"/>
      <c r="M1036" s="16"/>
      <c r="N1036"/>
      <c r="O1036"/>
      <c r="P1036"/>
    </row>
    <row r="1037" spans="1:16" ht="15" x14ac:dyDescent="0.2">
      <c r="A1037"/>
      <c r="B1037"/>
      <c r="C1037"/>
      <c r="D1037"/>
      <c r="E1037"/>
      <c r="F1037"/>
      <c r="G1037"/>
      <c r="H1037"/>
      <c r="I1037"/>
      <c r="J1037"/>
      <c r="K1037"/>
      <c r="L1037"/>
      <c r="M1037" s="16"/>
      <c r="N1037"/>
      <c r="O1037"/>
      <c r="P1037"/>
    </row>
    <row r="1038" spans="1:16" ht="15" x14ac:dyDescent="0.2">
      <c r="A1038"/>
      <c r="B1038"/>
      <c r="C1038"/>
      <c r="D1038"/>
      <c r="E1038"/>
      <c r="F1038"/>
      <c r="G1038"/>
      <c r="H1038"/>
      <c r="I1038"/>
      <c r="J1038"/>
      <c r="K1038"/>
      <c r="L1038"/>
      <c r="M1038" s="16"/>
      <c r="N1038"/>
      <c r="O1038"/>
      <c r="P1038"/>
    </row>
    <row r="1039" spans="1:16" ht="15" x14ac:dyDescent="0.2">
      <c r="A1039"/>
      <c r="B1039"/>
      <c r="C1039"/>
      <c r="D1039"/>
      <c r="E1039"/>
      <c r="F1039"/>
      <c r="G1039"/>
      <c r="H1039"/>
      <c r="I1039"/>
      <c r="J1039"/>
      <c r="K1039"/>
      <c r="L1039"/>
      <c r="M1039" s="16"/>
      <c r="N1039"/>
      <c r="O1039"/>
      <c r="P1039"/>
    </row>
    <row r="1040" spans="1:16" ht="15" x14ac:dyDescent="0.2">
      <c r="A1040"/>
      <c r="B1040"/>
      <c r="C1040"/>
      <c r="D1040"/>
      <c r="E1040"/>
      <c r="F1040"/>
      <c r="G1040"/>
      <c r="H1040"/>
      <c r="I1040"/>
      <c r="J1040"/>
      <c r="K1040"/>
      <c r="L1040"/>
      <c r="M1040" s="16"/>
      <c r="N1040"/>
      <c r="O1040"/>
      <c r="P1040"/>
    </row>
    <row r="1041" spans="1:16" ht="15" x14ac:dyDescent="0.2">
      <c r="A1041"/>
      <c r="B1041"/>
      <c r="C1041"/>
      <c r="D1041"/>
      <c r="E1041"/>
      <c r="F1041"/>
      <c r="G1041"/>
      <c r="H1041"/>
      <c r="I1041"/>
      <c r="J1041"/>
      <c r="K1041"/>
      <c r="L1041"/>
      <c r="M1041" s="16"/>
      <c r="N1041"/>
      <c r="O1041"/>
      <c r="P1041"/>
    </row>
    <row r="1042" spans="1:16" ht="15" x14ac:dyDescent="0.2">
      <c r="A1042"/>
      <c r="B1042"/>
      <c r="C1042"/>
      <c r="D1042"/>
      <c r="E1042"/>
      <c r="F1042"/>
      <c r="G1042"/>
      <c r="H1042"/>
      <c r="I1042"/>
      <c r="J1042"/>
      <c r="K1042"/>
      <c r="L1042"/>
      <c r="M1042" s="16"/>
      <c r="N1042"/>
      <c r="O1042"/>
      <c r="P1042"/>
    </row>
    <row r="1043" spans="1:16" ht="15" x14ac:dyDescent="0.2">
      <c r="A1043"/>
      <c r="B1043"/>
      <c r="C1043"/>
      <c r="D1043"/>
      <c r="E1043"/>
      <c r="F1043"/>
      <c r="G1043"/>
      <c r="H1043"/>
      <c r="I1043"/>
      <c r="J1043"/>
      <c r="K1043"/>
      <c r="L1043"/>
      <c r="M1043" s="16"/>
      <c r="N1043"/>
      <c r="O1043"/>
      <c r="P1043"/>
    </row>
    <row r="1044" spans="1:16" ht="15" x14ac:dyDescent="0.2">
      <c r="A1044"/>
      <c r="B1044"/>
      <c r="C1044"/>
      <c r="D1044"/>
      <c r="E1044"/>
      <c r="F1044"/>
      <c r="G1044"/>
      <c r="H1044"/>
      <c r="I1044"/>
      <c r="J1044"/>
      <c r="K1044"/>
      <c r="L1044"/>
      <c r="M1044" s="16"/>
      <c r="N1044"/>
      <c r="O1044"/>
      <c r="P1044"/>
    </row>
    <row r="1045" spans="1:16" ht="15" x14ac:dyDescent="0.2">
      <c r="A1045"/>
      <c r="B1045"/>
      <c r="C1045"/>
      <c r="D1045"/>
      <c r="E1045"/>
      <c r="F1045"/>
      <c r="G1045"/>
      <c r="H1045"/>
      <c r="I1045"/>
      <c r="J1045"/>
      <c r="K1045"/>
      <c r="L1045"/>
      <c r="M1045" s="16"/>
      <c r="N1045"/>
      <c r="O1045"/>
      <c r="P1045"/>
    </row>
    <row r="1046" spans="1:16" ht="15" x14ac:dyDescent="0.2">
      <c r="A1046"/>
      <c r="B1046"/>
      <c r="C1046"/>
      <c r="D1046"/>
      <c r="E1046"/>
      <c r="F1046"/>
      <c r="G1046"/>
      <c r="H1046"/>
      <c r="I1046"/>
      <c r="J1046"/>
      <c r="K1046"/>
      <c r="L1046"/>
      <c r="M1046" s="16"/>
      <c r="N1046"/>
      <c r="O1046"/>
      <c r="P1046"/>
    </row>
    <row r="1047" spans="1:16" ht="15" x14ac:dyDescent="0.2">
      <c r="A1047"/>
      <c r="B1047"/>
      <c r="C1047"/>
      <c r="D1047"/>
      <c r="E1047"/>
      <c r="F1047"/>
      <c r="G1047"/>
      <c r="H1047"/>
      <c r="I1047"/>
      <c r="J1047"/>
      <c r="K1047"/>
      <c r="L1047"/>
      <c r="M1047" s="16"/>
      <c r="N1047"/>
      <c r="O1047"/>
      <c r="P1047"/>
    </row>
    <row r="1048" spans="1:16" ht="15" x14ac:dyDescent="0.2">
      <c r="A1048"/>
      <c r="B1048"/>
      <c r="C1048"/>
      <c r="D1048"/>
      <c r="E1048"/>
      <c r="F1048"/>
      <c r="G1048"/>
      <c r="H1048"/>
      <c r="I1048"/>
      <c r="J1048"/>
      <c r="K1048"/>
      <c r="L1048"/>
      <c r="M1048" s="16"/>
      <c r="N1048"/>
      <c r="O1048"/>
      <c r="P1048"/>
    </row>
    <row r="1049" spans="1:16" ht="15" x14ac:dyDescent="0.2">
      <c r="A1049"/>
      <c r="B1049"/>
      <c r="C1049"/>
      <c r="D1049"/>
      <c r="E1049"/>
      <c r="F1049"/>
      <c r="G1049"/>
      <c r="H1049"/>
      <c r="I1049"/>
      <c r="J1049"/>
      <c r="K1049"/>
      <c r="L1049"/>
      <c r="M1049" s="16"/>
      <c r="N1049"/>
      <c r="O1049"/>
      <c r="P1049"/>
    </row>
    <row r="1050" spans="1:16" ht="15" x14ac:dyDescent="0.2">
      <c r="A1050"/>
      <c r="B1050"/>
      <c r="C1050"/>
      <c r="D1050"/>
      <c r="E1050"/>
      <c r="F1050"/>
      <c r="G1050"/>
      <c r="H1050"/>
      <c r="I1050"/>
      <c r="J1050"/>
      <c r="K1050"/>
      <c r="L1050"/>
      <c r="M1050" s="16"/>
      <c r="N1050"/>
      <c r="O1050"/>
      <c r="P1050"/>
    </row>
    <row r="1051" spans="1:16" ht="15" x14ac:dyDescent="0.2">
      <c r="A1051"/>
      <c r="B1051"/>
      <c r="C1051"/>
      <c r="D1051"/>
      <c r="E1051"/>
      <c r="F1051"/>
      <c r="G1051"/>
      <c r="H1051"/>
      <c r="I1051"/>
      <c r="J1051"/>
      <c r="K1051"/>
      <c r="L1051"/>
      <c r="M1051" s="16"/>
      <c r="N1051"/>
      <c r="O1051"/>
      <c r="P1051"/>
    </row>
    <row r="1052" spans="1:16" ht="15" x14ac:dyDescent="0.2">
      <c r="A1052"/>
      <c r="B1052"/>
      <c r="C1052"/>
      <c r="D1052"/>
      <c r="E1052"/>
      <c r="F1052"/>
      <c r="G1052"/>
      <c r="H1052"/>
      <c r="I1052"/>
      <c r="J1052"/>
      <c r="K1052"/>
      <c r="L1052"/>
      <c r="M1052" s="16"/>
      <c r="N1052"/>
      <c r="O1052"/>
      <c r="P1052"/>
    </row>
    <row r="1053" spans="1:16" ht="15" x14ac:dyDescent="0.2">
      <c r="A1053"/>
      <c r="B1053"/>
      <c r="C1053"/>
      <c r="D1053"/>
      <c r="E1053"/>
      <c r="F1053"/>
      <c r="G1053"/>
      <c r="H1053"/>
      <c r="I1053"/>
      <c r="J1053"/>
      <c r="K1053"/>
      <c r="L1053"/>
      <c r="M1053" s="16"/>
      <c r="N1053"/>
      <c r="O1053"/>
      <c r="P1053"/>
    </row>
    <row r="1054" spans="1:16" ht="15" x14ac:dyDescent="0.2">
      <c r="A1054"/>
      <c r="B1054"/>
      <c r="C1054"/>
      <c r="D1054"/>
      <c r="E1054"/>
      <c r="F1054"/>
      <c r="G1054"/>
      <c r="H1054"/>
      <c r="I1054"/>
      <c r="J1054"/>
      <c r="K1054"/>
      <c r="L1054"/>
      <c r="M1054" s="16"/>
      <c r="N1054"/>
      <c r="O1054"/>
      <c r="P1054"/>
    </row>
    <row r="1055" spans="1:16" ht="15" x14ac:dyDescent="0.2">
      <c r="A1055"/>
      <c r="B1055"/>
      <c r="C1055"/>
      <c r="D1055"/>
      <c r="E1055"/>
      <c r="F1055"/>
      <c r="G1055"/>
      <c r="H1055"/>
      <c r="I1055"/>
      <c r="J1055"/>
      <c r="K1055"/>
      <c r="L1055"/>
      <c r="M1055" s="16"/>
      <c r="N1055"/>
      <c r="O1055"/>
      <c r="P1055"/>
    </row>
    <row r="1056" spans="1:16" ht="15" x14ac:dyDescent="0.2">
      <c r="A1056"/>
      <c r="B1056"/>
      <c r="C1056"/>
      <c r="D1056"/>
      <c r="E1056"/>
      <c r="F1056"/>
      <c r="G1056"/>
      <c r="H1056"/>
      <c r="I1056"/>
      <c r="J1056"/>
      <c r="K1056"/>
      <c r="L1056"/>
      <c r="M1056" s="16"/>
      <c r="N1056"/>
      <c r="O1056"/>
      <c r="P1056"/>
    </row>
    <row r="1057" spans="1:16" ht="15" x14ac:dyDescent="0.2">
      <c r="A1057"/>
      <c r="B1057"/>
      <c r="C1057"/>
      <c r="D1057"/>
      <c r="E1057"/>
      <c r="F1057"/>
      <c r="G1057"/>
      <c r="H1057"/>
      <c r="I1057"/>
      <c r="J1057"/>
      <c r="K1057"/>
      <c r="L1057"/>
      <c r="M1057" s="16"/>
      <c r="N1057"/>
      <c r="O1057"/>
      <c r="P1057"/>
    </row>
    <row r="1058" spans="1:16" ht="15" x14ac:dyDescent="0.2">
      <c r="A1058"/>
      <c r="B1058"/>
      <c r="C1058"/>
      <c r="D1058"/>
      <c r="E1058"/>
      <c r="F1058"/>
      <c r="G1058"/>
      <c r="H1058"/>
      <c r="I1058"/>
      <c r="J1058"/>
      <c r="K1058"/>
      <c r="L1058"/>
      <c r="M1058" s="16"/>
      <c r="N1058"/>
      <c r="O1058"/>
      <c r="P1058"/>
    </row>
    <row r="1059" spans="1:16" ht="15" x14ac:dyDescent="0.2">
      <c r="A1059"/>
      <c r="B1059"/>
      <c r="C1059"/>
      <c r="D1059"/>
      <c r="E1059"/>
      <c r="F1059"/>
      <c r="G1059"/>
      <c r="H1059"/>
      <c r="I1059"/>
      <c r="J1059"/>
      <c r="K1059"/>
      <c r="L1059"/>
      <c r="M1059" s="16"/>
      <c r="N1059"/>
      <c r="O1059"/>
      <c r="P1059"/>
    </row>
    <row r="1060" spans="1:16" ht="15" x14ac:dyDescent="0.2">
      <c r="A1060"/>
      <c r="B1060"/>
      <c r="C1060"/>
      <c r="D1060"/>
      <c r="E1060"/>
      <c r="F1060"/>
      <c r="G1060"/>
      <c r="H1060"/>
      <c r="I1060"/>
      <c r="J1060"/>
      <c r="K1060"/>
      <c r="L1060"/>
      <c r="M1060" s="16"/>
      <c r="N1060"/>
      <c r="O1060"/>
      <c r="P1060"/>
    </row>
    <row r="1061" spans="1:16" ht="15" x14ac:dyDescent="0.2">
      <c r="A1061"/>
      <c r="B1061"/>
      <c r="C1061"/>
      <c r="D1061"/>
      <c r="E1061"/>
      <c r="F1061"/>
      <c r="G1061"/>
      <c r="H1061"/>
      <c r="I1061"/>
      <c r="J1061"/>
      <c r="K1061"/>
      <c r="L1061"/>
      <c r="M1061" s="16"/>
      <c r="N1061"/>
      <c r="O1061"/>
      <c r="P1061"/>
    </row>
    <row r="1062" spans="1:16" ht="15" x14ac:dyDescent="0.2">
      <c r="A1062"/>
      <c r="B1062"/>
      <c r="C1062"/>
      <c r="D1062"/>
      <c r="E1062"/>
      <c r="F1062"/>
      <c r="G1062"/>
      <c r="H1062"/>
      <c r="I1062"/>
      <c r="J1062"/>
      <c r="K1062"/>
      <c r="L1062"/>
      <c r="M1062" s="16"/>
      <c r="N1062"/>
      <c r="O1062"/>
      <c r="P1062"/>
    </row>
    <row r="1063" spans="1:16" ht="15" x14ac:dyDescent="0.2">
      <c r="A1063"/>
      <c r="B1063"/>
      <c r="C1063"/>
      <c r="D1063"/>
      <c r="E1063"/>
      <c r="F1063"/>
      <c r="G1063"/>
      <c r="H1063"/>
      <c r="I1063"/>
      <c r="J1063"/>
      <c r="K1063"/>
      <c r="L1063"/>
      <c r="M1063" s="16"/>
      <c r="N1063"/>
      <c r="O1063"/>
      <c r="P1063"/>
    </row>
    <row r="1064" spans="1:16" ht="15" x14ac:dyDescent="0.2">
      <c r="A1064"/>
      <c r="B1064"/>
      <c r="C1064"/>
      <c r="D1064"/>
      <c r="E1064"/>
      <c r="F1064"/>
      <c r="G1064"/>
      <c r="H1064"/>
      <c r="I1064"/>
      <c r="J1064"/>
      <c r="K1064"/>
      <c r="L1064"/>
      <c r="M1064" s="16"/>
      <c r="N1064"/>
      <c r="O1064"/>
      <c r="P1064"/>
    </row>
    <row r="1065" spans="1:16" ht="15" x14ac:dyDescent="0.2">
      <c r="A1065"/>
      <c r="B1065"/>
      <c r="C1065"/>
      <c r="D1065"/>
      <c r="E1065"/>
      <c r="F1065"/>
      <c r="G1065"/>
      <c r="H1065"/>
      <c r="I1065"/>
      <c r="J1065"/>
      <c r="K1065"/>
      <c r="L1065"/>
      <c r="M1065" s="16"/>
      <c r="N1065"/>
      <c r="O1065"/>
      <c r="P1065"/>
    </row>
    <row r="1066" spans="1:16" ht="15" x14ac:dyDescent="0.2">
      <c r="A1066"/>
      <c r="B1066"/>
      <c r="C1066"/>
      <c r="D1066"/>
      <c r="E1066"/>
      <c r="F1066"/>
      <c r="G1066"/>
      <c r="H1066"/>
      <c r="I1066"/>
      <c r="J1066"/>
      <c r="K1066"/>
      <c r="L1066"/>
      <c r="M1066" s="16"/>
      <c r="N1066"/>
      <c r="O1066"/>
      <c r="P1066"/>
    </row>
    <row r="1067" spans="1:16" ht="15" x14ac:dyDescent="0.2">
      <c r="A1067"/>
      <c r="B1067"/>
      <c r="C1067"/>
      <c r="D1067"/>
      <c r="E1067"/>
      <c r="F1067"/>
      <c r="G1067"/>
      <c r="H1067"/>
      <c r="I1067"/>
      <c r="J1067"/>
      <c r="K1067"/>
      <c r="L1067"/>
      <c r="M1067" s="16"/>
      <c r="N1067"/>
      <c r="O1067"/>
      <c r="P1067"/>
    </row>
    <row r="1068" spans="1:16" ht="15" x14ac:dyDescent="0.2">
      <c r="A1068"/>
      <c r="B1068"/>
      <c r="C1068"/>
      <c r="D1068"/>
      <c r="E1068"/>
      <c r="F1068"/>
      <c r="G1068"/>
      <c r="H1068"/>
      <c r="I1068"/>
      <c r="J1068"/>
      <c r="K1068"/>
      <c r="L1068"/>
      <c r="M1068" s="16"/>
      <c r="N1068"/>
      <c r="O1068"/>
      <c r="P1068"/>
    </row>
    <row r="1069" spans="1:16" ht="15" x14ac:dyDescent="0.2">
      <c r="A1069"/>
      <c r="B1069"/>
      <c r="C1069"/>
      <c r="D1069"/>
      <c r="E1069"/>
      <c r="F1069"/>
      <c r="G1069"/>
      <c r="H1069"/>
      <c r="I1069"/>
      <c r="J1069"/>
      <c r="K1069"/>
      <c r="L1069"/>
      <c r="M1069" s="16"/>
      <c r="N1069"/>
      <c r="O1069"/>
      <c r="P1069"/>
    </row>
    <row r="1070" spans="1:16" ht="15" x14ac:dyDescent="0.2">
      <c r="A1070"/>
      <c r="B1070"/>
      <c r="C1070"/>
      <c r="D1070"/>
      <c r="E1070"/>
      <c r="F1070"/>
      <c r="G1070"/>
      <c r="H1070"/>
      <c r="I1070"/>
      <c r="J1070"/>
      <c r="K1070"/>
      <c r="L1070"/>
      <c r="M1070" s="16"/>
      <c r="N1070"/>
      <c r="O1070"/>
      <c r="P1070"/>
    </row>
    <row r="1071" spans="1:16" ht="15" x14ac:dyDescent="0.2">
      <c r="A1071"/>
      <c r="B1071"/>
      <c r="C1071"/>
      <c r="D1071"/>
      <c r="E1071"/>
      <c r="F1071"/>
      <c r="G1071"/>
      <c r="H1071"/>
      <c r="I1071"/>
      <c r="J1071"/>
      <c r="K1071"/>
      <c r="L1071"/>
      <c r="M1071" s="16"/>
      <c r="N1071"/>
      <c r="O1071"/>
      <c r="P1071"/>
    </row>
    <row r="1072" spans="1:16" ht="15" x14ac:dyDescent="0.2">
      <c r="A1072"/>
      <c r="B1072"/>
      <c r="C1072"/>
      <c r="D1072"/>
      <c r="E1072"/>
      <c r="F1072"/>
      <c r="G1072"/>
      <c r="H1072"/>
      <c r="I1072"/>
      <c r="J1072"/>
      <c r="K1072"/>
      <c r="L1072"/>
      <c r="M1072" s="16"/>
      <c r="N1072"/>
      <c r="O1072"/>
      <c r="P1072"/>
    </row>
    <row r="1073" spans="1:16" ht="15" x14ac:dyDescent="0.2">
      <c r="A1073"/>
      <c r="B1073"/>
      <c r="C1073"/>
      <c r="D1073"/>
      <c r="E1073"/>
      <c r="F1073"/>
      <c r="G1073"/>
      <c r="H1073"/>
      <c r="I1073"/>
      <c r="J1073"/>
      <c r="K1073"/>
      <c r="L1073"/>
      <c r="M1073" s="16"/>
      <c r="N1073"/>
      <c r="O1073"/>
      <c r="P1073"/>
    </row>
    <row r="1074" spans="1:16" ht="15" x14ac:dyDescent="0.2">
      <c r="A1074"/>
      <c r="B1074"/>
      <c r="C1074"/>
      <c r="D1074"/>
      <c r="E1074"/>
      <c r="F1074"/>
      <c r="G1074"/>
      <c r="H1074"/>
      <c r="I1074"/>
      <c r="J1074"/>
      <c r="K1074"/>
      <c r="L1074"/>
      <c r="M1074" s="16"/>
      <c r="N1074"/>
      <c r="O1074"/>
      <c r="P1074"/>
    </row>
    <row r="1075" spans="1:16" ht="15" x14ac:dyDescent="0.2">
      <c r="A1075"/>
      <c r="B1075"/>
      <c r="C1075"/>
      <c r="D1075"/>
      <c r="E1075"/>
      <c r="F1075"/>
      <c r="G1075"/>
      <c r="H1075"/>
      <c r="I1075"/>
      <c r="J1075"/>
      <c r="K1075"/>
      <c r="L1075"/>
      <c r="M1075" s="16"/>
      <c r="N1075"/>
      <c r="O1075"/>
      <c r="P1075"/>
    </row>
    <row r="1076" spans="1:16" ht="15" x14ac:dyDescent="0.2">
      <c r="A1076"/>
      <c r="B1076"/>
      <c r="C1076"/>
      <c r="D1076"/>
      <c r="E1076"/>
      <c r="F1076"/>
      <c r="G1076"/>
      <c r="H1076"/>
      <c r="I1076"/>
      <c r="J1076"/>
      <c r="K1076"/>
      <c r="L1076"/>
      <c r="M1076" s="16"/>
      <c r="N1076"/>
      <c r="O1076"/>
      <c r="P1076"/>
    </row>
    <row r="1077" spans="1:16" ht="15" x14ac:dyDescent="0.2">
      <c r="A1077"/>
      <c r="B1077"/>
      <c r="C1077"/>
      <c r="D1077"/>
      <c r="E1077"/>
      <c r="F1077"/>
      <c r="G1077"/>
      <c r="H1077"/>
      <c r="I1077"/>
      <c r="J1077"/>
      <c r="K1077"/>
      <c r="L1077"/>
      <c r="M1077" s="16"/>
      <c r="N1077"/>
      <c r="O1077"/>
      <c r="P1077"/>
    </row>
    <row r="1078" spans="1:16" ht="15" x14ac:dyDescent="0.2">
      <c r="A1078"/>
      <c r="B1078"/>
      <c r="C1078"/>
      <c r="D1078"/>
      <c r="E1078"/>
      <c r="F1078"/>
      <c r="G1078"/>
      <c r="H1078"/>
      <c r="I1078"/>
      <c r="J1078"/>
      <c r="K1078"/>
      <c r="L1078"/>
      <c r="M1078" s="16"/>
      <c r="N1078"/>
      <c r="O1078"/>
      <c r="P1078"/>
    </row>
    <row r="1079" spans="1:16" ht="15" x14ac:dyDescent="0.2">
      <c r="A1079"/>
      <c r="B1079"/>
      <c r="C1079"/>
      <c r="D1079"/>
      <c r="E1079"/>
      <c r="F1079"/>
      <c r="G1079"/>
      <c r="H1079"/>
      <c r="I1079"/>
      <c r="J1079"/>
      <c r="K1079"/>
      <c r="L1079"/>
      <c r="M1079" s="16"/>
      <c r="N1079"/>
      <c r="O1079"/>
      <c r="P1079"/>
    </row>
    <row r="1080" spans="1:16" ht="15" x14ac:dyDescent="0.2">
      <c r="A1080"/>
      <c r="B1080"/>
      <c r="C1080"/>
      <c r="D1080"/>
      <c r="E1080"/>
      <c r="F1080"/>
      <c r="G1080"/>
      <c r="H1080"/>
      <c r="I1080"/>
      <c r="J1080"/>
      <c r="K1080"/>
      <c r="L1080"/>
      <c r="M1080" s="16"/>
      <c r="N1080"/>
      <c r="O1080"/>
      <c r="P1080"/>
    </row>
    <row r="1081" spans="1:16" ht="15" x14ac:dyDescent="0.2">
      <c r="A1081"/>
      <c r="B1081"/>
      <c r="C1081"/>
      <c r="D1081"/>
      <c r="E1081"/>
      <c r="F1081"/>
      <c r="G1081"/>
      <c r="H1081"/>
      <c r="I1081"/>
      <c r="J1081"/>
      <c r="K1081"/>
      <c r="L1081"/>
      <c r="M1081" s="16"/>
      <c r="N1081"/>
      <c r="O1081"/>
      <c r="P1081"/>
    </row>
    <row r="1082" spans="1:16" ht="15" x14ac:dyDescent="0.2">
      <c r="A1082"/>
      <c r="B1082"/>
      <c r="C1082"/>
      <c r="D1082"/>
      <c r="E1082"/>
      <c r="F1082"/>
      <c r="G1082"/>
      <c r="H1082"/>
      <c r="I1082"/>
      <c r="J1082"/>
      <c r="K1082"/>
      <c r="L1082"/>
      <c r="M1082" s="16"/>
      <c r="N1082"/>
      <c r="O1082"/>
      <c r="P1082"/>
    </row>
    <row r="1083" spans="1:16" ht="15" x14ac:dyDescent="0.2">
      <c r="A1083"/>
      <c r="B1083"/>
      <c r="C1083"/>
      <c r="D1083"/>
      <c r="E1083"/>
      <c r="F1083"/>
      <c r="G1083"/>
      <c r="H1083"/>
      <c r="I1083"/>
      <c r="J1083"/>
      <c r="K1083"/>
      <c r="L1083"/>
      <c r="M1083" s="16"/>
      <c r="N1083"/>
      <c r="O1083"/>
      <c r="P1083"/>
    </row>
    <row r="1084" spans="1:16" ht="15" x14ac:dyDescent="0.2">
      <c r="A1084"/>
      <c r="B1084"/>
      <c r="C1084"/>
      <c r="D1084"/>
      <c r="E1084"/>
      <c r="F1084"/>
      <c r="G1084"/>
      <c r="H1084"/>
      <c r="I1084"/>
      <c r="J1084"/>
      <c r="K1084"/>
      <c r="L1084"/>
      <c r="M1084" s="16"/>
      <c r="N1084"/>
      <c r="O1084"/>
      <c r="P1084"/>
    </row>
    <row r="1085" spans="1:16" ht="15" x14ac:dyDescent="0.2">
      <c r="A1085"/>
      <c r="B1085"/>
      <c r="C1085"/>
      <c r="D1085"/>
      <c r="E1085"/>
      <c r="F1085"/>
      <c r="G1085"/>
      <c r="H1085"/>
      <c r="I1085"/>
      <c r="J1085"/>
      <c r="K1085"/>
      <c r="L1085"/>
      <c r="M1085" s="16"/>
      <c r="N1085"/>
      <c r="O1085"/>
      <c r="P1085"/>
    </row>
    <row r="1086" spans="1:16" ht="15" x14ac:dyDescent="0.2">
      <c r="A1086"/>
      <c r="B1086"/>
      <c r="C1086"/>
      <c r="D1086"/>
      <c r="E1086"/>
      <c r="F1086"/>
      <c r="G1086"/>
      <c r="H1086"/>
      <c r="I1086"/>
      <c r="J1086"/>
      <c r="K1086"/>
      <c r="L1086"/>
      <c r="M1086" s="16"/>
      <c r="N1086"/>
      <c r="O1086"/>
      <c r="P1086"/>
    </row>
    <row r="1087" spans="1:16" ht="15" x14ac:dyDescent="0.2">
      <c r="A1087"/>
      <c r="B1087"/>
      <c r="C1087"/>
      <c r="D1087"/>
      <c r="E1087"/>
      <c r="F1087"/>
      <c r="G1087"/>
      <c r="H1087"/>
      <c r="I1087"/>
      <c r="J1087"/>
      <c r="K1087"/>
      <c r="L1087"/>
      <c r="M1087" s="16"/>
      <c r="N1087"/>
      <c r="O1087"/>
      <c r="P1087"/>
    </row>
    <row r="1088" spans="1:16" ht="15" x14ac:dyDescent="0.2">
      <c r="A1088"/>
      <c r="B1088"/>
      <c r="C1088"/>
      <c r="D1088"/>
      <c r="E1088"/>
      <c r="F1088"/>
      <c r="G1088"/>
      <c r="H1088"/>
      <c r="I1088"/>
      <c r="J1088"/>
      <c r="K1088"/>
      <c r="L1088"/>
      <c r="M1088" s="16"/>
      <c r="N1088"/>
      <c r="O1088"/>
      <c r="P1088"/>
    </row>
    <row r="1089" spans="1:16" ht="15" x14ac:dyDescent="0.2">
      <c r="A1089"/>
      <c r="B1089"/>
      <c r="C1089"/>
      <c r="D1089"/>
      <c r="E1089"/>
      <c r="F1089"/>
      <c r="G1089"/>
      <c r="H1089"/>
      <c r="I1089"/>
      <c r="J1089"/>
      <c r="K1089"/>
      <c r="L1089"/>
      <c r="M1089" s="16"/>
      <c r="N1089"/>
      <c r="O1089"/>
      <c r="P1089"/>
    </row>
    <row r="1090" spans="1:16" ht="15" x14ac:dyDescent="0.2">
      <c r="A1090"/>
      <c r="B1090"/>
      <c r="C1090"/>
      <c r="D1090"/>
      <c r="E1090"/>
      <c r="F1090"/>
      <c r="G1090"/>
      <c r="H1090"/>
      <c r="I1090"/>
      <c r="J1090"/>
      <c r="K1090"/>
      <c r="L1090"/>
      <c r="M1090" s="16"/>
      <c r="N1090"/>
      <c r="O1090"/>
      <c r="P1090"/>
    </row>
    <row r="1091" spans="1:16" ht="15" x14ac:dyDescent="0.2">
      <c r="A1091"/>
      <c r="B1091"/>
      <c r="C1091"/>
      <c r="D1091"/>
      <c r="E1091"/>
      <c r="F1091"/>
      <c r="G1091"/>
      <c r="H1091"/>
      <c r="I1091"/>
      <c r="J1091"/>
      <c r="K1091"/>
      <c r="L1091"/>
      <c r="M1091" s="16"/>
      <c r="N1091"/>
      <c r="O1091"/>
      <c r="P1091"/>
    </row>
    <row r="1092" spans="1:16" ht="15" x14ac:dyDescent="0.2">
      <c r="A1092"/>
      <c r="B1092"/>
      <c r="C1092"/>
      <c r="D1092"/>
      <c r="E1092"/>
      <c r="F1092"/>
      <c r="G1092"/>
      <c r="H1092"/>
      <c r="I1092"/>
      <c r="J1092"/>
      <c r="K1092"/>
      <c r="L1092"/>
      <c r="M1092" s="16"/>
      <c r="N1092"/>
      <c r="O1092"/>
      <c r="P1092"/>
    </row>
    <row r="1093" spans="1:16" ht="15" x14ac:dyDescent="0.2">
      <c r="A1093"/>
      <c r="B1093"/>
      <c r="C1093"/>
      <c r="D1093"/>
      <c r="E1093"/>
      <c r="F1093"/>
      <c r="G1093"/>
      <c r="H1093"/>
      <c r="I1093"/>
      <c r="J1093"/>
      <c r="K1093"/>
      <c r="L1093"/>
      <c r="M1093" s="16"/>
      <c r="N1093"/>
      <c r="O1093"/>
      <c r="P1093"/>
    </row>
    <row r="1094" spans="1:16" ht="15" x14ac:dyDescent="0.2">
      <c r="A1094"/>
      <c r="B1094"/>
      <c r="C1094"/>
      <c r="D1094"/>
      <c r="E1094"/>
      <c r="F1094"/>
      <c r="G1094"/>
      <c r="H1094"/>
      <c r="I1094"/>
      <c r="J1094"/>
      <c r="K1094"/>
      <c r="L1094"/>
      <c r="M1094" s="16"/>
      <c r="N1094"/>
      <c r="O1094"/>
      <c r="P1094"/>
    </row>
    <row r="1095" spans="1:16" ht="15" x14ac:dyDescent="0.2">
      <c r="A1095"/>
      <c r="B1095"/>
      <c r="C1095"/>
      <c r="D1095"/>
      <c r="E1095"/>
      <c r="F1095"/>
      <c r="G1095"/>
      <c r="H1095"/>
      <c r="I1095"/>
      <c r="J1095"/>
      <c r="K1095"/>
      <c r="L1095"/>
      <c r="M1095" s="16"/>
      <c r="N1095"/>
      <c r="O1095"/>
      <c r="P1095"/>
    </row>
    <row r="1096" spans="1:16" ht="15" x14ac:dyDescent="0.2">
      <c r="A1096"/>
      <c r="B1096"/>
      <c r="C1096"/>
      <c r="D1096"/>
      <c r="E1096"/>
      <c r="F1096"/>
      <c r="G1096"/>
      <c r="H1096"/>
      <c r="I1096"/>
      <c r="J1096"/>
      <c r="K1096"/>
      <c r="L1096"/>
      <c r="M1096" s="16"/>
      <c r="N1096"/>
      <c r="O1096"/>
      <c r="P1096"/>
    </row>
    <row r="1097" spans="1:16" ht="15" x14ac:dyDescent="0.2">
      <c r="A1097"/>
      <c r="B1097"/>
      <c r="C1097"/>
      <c r="D1097"/>
      <c r="E1097"/>
      <c r="F1097"/>
      <c r="G1097"/>
      <c r="H1097"/>
      <c r="I1097"/>
      <c r="J1097"/>
      <c r="K1097"/>
      <c r="L1097"/>
      <c r="M1097" s="16"/>
      <c r="N1097"/>
      <c r="O1097"/>
      <c r="P1097"/>
    </row>
    <row r="1098" spans="1:16" ht="15" x14ac:dyDescent="0.2">
      <c r="A1098"/>
      <c r="B1098"/>
      <c r="C1098"/>
      <c r="D1098"/>
      <c r="E1098"/>
      <c r="F1098"/>
      <c r="G1098"/>
      <c r="H1098"/>
      <c r="I1098"/>
      <c r="J1098"/>
      <c r="K1098"/>
      <c r="L1098"/>
      <c r="M1098" s="16"/>
      <c r="N1098"/>
      <c r="O1098"/>
      <c r="P1098"/>
    </row>
    <row r="1099" spans="1:16" ht="15" x14ac:dyDescent="0.2">
      <c r="A1099"/>
      <c r="B1099"/>
      <c r="C1099"/>
      <c r="D1099"/>
      <c r="E1099"/>
      <c r="F1099"/>
      <c r="G1099"/>
      <c r="H1099"/>
      <c r="I1099"/>
      <c r="J1099"/>
      <c r="K1099"/>
      <c r="L1099"/>
      <c r="M1099" s="16"/>
      <c r="N1099"/>
      <c r="O1099"/>
      <c r="P1099"/>
    </row>
    <row r="1100" spans="1:16" ht="15" x14ac:dyDescent="0.2">
      <c r="A1100"/>
      <c r="B1100"/>
      <c r="C1100"/>
      <c r="D1100"/>
      <c r="E1100"/>
      <c r="F1100"/>
      <c r="G1100"/>
      <c r="H1100"/>
      <c r="I1100"/>
      <c r="J1100"/>
      <c r="K1100"/>
      <c r="L1100"/>
      <c r="M1100" s="16"/>
      <c r="N1100"/>
      <c r="O1100"/>
      <c r="P1100"/>
    </row>
    <row r="1101" spans="1:16" ht="15" x14ac:dyDescent="0.2">
      <c r="A1101"/>
      <c r="B1101"/>
      <c r="C1101"/>
      <c r="D1101"/>
      <c r="E1101"/>
      <c r="F1101"/>
      <c r="G1101"/>
      <c r="H1101"/>
      <c r="I1101"/>
      <c r="J1101"/>
      <c r="K1101"/>
      <c r="L1101"/>
      <c r="M1101" s="16"/>
      <c r="N1101"/>
      <c r="O1101"/>
      <c r="P1101"/>
    </row>
    <row r="1102" spans="1:16" ht="15" x14ac:dyDescent="0.2">
      <c r="A1102"/>
      <c r="B1102"/>
      <c r="C1102"/>
      <c r="D1102"/>
      <c r="E1102"/>
      <c r="F1102"/>
      <c r="G1102"/>
      <c r="H1102"/>
      <c r="I1102"/>
      <c r="J1102"/>
      <c r="K1102"/>
      <c r="L1102"/>
      <c r="M1102" s="16"/>
      <c r="N1102"/>
      <c r="O1102"/>
      <c r="P1102"/>
    </row>
    <row r="1103" spans="1:16" ht="15" x14ac:dyDescent="0.2">
      <c r="A1103"/>
      <c r="B1103"/>
      <c r="C1103"/>
      <c r="D1103"/>
      <c r="E1103"/>
      <c r="F1103"/>
      <c r="G1103"/>
      <c r="H1103"/>
      <c r="I1103"/>
      <c r="J1103"/>
      <c r="K1103"/>
      <c r="L1103"/>
      <c r="M1103" s="16"/>
      <c r="N1103"/>
      <c r="O1103"/>
      <c r="P1103"/>
    </row>
    <row r="1104" spans="1:16" ht="15" x14ac:dyDescent="0.2">
      <c r="A1104"/>
      <c r="B1104"/>
      <c r="C1104"/>
      <c r="D1104"/>
      <c r="E1104"/>
      <c r="F1104"/>
      <c r="G1104"/>
      <c r="H1104"/>
      <c r="I1104"/>
      <c r="J1104"/>
      <c r="K1104"/>
      <c r="L1104"/>
      <c r="M1104" s="16"/>
      <c r="N1104"/>
      <c r="O1104"/>
      <c r="P1104"/>
    </row>
    <row r="1105" spans="1:16" ht="15" x14ac:dyDescent="0.2">
      <c r="A1105"/>
      <c r="B1105"/>
      <c r="C1105"/>
      <c r="D1105"/>
      <c r="E1105"/>
      <c r="F1105"/>
      <c r="G1105"/>
      <c r="H1105"/>
      <c r="I1105"/>
      <c r="J1105"/>
      <c r="K1105"/>
      <c r="L1105"/>
      <c r="M1105" s="16"/>
      <c r="N1105"/>
      <c r="O1105"/>
      <c r="P1105"/>
    </row>
    <row r="1106" spans="1:16" ht="15" x14ac:dyDescent="0.2">
      <c r="A1106"/>
      <c r="B1106"/>
      <c r="C1106"/>
      <c r="D1106"/>
      <c r="E1106"/>
      <c r="F1106"/>
      <c r="G1106"/>
      <c r="H1106"/>
      <c r="I1106"/>
      <c r="J1106"/>
      <c r="K1106"/>
      <c r="L1106"/>
      <c r="M1106" s="16"/>
      <c r="N1106"/>
      <c r="O1106"/>
      <c r="P1106"/>
    </row>
    <row r="1107" spans="1:16" ht="15" x14ac:dyDescent="0.2">
      <c r="A1107"/>
      <c r="B1107"/>
      <c r="C1107"/>
      <c r="D1107"/>
      <c r="E1107"/>
      <c r="F1107"/>
      <c r="G1107"/>
      <c r="H1107"/>
      <c r="I1107"/>
      <c r="J1107"/>
      <c r="K1107"/>
      <c r="L1107"/>
      <c r="M1107" s="16"/>
      <c r="N1107"/>
      <c r="O1107"/>
      <c r="P1107"/>
    </row>
    <row r="1108" spans="1:16" ht="15" x14ac:dyDescent="0.2">
      <c r="A1108"/>
      <c r="B1108"/>
      <c r="C1108"/>
      <c r="D1108"/>
      <c r="E1108"/>
      <c r="F1108"/>
      <c r="G1108"/>
      <c r="H1108"/>
      <c r="I1108"/>
      <c r="J1108"/>
      <c r="K1108"/>
      <c r="L1108"/>
      <c r="M1108" s="16"/>
      <c r="N1108"/>
      <c r="O1108"/>
      <c r="P1108"/>
    </row>
    <row r="1109" spans="1:16" ht="15" x14ac:dyDescent="0.2">
      <c r="A1109"/>
      <c r="B1109"/>
      <c r="C1109"/>
      <c r="D1109"/>
      <c r="E1109"/>
      <c r="F1109"/>
      <c r="G1109"/>
      <c r="H1109"/>
      <c r="I1109"/>
      <c r="J1109"/>
      <c r="K1109"/>
      <c r="L1109"/>
      <c r="M1109" s="16"/>
      <c r="N1109"/>
      <c r="O1109"/>
      <c r="P1109"/>
    </row>
    <row r="1110" spans="1:16" ht="15" x14ac:dyDescent="0.2">
      <c r="A1110"/>
      <c r="B1110"/>
      <c r="C1110"/>
      <c r="D1110"/>
      <c r="E1110"/>
      <c r="F1110"/>
      <c r="G1110"/>
      <c r="H1110"/>
      <c r="I1110"/>
      <c r="J1110"/>
      <c r="K1110"/>
      <c r="L1110"/>
      <c r="M1110" s="16"/>
      <c r="N1110"/>
      <c r="O1110"/>
      <c r="P1110"/>
    </row>
    <row r="1111" spans="1:16" ht="15" x14ac:dyDescent="0.2">
      <c r="A1111"/>
      <c r="B1111"/>
      <c r="C1111"/>
      <c r="D1111"/>
      <c r="E1111"/>
      <c r="F1111"/>
      <c r="G1111"/>
      <c r="H1111"/>
      <c r="I1111"/>
      <c r="J1111"/>
      <c r="K1111"/>
      <c r="L1111"/>
      <c r="M1111" s="16"/>
      <c r="N1111"/>
      <c r="O1111"/>
      <c r="P1111"/>
    </row>
    <row r="1112" spans="1:16" ht="15" x14ac:dyDescent="0.2">
      <c r="A1112"/>
      <c r="B1112"/>
      <c r="C1112"/>
      <c r="D1112"/>
      <c r="E1112"/>
      <c r="F1112"/>
      <c r="G1112"/>
      <c r="H1112"/>
      <c r="I1112"/>
      <c r="J1112"/>
      <c r="K1112"/>
      <c r="L1112"/>
      <c r="M1112" s="16"/>
      <c r="N1112"/>
      <c r="O1112"/>
      <c r="P1112"/>
    </row>
    <row r="1113" spans="1:16" ht="15" x14ac:dyDescent="0.2">
      <c r="A1113"/>
      <c r="B1113"/>
      <c r="C1113"/>
      <c r="D1113"/>
      <c r="E1113"/>
      <c r="F1113"/>
      <c r="G1113"/>
      <c r="H1113"/>
      <c r="I1113"/>
      <c r="J1113"/>
      <c r="K1113"/>
      <c r="L1113"/>
      <c r="M1113" s="16"/>
      <c r="N1113"/>
      <c r="O1113"/>
      <c r="P1113"/>
    </row>
    <row r="1114" spans="1:16" ht="15" x14ac:dyDescent="0.2">
      <c r="A1114"/>
      <c r="B1114"/>
      <c r="C1114"/>
      <c r="D1114"/>
      <c r="E1114"/>
      <c r="F1114"/>
      <c r="G1114"/>
      <c r="H1114"/>
      <c r="I1114"/>
      <c r="J1114"/>
      <c r="K1114"/>
      <c r="L1114"/>
      <c r="M1114" s="16"/>
      <c r="N1114"/>
      <c r="O1114"/>
      <c r="P1114"/>
    </row>
    <row r="1115" spans="1:16" ht="15" x14ac:dyDescent="0.2">
      <c r="A1115"/>
      <c r="B1115"/>
      <c r="C1115"/>
      <c r="D1115"/>
      <c r="E1115"/>
      <c r="F1115"/>
      <c r="G1115"/>
      <c r="H1115"/>
      <c r="I1115"/>
      <c r="J1115"/>
      <c r="K1115"/>
      <c r="L1115"/>
      <c r="M1115" s="16"/>
      <c r="N1115"/>
      <c r="O1115"/>
      <c r="P1115"/>
    </row>
    <row r="1116" spans="1:16" ht="15" x14ac:dyDescent="0.2">
      <c r="A1116"/>
      <c r="B1116"/>
      <c r="C1116"/>
      <c r="D1116"/>
      <c r="E1116"/>
      <c r="F1116"/>
      <c r="G1116"/>
      <c r="H1116"/>
      <c r="I1116"/>
      <c r="J1116"/>
      <c r="K1116"/>
      <c r="L1116"/>
      <c r="M1116" s="16"/>
      <c r="N1116"/>
      <c r="O1116"/>
      <c r="P1116"/>
    </row>
    <row r="1117" spans="1:16" ht="15" x14ac:dyDescent="0.2">
      <c r="A1117"/>
      <c r="B1117"/>
      <c r="C1117"/>
      <c r="D1117"/>
      <c r="E1117"/>
      <c r="F1117"/>
      <c r="G1117"/>
      <c r="H1117"/>
      <c r="I1117"/>
      <c r="J1117"/>
      <c r="K1117"/>
      <c r="L1117"/>
      <c r="M1117" s="16"/>
      <c r="N1117"/>
      <c r="O1117"/>
      <c r="P1117"/>
    </row>
    <row r="1118" spans="1:16" ht="15" x14ac:dyDescent="0.2">
      <c r="A1118"/>
      <c r="B1118"/>
      <c r="C1118"/>
      <c r="D1118"/>
      <c r="E1118"/>
      <c r="F1118"/>
      <c r="G1118"/>
      <c r="H1118"/>
      <c r="I1118"/>
      <c r="J1118"/>
      <c r="K1118"/>
      <c r="L1118"/>
      <c r="M1118" s="16"/>
      <c r="N1118"/>
      <c r="O1118"/>
      <c r="P1118"/>
    </row>
    <row r="1119" spans="1:16" ht="15" x14ac:dyDescent="0.2">
      <c r="A1119"/>
      <c r="B1119"/>
      <c r="C1119"/>
      <c r="D1119"/>
      <c r="E1119"/>
      <c r="F1119"/>
      <c r="G1119"/>
      <c r="H1119"/>
      <c r="I1119"/>
      <c r="J1119"/>
      <c r="K1119"/>
      <c r="L1119"/>
      <c r="M1119" s="16"/>
      <c r="N1119"/>
      <c r="O1119"/>
      <c r="P1119"/>
    </row>
    <row r="1120" spans="1:16" ht="15" x14ac:dyDescent="0.2">
      <c r="A1120"/>
      <c r="B1120"/>
      <c r="C1120"/>
      <c r="D1120"/>
      <c r="E1120"/>
      <c r="F1120"/>
      <c r="G1120"/>
      <c r="H1120"/>
      <c r="I1120"/>
      <c r="J1120"/>
      <c r="K1120"/>
      <c r="L1120"/>
      <c r="M1120" s="16"/>
      <c r="N1120"/>
      <c r="O1120"/>
      <c r="P1120"/>
    </row>
    <row r="1121" spans="1:16" ht="15" x14ac:dyDescent="0.2">
      <c r="A1121"/>
      <c r="B1121"/>
      <c r="C1121"/>
      <c r="D1121"/>
      <c r="E1121"/>
      <c r="F1121"/>
      <c r="G1121"/>
      <c r="H1121"/>
      <c r="I1121"/>
      <c r="J1121"/>
      <c r="K1121"/>
      <c r="L1121"/>
      <c r="M1121" s="16"/>
      <c r="N1121"/>
      <c r="O1121"/>
      <c r="P1121"/>
    </row>
    <row r="1122" spans="1:16" ht="15" x14ac:dyDescent="0.2">
      <c r="A1122"/>
      <c r="B1122"/>
      <c r="C1122"/>
      <c r="D1122"/>
      <c r="E1122"/>
      <c r="F1122"/>
      <c r="G1122"/>
      <c r="H1122"/>
      <c r="I1122"/>
      <c r="J1122"/>
      <c r="K1122"/>
      <c r="L1122"/>
      <c r="M1122" s="16"/>
      <c r="N1122"/>
      <c r="O1122"/>
      <c r="P1122"/>
    </row>
    <row r="1123" spans="1:16" ht="15" x14ac:dyDescent="0.2">
      <c r="A1123"/>
      <c r="B1123"/>
      <c r="C1123"/>
      <c r="D1123"/>
      <c r="E1123"/>
      <c r="F1123"/>
      <c r="G1123"/>
      <c r="H1123"/>
      <c r="I1123"/>
      <c r="J1123"/>
      <c r="K1123"/>
      <c r="L1123"/>
      <c r="M1123" s="16"/>
      <c r="N1123"/>
      <c r="O1123"/>
      <c r="P1123"/>
    </row>
    <row r="1124" spans="1:16" ht="15" x14ac:dyDescent="0.2">
      <c r="A1124"/>
      <c r="B1124"/>
      <c r="C1124"/>
      <c r="D1124"/>
      <c r="E1124"/>
      <c r="F1124"/>
      <c r="G1124"/>
      <c r="H1124"/>
      <c r="I1124"/>
      <c r="J1124"/>
      <c r="K1124"/>
      <c r="L1124"/>
      <c r="M1124" s="16"/>
      <c r="N1124"/>
      <c r="O1124"/>
      <c r="P1124"/>
    </row>
    <row r="1125" spans="1:16" ht="15" x14ac:dyDescent="0.2">
      <c r="A1125"/>
      <c r="B1125"/>
      <c r="C1125"/>
      <c r="D1125"/>
      <c r="E1125"/>
      <c r="F1125"/>
      <c r="G1125"/>
      <c r="H1125"/>
      <c r="I1125"/>
      <c r="J1125"/>
      <c r="K1125"/>
      <c r="L1125"/>
      <c r="M1125" s="16"/>
      <c r="N1125"/>
      <c r="O1125"/>
      <c r="P1125"/>
    </row>
    <row r="1126" spans="1:16" ht="15" x14ac:dyDescent="0.2">
      <c r="A1126"/>
      <c r="B1126"/>
      <c r="C1126"/>
      <c r="D1126"/>
      <c r="E1126"/>
      <c r="F1126"/>
      <c r="G1126"/>
      <c r="H1126"/>
      <c r="I1126"/>
      <c r="J1126"/>
      <c r="K1126"/>
      <c r="L1126"/>
      <c r="M1126" s="16"/>
      <c r="N1126"/>
      <c r="O1126"/>
      <c r="P1126"/>
    </row>
    <row r="1127" spans="1:16" ht="15" x14ac:dyDescent="0.2">
      <c r="A1127"/>
      <c r="B1127"/>
      <c r="C1127"/>
      <c r="D1127"/>
      <c r="E1127"/>
      <c r="F1127"/>
      <c r="G1127"/>
      <c r="H1127"/>
      <c r="I1127"/>
      <c r="J1127"/>
      <c r="K1127"/>
      <c r="L1127"/>
      <c r="M1127" s="16"/>
      <c r="N1127"/>
      <c r="O1127"/>
      <c r="P1127"/>
    </row>
    <row r="1128" spans="1:16" ht="15" x14ac:dyDescent="0.2">
      <c r="A1128"/>
      <c r="B1128"/>
      <c r="C1128"/>
      <c r="D1128"/>
      <c r="E1128"/>
      <c r="F1128"/>
      <c r="G1128"/>
      <c r="H1128"/>
      <c r="I1128"/>
      <c r="J1128"/>
      <c r="K1128"/>
      <c r="L1128"/>
      <c r="M1128" s="16"/>
      <c r="N1128"/>
      <c r="O1128"/>
      <c r="P1128"/>
    </row>
    <row r="1129" spans="1:16" ht="15" x14ac:dyDescent="0.2">
      <c r="A1129"/>
      <c r="B1129"/>
      <c r="C1129"/>
      <c r="D1129"/>
      <c r="E1129"/>
      <c r="F1129"/>
      <c r="G1129"/>
      <c r="H1129"/>
      <c r="I1129"/>
      <c r="J1129"/>
      <c r="K1129"/>
      <c r="L1129"/>
      <c r="M1129" s="16"/>
      <c r="N1129"/>
      <c r="O1129"/>
      <c r="P1129"/>
    </row>
    <row r="1130" spans="1:16" ht="15" x14ac:dyDescent="0.2">
      <c r="A1130"/>
      <c r="B1130"/>
      <c r="C1130"/>
      <c r="D1130"/>
      <c r="E1130"/>
      <c r="F1130"/>
      <c r="G1130"/>
      <c r="H1130"/>
      <c r="I1130"/>
      <c r="J1130"/>
      <c r="K1130"/>
      <c r="L1130"/>
      <c r="M1130" s="16"/>
      <c r="N1130"/>
      <c r="O1130"/>
      <c r="P1130"/>
    </row>
    <row r="1131" spans="1:16" ht="15" x14ac:dyDescent="0.2">
      <c r="A1131"/>
      <c r="B1131"/>
      <c r="C1131"/>
      <c r="D1131"/>
      <c r="E1131"/>
      <c r="F1131"/>
      <c r="G1131"/>
      <c r="H1131"/>
      <c r="I1131"/>
      <c r="J1131"/>
      <c r="K1131"/>
      <c r="L1131"/>
      <c r="M1131" s="16"/>
      <c r="N1131"/>
      <c r="O1131"/>
      <c r="P1131"/>
    </row>
    <row r="1132" spans="1:16" ht="15" x14ac:dyDescent="0.2">
      <c r="A1132"/>
      <c r="B1132"/>
      <c r="C1132"/>
      <c r="D1132"/>
      <c r="E1132"/>
      <c r="F1132"/>
      <c r="G1132"/>
      <c r="H1132"/>
      <c r="I1132"/>
      <c r="J1132"/>
      <c r="K1132"/>
      <c r="L1132"/>
      <c r="M1132" s="16"/>
      <c r="N1132"/>
      <c r="O1132"/>
      <c r="P1132"/>
    </row>
    <row r="1133" spans="1:16" ht="15" x14ac:dyDescent="0.2">
      <c r="A1133"/>
      <c r="B1133"/>
      <c r="C1133"/>
      <c r="D1133"/>
      <c r="E1133"/>
      <c r="F1133"/>
      <c r="G1133"/>
      <c r="H1133"/>
      <c r="I1133"/>
      <c r="J1133"/>
      <c r="K1133"/>
      <c r="L1133"/>
      <c r="M1133" s="16"/>
      <c r="N1133"/>
      <c r="O1133"/>
      <c r="P1133"/>
    </row>
    <row r="1134" spans="1:16" ht="15" x14ac:dyDescent="0.2">
      <c r="A1134"/>
      <c r="B1134"/>
      <c r="C1134"/>
      <c r="D1134"/>
      <c r="E1134"/>
      <c r="F1134"/>
      <c r="G1134"/>
      <c r="H1134"/>
      <c r="I1134"/>
      <c r="J1134"/>
      <c r="K1134"/>
      <c r="L1134"/>
      <c r="M1134" s="16"/>
      <c r="N1134"/>
      <c r="O1134"/>
      <c r="P1134"/>
    </row>
    <row r="1135" spans="1:16" ht="15" x14ac:dyDescent="0.2">
      <c r="A1135"/>
      <c r="B1135"/>
      <c r="C1135"/>
      <c r="D1135"/>
      <c r="E1135"/>
      <c r="F1135"/>
      <c r="G1135"/>
      <c r="H1135"/>
      <c r="I1135"/>
      <c r="J1135"/>
      <c r="K1135"/>
      <c r="L1135"/>
      <c r="M1135" s="16"/>
      <c r="N1135"/>
      <c r="O1135"/>
      <c r="P1135"/>
    </row>
    <row r="1136" spans="1:16" ht="15" x14ac:dyDescent="0.2">
      <c r="A1136"/>
      <c r="B1136"/>
      <c r="C1136"/>
      <c r="D1136"/>
      <c r="E1136"/>
      <c r="F1136"/>
      <c r="G1136"/>
      <c r="H1136"/>
      <c r="I1136"/>
      <c r="J1136"/>
      <c r="K1136"/>
      <c r="L1136"/>
      <c r="M1136" s="16"/>
      <c r="N1136"/>
      <c r="O1136"/>
      <c r="P1136"/>
    </row>
    <row r="1137" spans="1:16" ht="15" x14ac:dyDescent="0.2">
      <c r="A1137"/>
      <c r="B1137"/>
      <c r="C1137"/>
      <c r="D1137"/>
      <c r="E1137"/>
      <c r="F1137"/>
      <c r="G1137"/>
      <c r="H1137"/>
      <c r="I1137"/>
      <c r="J1137"/>
      <c r="K1137"/>
      <c r="L1137"/>
      <c r="M1137" s="16"/>
      <c r="N1137"/>
      <c r="O1137"/>
      <c r="P1137"/>
    </row>
    <row r="1138" spans="1:16" ht="15" x14ac:dyDescent="0.2">
      <c r="A1138"/>
      <c r="B1138"/>
      <c r="C1138"/>
      <c r="D1138"/>
      <c r="E1138"/>
      <c r="F1138"/>
      <c r="G1138"/>
      <c r="H1138"/>
      <c r="I1138"/>
      <c r="J1138"/>
      <c r="K1138"/>
      <c r="L1138"/>
      <c r="M1138" s="16"/>
      <c r="N1138"/>
      <c r="O1138"/>
      <c r="P1138"/>
    </row>
    <row r="1139" spans="1:16" ht="15" x14ac:dyDescent="0.2">
      <c r="A1139"/>
      <c r="B1139"/>
      <c r="C1139"/>
      <c r="D1139"/>
      <c r="E1139"/>
      <c r="F1139"/>
      <c r="G1139"/>
      <c r="H1139"/>
      <c r="I1139"/>
      <c r="J1139"/>
      <c r="K1139"/>
      <c r="L1139"/>
      <c r="M1139" s="16"/>
      <c r="N1139"/>
      <c r="O1139"/>
      <c r="P1139"/>
    </row>
    <row r="1140" spans="1:16" ht="15" x14ac:dyDescent="0.2">
      <c r="A1140"/>
      <c r="B1140"/>
      <c r="C1140"/>
      <c r="D1140"/>
      <c r="E1140"/>
      <c r="F1140"/>
      <c r="G1140"/>
      <c r="H1140"/>
      <c r="I1140"/>
      <c r="J1140"/>
      <c r="K1140"/>
      <c r="L1140"/>
      <c r="M1140" s="16"/>
      <c r="N1140"/>
      <c r="O1140"/>
      <c r="P1140"/>
    </row>
    <row r="1141" spans="1:16" ht="15" x14ac:dyDescent="0.2">
      <c r="A1141"/>
      <c r="B1141"/>
      <c r="C1141"/>
      <c r="D1141"/>
      <c r="E1141"/>
      <c r="F1141"/>
      <c r="G1141"/>
      <c r="H1141"/>
      <c r="I1141"/>
      <c r="J1141"/>
      <c r="K1141"/>
      <c r="L1141"/>
      <c r="M1141" s="16"/>
      <c r="N1141"/>
      <c r="O1141"/>
      <c r="P1141"/>
    </row>
    <row r="1142" spans="1:16" ht="15" x14ac:dyDescent="0.2">
      <c r="A1142"/>
      <c r="B1142"/>
      <c r="C1142"/>
      <c r="D1142"/>
      <c r="E1142"/>
      <c r="F1142"/>
      <c r="G1142"/>
      <c r="H1142"/>
      <c r="I1142"/>
      <c r="J1142"/>
      <c r="K1142"/>
      <c r="L1142"/>
      <c r="M1142" s="16"/>
      <c r="N1142"/>
      <c r="O1142"/>
      <c r="P1142"/>
    </row>
    <row r="1143" spans="1:16" ht="15" x14ac:dyDescent="0.2">
      <c r="A1143"/>
      <c r="B1143"/>
      <c r="C1143"/>
      <c r="D1143"/>
      <c r="E1143"/>
      <c r="F1143"/>
      <c r="G1143"/>
      <c r="H1143"/>
      <c r="I1143"/>
      <c r="J1143"/>
      <c r="K1143"/>
      <c r="L1143"/>
      <c r="M1143" s="16"/>
      <c r="N1143"/>
      <c r="O1143"/>
      <c r="P1143"/>
    </row>
    <row r="1144" spans="1:16" ht="15" x14ac:dyDescent="0.2">
      <c r="A1144"/>
      <c r="B1144"/>
      <c r="C1144"/>
      <c r="D1144"/>
      <c r="E1144"/>
      <c r="F1144"/>
      <c r="G1144"/>
      <c r="H1144"/>
      <c r="I1144"/>
      <c r="J1144"/>
      <c r="K1144"/>
      <c r="L1144"/>
      <c r="M1144" s="16"/>
      <c r="N1144"/>
      <c r="O1144"/>
      <c r="P1144"/>
    </row>
    <row r="1145" spans="1:16" ht="15" x14ac:dyDescent="0.2">
      <c r="A1145"/>
      <c r="B1145"/>
      <c r="C1145"/>
      <c r="D1145"/>
      <c r="E1145"/>
      <c r="F1145"/>
      <c r="G1145"/>
      <c r="H1145"/>
      <c r="I1145"/>
      <c r="J1145"/>
      <c r="K1145"/>
      <c r="L1145"/>
      <c r="M1145" s="16"/>
      <c r="N1145"/>
      <c r="O1145"/>
      <c r="P1145"/>
    </row>
    <row r="1146" spans="1:16" ht="15" x14ac:dyDescent="0.2">
      <c r="A1146"/>
      <c r="B1146"/>
      <c r="C1146"/>
      <c r="D1146"/>
      <c r="E1146"/>
      <c r="F1146"/>
      <c r="G1146"/>
      <c r="H1146"/>
      <c r="I1146"/>
      <c r="J1146"/>
      <c r="K1146"/>
      <c r="L1146"/>
      <c r="M1146" s="16"/>
      <c r="N1146"/>
      <c r="O1146"/>
      <c r="P1146"/>
    </row>
    <row r="1147" spans="1:16" ht="15" x14ac:dyDescent="0.2">
      <c r="A1147"/>
      <c r="B1147"/>
      <c r="C1147"/>
      <c r="D1147"/>
      <c r="E1147"/>
      <c r="F1147"/>
      <c r="G1147"/>
      <c r="H1147"/>
      <c r="I1147"/>
      <c r="J1147"/>
      <c r="K1147"/>
      <c r="L1147"/>
      <c r="M1147" s="16"/>
      <c r="N1147"/>
      <c r="O1147"/>
      <c r="P1147"/>
    </row>
    <row r="1148" spans="1:16" ht="15" x14ac:dyDescent="0.2">
      <c r="A1148"/>
      <c r="B1148"/>
      <c r="C1148"/>
      <c r="D1148"/>
      <c r="E1148"/>
      <c r="F1148"/>
      <c r="G1148"/>
      <c r="H1148"/>
      <c r="I1148"/>
      <c r="J1148"/>
      <c r="K1148"/>
      <c r="L1148"/>
      <c r="M1148" s="16"/>
      <c r="N1148"/>
      <c r="O1148"/>
      <c r="P1148"/>
    </row>
    <row r="1149" spans="1:16" ht="15" x14ac:dyDescent="0.2">
      <c r="A1149"/>
      <c r="B1149"/>
      <c r="C1149"/>
      <c r="D1149"/>
      <c r="E1149"/>
      <c r="F1149"/>
      <c r="G1149"/>
      <c r="H1149"/>
      <c r="I1149"/>
      <c r="J1149"/>
      <c r="K1149"/>
      <c r="L1149"/>
      <c r="M1149" s="16"/>
      <c r="N1149"/>
      <c r="O1149"/>
      <c r="P1149"/>
    </row>
    <row r="1150" spans="1:16" ht="15" x14ac:dyDescent="0.2">
      <c r="A1150"/>
      <c r="B1150"/>
      <c r="C1150"/>
      <c r="D1150"/>
      <c r="E1150"/>
      <c r="F1150"/>
      <c r="G1150"/>
      <c r="H1150"/>
      <c r="I1150"/>
      <c r="J1150"/>
      <c r="K1150"/>
      <c r="L1150"/>
      <c r="M1150" s="16"/>
      <c r="N1150"/>
      <c r="O1150"/>
      <c r="P1150"/>
    </row>
    <row r="1151" spans="1:16" ht="15" x14ac:dyDescent="0.2">
      <c r="A1151"/>
      <c r="B1151"/>
      <c r="C1151"/>
      <c r="D1151"/>
      <c r="E1151"/>
      <c r="F1151"/>
      <c r="G1151"/>
      <c r="H1151"/>
      <c r="I1151"/>
      <c r="J1151"/>
      <c r="K1151"/>
      <c r="L1151"/>
      <c r="M1151" s="16"/>
      <c r="N1151"/>
      <c r="O1151"/>
      <c r="P1151"/>
    </row>
    <row r="1152" spans="1:16" ht="15" x14ac:dyDescent="0.2">
      <c r="A1152"/>
      <c r="B1152"/>
      <c r="C1152"/>
      <c r="D1152"/>
      <c r="E1152"/>
      <c r="F1152"/>
      <c r="G1152"/>
      <c r="H1152"/>
      <c r="I1152"/>
      <c r="J1152"/>
      <c r="K1152"/>
      <c r="L1152"/>
      <c r="M1152" s="16"/>
      <c r="N1152"/>
      <c r="O1152"/>
      <c r="P1152"/>
    </row>
    <row r="1153" spans="1:16" ht="15" x14ac:dyDescent="0.2">
      <c r="A1153"/>
      <c r="B1153"/>
      <c r="C1153"/>
      <c r="D1153"/>
      <c r="E1153"/>
      <c r="F1153"/>
      <c r="G1153"/>
      <c r="H1153"/>
      <c r="I1153"/>
      <c r="J1153"/>
      <c r="K1153"/>
      <c r="L1153"/>
      <c r="M1153" s="16"/>
      <c r="N1153"/>
      <c r="O1153"/>
      <c r="P1153"/>
    </row>
    <row r="1154" spans="1:16" ht="15" x14ac:dyDescent="0.2">
      <c r="A1154"/>
      <c r="B1154"/>
      <c r="C1154"/>
      <c r="D1154"/>
      <c r="E1154"/>
      <c r="F1154"/>
      <c r="G1154"/>
      <c r="H1154"/>
      <c r="I1154"/>
      <c r="J1154"/>
      <c r="K1154"/>
      <c r="L1154"/>
      <c r="M1154" s="16"/>
      <c r="N1154"/>
      <c r="O1154"/>
      <c r="P1154"/>
    </row>
    <row r="1155" spans="1:16" ht="15" x14ac:dyDescent="0.2">
      <c r="A1155"/>
      <c r="B1155"/>
      <c r="C1155"/>
      <c r="D1155"/>
      <c r="E1155"/>
      <c r="F1155"/>
      <c r="G1155"/>
      <c r="H1155"/>
      <c r="I1155"/>
      <c r="J1155"/>
      <c r="K1155"/>
      <c r="L1155"/>
      <c r="M1155" s="16"/>
      <c r="N1155"/>
      <c r="O1155"/>
      <c r="P1155"/>
    </row>
    <row r="1156" spans="1:16" ht="15" x14ac:dyDescent="0.2">
      <c r="A1156"/>
      <c r="B1156"/>
      <c r="C1156"/>
      <c r="D1156"/>
      <c r="E1156"/>
      <c r="F1156"/>
      <c r="G1156"/>
      <c r="H1156"/>
      <c r="I1156"/>
      <c r="J1156"/>
      <c r="K1156"/>
      <c r="L1156"/>
      <c r="M1156" s="16"/>
      <c r="N1156"/>
      <c r="O1156"/>
      <c r="P1156"/>
    </row>
    <row r="1157" spans="1:16" ht="15" x14ac:dyDescent="0.2">
      <c r="A1157"/>
      <c r="B1157"/>
      <c r="C1157"/>
      <c r="D1157"/>
      <c r="E1157"/>
      <c r="F1157"/>
      <c r="G1157"/>
      <c r="H1157"/>
      <c r="I1157"/>
      <c r="J1157"/>
      <c r="K1157"/>
      <c r="L1157"/>
      <c r="M1157" s="16"/>
      <c r="N1157"/>
      <c r="O1157"/>
      <c r="P1157"/>
    </row>
    <row r="1158" spans="1:16" ht="15" x14ac:dyDescent="0.2">
      <c r="A1158"/>
      <c r="B1158"/>
      <c r="C1158"/>
      <c r="D1158"/>
      <c r="E1158"/>
      <c r="F1158"/>
      <c r="G1158"/>
      <c r="H1158"/>
      <c r="I1158"/>
      <c r="J1158"/>
      <c r="K1158"/>
      <c r="L1158"/>
      <c r="M1158" s="16"/>
      <c r="N1158"/>
      <c r="O1158"/>
      <c r="P1158"/>
    </row>
    <row r="1159" spans="1:16" ht="15" x14ac:dyDescent="0.2">
      <c r="A1159"/>
      <c r="B1159"/>
      <c r="C1159"/>
      <c r="D1159"/>
      <c r="E1159"/>
      <c r="F1159"/>
      <c r="G1159"/>
      <c r="H1159"/>
      <c r="I1159"/>
      <c r="J1159"/>
      <c r="K1159"/>
      <c r="L1159"/>
      <c r="M1159" s="16"/>
      <c r="N1159"/>
      <c r="O1159"/>
      <c r="P1159"/>
    </row>
    <row r="1160" spans="1:16" ht="15" x14ac:dyDescent="0.2">
      <c r="A1160"/>
      <c r="B1160"/>
      <c r="C1160"/>
      <c r="D1160"/>
      <c r="E1160"/>
      <c r="F1160"/>
      <c r="G1160"/>
      <c r="H1160"/>
      <c r="I1160"/>
      <c r="J1160"/>
      <c r="K1160"/>
      <c r="L1160"/>
      <c r="M1160" s="16"/>
      <c r="N1160"/>
      <c r="O1160"/>
      <c r="P1160"/>
    </row>
    <row r="1161" spans="1:16" ht="15" x14ac:dyDescent="0.2">
      <c r="A1161"/>
      <c r="B1161"/>
      <c r="C1161"/>
      <c r="D1161"/>
      <c r="E1161"/>
      <c r="F1161"/>
      <c r="G1161"/>
      <c r="H1161"/>
      <c r="I1161"/>
      <c r="J1161"/>
      <c r="K1161"/>
      <c r="L1161"/>
      <c r="M1161" s="16"/>
      <c r="N1161"/>
      <c r="O1161"/>
      <c r="P1161"/>
    </row>
    <row r="1162" spans="1:16" ht="15" x14ac:dyDescent="0.2">
      <c r="A1162"/>
      <c r="B1162"/>
      <c r="C1162"/>
      <c r="D1162"/>
      <c r="E1162"/>
      <c r="F1162"/>
      <c r="G1162"/>
      <c r="H1162"/>
      <c r="I1162"/>
      <c r="J1162"/>
      <c r="K1162"/>
      <c r="L1162"/>
      <c r="M1162" s="16"/>
      <c r="N1162"/>
      <c r="O1162"/>
      <c r="P1162"/>
    </row>
    <row r="1163" spans="1:16" ht="15" x14ac:dyDescent="0.2">
      <c r="A1163"/>
      <c r="B1163"/>
      <c r="C1163"/>
      <c r="D1163"/>
      <c r="E1163"/>
      <c r="F1163"/>
      <c r="G1163"/>
      <c r="H1163"/>
      <c r="I1163"/>
      <c r="J1163"/>
      <c r="K1163"/>
      <c r="L1163"/>
      <c r="M1163" s="16"/>
      <c r="N1163"/>
      <c r="O1163"/>
      <c r="P1163"/>
    </row>
    <row r="1164" spans="1:16" ht="15" x14ac:dyDescent="0.2">
      <c r="A1164"/>
      <c r="B1164"/>
      <c r="C1164"/>
      <c r="D1164"/>
      <c r="E1164"/>
      <c r="F1164"/>
      <c r="G1164"/>
      <c r="H1164"/>
      <c r="I1164"/>
      <c r="J1164"/>
      <c r="K1164"/>
      <c r="L1164"/>
      <c r="M1164" s="16"/>
      <c r="N1164"/>
      <c r="O1164"/>
      <c r="P1164"/>
    </row>
    <row r="1165" spans="1:16" ht="15" x14ac:dyDescent="0.2">
      <c r="A1165"/>
      <c r="B1165"/>
      <c r="C1165"/>
      <c r="D1165"/>
      <c r="E1165"/>
      <c r="F1165"/>
      <c r="G1165"/>
      <c r="H1165"/>
      <c r="I1165"/>
      <c r="J1165"/>
      <c r="K1165"/>
      <c r="L1165"/>
      <c r="M1165" s="16"/>
      <c r="N1165"/>
      <c r="O1165"/>
      <c r="P1165"/>
    </row>
    <row r="1166" spans="1:16" ht="15" x14ac:dyDescent="0.2">
      <c r="A1166"/>
      <c r="B1166"/>
      <c r="C1166"/>
      <c r="D1166"/>
      <c r="E1166"/>
      <c r="F1166"/>
      <c r="G1166"/>
      <c r="H1166"/>
      <c r="I1166"/>
      <c r="J1166"/>
      <c r="K1166"/>
      <c r="L1166"/>
      <c r="M1166" s="16"/>
      <c r="N1166"/>
      <c r="O1166"/>
      <c r="P1166"/>
    </row>
    <row r="1167" spans="1:16" ht="15" x14ac:dyDescent="0.2">
      <c r="A1167"/>
      <c r="B1167"/>
      <c r="C1167"/>
      <c r="D1167"/>
      <c r="E1167"/>
      <c r="F1167"/>
      <c r="G1167"/>
      <c r="H1167"/>
      <c r="I1167"/>
      <c r="J1167"/>
      <c r="K1167"/>
      <c r="L1167"/>
      <c r="M1167" s="16"/>
      <c r="N1167"/>
      <c r="O1167"/>
      <c r="P1167"/>
    </row>
    <row r="1168" spans="1:16" ht="15" x14ac:dyDescent="0.2">
      <c r="A1168"/>
      <c r="B1168"/>
      <c r="C1168"/>
      <c r="D1168"/>
      <c r="E1168"/>
      <c r="F1168"/>
      <c r="G1168"/>
      <c r="H1168"/>
      <c r="I1168"/>
      <c r="J1168"/>
      <c r="K1168"/>
      <c r="L1168"/>
      <c r="M1168" s="16"/>
      <c r="N1168"/>
      <c r="O1168"/>
      <c r="P1168"/>
    </row>
    <row r="1169" spans="1:16" ht="15" x14ac:dyDescent="0.2">
      <c r="A1169"/>
      <c r="B1169"/>
      <c r="C1169"/>
      <c r="D1169"/>
      <c r="E1169"/>
      <c r="F1169"/>
      <c r="G1169"/>
      <c r="H1169"/>
      <c r="I1169"/>
      <c r="J1169"/>
      <c r="K1169"/>
      <c r="L1169"/>
      <c r="M1169" s="16"/>
      <c r="N1169"/>
      <c r="O1169"/>
      <c r="P1169"/>
    </row>
    <row r="1170" spans="1:16" ht="15" x14ac:dyDescent="0.2">
      <c r="A1170"/>
      <c r="B1170"/>
      <c r="C1170"/>
      <c r="D1170"/>
      <c r="E1170"/>
      <c r="F1170"/>
      <c r="G1170"/>
      <c r="H1170"/>
      <c r="I1170"/>
      <c r="J1170"/>
      <c r="K1170"/>
      <c r="L1170"/>
      <c r="M1170" s="16"/>
      <c r="N1170"/>
      <c r="O1170"/>
      <c r="P1170"/>
    </row>
    <row r="1171" spans="1:16" ht="15" x14ac:dyDescent="0.2">
      <c r="A1171"/>
      <c r="B1171"/>
      <c r="C1171"/>
      <c r="D1171"/>
      <c r="E1171"/>
      <c r="F1171"/>
      <c r="G1171"/>
      <c r="H1171"/>
      <c r="I1171"/>
      <c r="J1171"/>
      <c r="K1171"/>
      <c r="L1171"/>
      <c r="M1171" s="16"/>
      <c r="N1171"/>
      <c r="O1171"/>
      <c r="P1171"/>
    </row>
    <row r="1172" spans="1:16" ht="15" x14ac:dyDescent="0.2">
      <c r="A1172"/>
      <c r="B1172"/>
      <c r="C1172"/>
      <c r="D1172"/>
      <c r="E1172"/>
      <c r="F1172"/>
      <c r="G1172"/>
      <c r="H1172"/>
      <c r="I1172"/>
      <c r="J1172"/>
      <c r="K1172"/>
      <c r="L1172"/>
      <c r="M1172" s="16"/>
      <c r="N1172"/>
      <c r="O1172"/>
      <c r="P1172"/>
    </row>
    <row r="1173" spans="1:16" ht="15" x14ac:dyDescent="0.2">
      <c r="A1173"/>
      <c r="B1173"/>
      <c r="C1173"/>
      <c r="D1173"/>
      <c r="E1173"/>
      <c r="F1173"/>
      <c r="G1173"/>
      <c r="H1173"/>
      <c r="I1173"/>
      <c r="J1173"/>
      <c r="K1173"/>
      <c r="L1173"/>
      <c r="M1173" s="16"/>
      <c r="N1173"/>
      <c r="O1173"/>
      <c r="P1173"/>
    </row>
    <row r="1174" spans="1:16" ht="15" x14ac:dyDescent="0.2">
      <c r="A1174"/>
      <c r="B1174"/>
      <c r="C1174"/>
      <c r="D1174"/>
      <c r="E1174"/>
      <c r="F1174"/>
      <c r="G1174"/>
      <c r="H1174"/>
      <c r="I1174"/>
      <c r="J1174"/>
      <c r="K1174"/>
      <c r="L1174"/>
      <c r="M1174" s="16"/>
      <c r="N1174"/>
      <c r="O1174"/>
      <c r="P1174"/>
    </row>
    <row r="1175" spans="1:16" ht="15" x14ac:dyDescent="0.2">
      <c r="A1175"/>
      <c r="B1175"/>
      <c r="C1175"/>
      <c r="D1175"/>
      <c r="E1175"/>
      <c r="F1175"/>
      <c r="G1175"/>
      <c r="H1175"/>
      <c r="I1175"/>
      <c r="J1175"/>
      <c r="K1175"/>
      <c r="L1175"/>
      <c r="M1175" s="16"/>
      <c r="N1175"/>
      <c r="O1175"/>
      <c r="P1175"/>
    </row>
    <row r="1176" spans="1:16" ht="15" x14ac:dyDescent="0.2">
      <c r="A1176"/>
      <c r="B1176"/>
      <c r="C1176"/>
      <c r="D1176"/>
      <c r="E1176"/>
      <c r="F1176"/>
      <c r="G1176"/>
      <c r="H1176"/>
      <c r="I1176"/>
      <c r="J1176"/>
      <c r="K1176"/>
      <c r="L1176"/>
      <c r="M1176" s="16"/>
      <c r="N1176"/>
      <c r="O1176"/>
      <c r="P1176"/>
    </row>
    <row r="1177" spans="1:16" ht="15" x14ac:dyDescent="0.2">
      <c r="A1177"/>
      <c r="B1177"/>
      <c r="C1177"/>
      <c r="D1177"/>
      <c r="E1177"/>
      <c r="F1177"/>
      <c r="G1177"/>
      <c r="H1177"/>
      <c r="I1177"/>
      <c r="J1177"/>
      <c r="K1177"/>
      <c r="L1177"/>
      <c r="M1177" s="16"/>
      <c r="N1177"/>
      <c r="O1177"/>
      <c r="P1177"/>
    </row>
    <row r="1178" spans="1:16" ht="15" x14ac:dyDescent="0.2">
      <c r="A1178"/>
      <c r="B1178"/>
      <c r="C1178"/>
      <c r="D1178"/>
      <c r="E1178"/>
      <c r="F1178"/>
      <c r="G1178"/>
      <c r="H1178"/>
      <c r="I1178"/>
      <c r="J1178"/>
      <c r="K1178"/>
      <c r="L1178"/>
      <c r="M1178" s="16"/>
      <c r="N1178"/>
      <c r="O1178"/>
      <c r="P1178"/>
    </row>
    <row r="1179" spans="1:16" ht="15" x14ac:dyDescent="0.2">
      <c r="A1179"/>
      <c r="B1179"/>
      <c r="C1179"/>
      <c r="D1179"/>
      <c r="E1179"/>
      <c r="F1179"/>
      <c r="G1179"/>
      <c r="H1179"/>
      <c r="I1179"/>
      <c r="J1179"/>
      <c r="K1179"/>
      <c r="L1179"/>
      <c r="M1179" s="16"/>
      <c r="N1179"/>
      <c r="O1179"/>
      <c r="P1179"/>
    </row>
    <row r="1180" spans="1:16" ht="15" x14ac:dyDescent="0.2">
      <c r="A1180"/>
      <c r="B1180"/>
      <c r="C1180"/>
      <c r="D1180"/>
      <c r="E1180"/>
      <c r="F1180"/>
      <c r="G1180"/>
      <c r="H1180"/>
      <c r="I1180"/>
      <c r="J1180"/>
      <c r="K1180"/>
      <c r="L1180"/>
      <c r="M1180" s="16"/>
      <c r="N1180"/>
      <c r="O1180"/>
      <c r="P1180"/>
    </row>
    <row r="1181" spans="1:16" ht="15" x14ac:dyDescent="0.2">
      <c r="A1181"/>
      <c r="B1181"/>
      <c r="C1181"/>
      <c r="D1181"/>
      <c r="E1181"/>
      <c r="F1181"/>
      <c r="G1181"/>
      <c r="H1181"/>
      <c r="I1181"/>
      <c r="J1181"/>
      <c r="K1181"/>
      <c r="L1181"/>
      <c r="M1181" s="16"/>
      <c r="N1181"/>
      <c r="O1181"/>
      <c r="P1181"/>
    </row>
    <row r="1182" spans="1:16" ht="15" x14ac:dyDescent="0.2">
      <c r="A1182"/>
      <c r="B1182"/>
      <c r="C1182"/>
      <c r="D1182"/>
      <c r="E1182"/>
      <c r="F1182"/>
      <c r="G1182"/>
      <c r="H1182"/>
      <c r="I1182"/>
      <c r="J1182"/>
      <c r="K1182"/>
      <c r="L1182"/>
      <c r="M1182" s="16"/>
      <c r="N1182"/>
      <c r="O1182"/>
      <c r="P1182"/>
    </row>
    <row r="1183" spans="1:16" ht="15" x14ac:dyDescent="0.2">
      <c r="A1183"/>
      <c r="B1183"/>
      <c r="C1183"/>
      <c r="D1183"/>
      <c r="E1183"/>
      <c r="F1183"/>
      <c r="G1183"/>
      <c r="H1183"/>
      <c r="I1183"/>
      <c r="J1183"/>
      <c r="K1183"/>
      <c r="L1183"/>
      <c r="M1183" s="16"/>
      <c r="N1183"/>
      <c r="O1183"/>
      <c r="P1183"/>
    </row>
    <row r="1184" spans="1:16" ht="15" x14ac:dyDescent="0.2">
      <c r="A1184"/>
      <c r="B1184"/>
      <c r="C1184"/>
      <c r="D1184"/>
      <c r="E1184"/>
      <c r="F1184"/>
      <c r="G1184"/>
      <c r="H1184"/>
      <c r="I1184"/>
      <c r="J1184"/>
      <c r="K1184"/>
      <c r="L1184"/>
      <c r="M1184" s="16"/>
      <c r="N1184"/>
      <c r="O1184"/>
      <c r="P1184"/>
    </row>
    <row r="1185" spans="1:16" ht="15" x14ac:dyDescent="0.2">
      <c r="A1185"/>
      <c r="B1185"/>
      <c r="C1185"/>
      <c r="D1185"/>
      <c r="E1185"/>
      <c r="F1185"/>
      <c r="G1185"/>
      <c r="H1185"/>
      <c r="I1185"/>
      <c r="J1185"/>
      <c r="K1185"/>
      <c r="L1185"/>
      <c r="M1185" s="16"/>
      <c r="N1185"/>
      <c r="O1185"/>
      <c r="P1185"/>
    </row>
    <row r="1186" spans="1:16" ht="15" x14ac:dyDescent="0.2">
      <c r="A1186"/>
      <c r="B1186"/>
      <c r="C1186"/>
      <c r="D1186"/>
      <c r="E1186"/>
      <c r="F1186"/>
      <c r="G1186"/>
      <c r="H1186"/>
      <c r="I1186"/>
      <c r="J1186"/>
      <c r="K1186"/>
      <c r="L1186"/>
      <c r="M1186" s="16"/>
      <c r="N1186"/>
      <c r="O1186"/>
      <c r="P1186"/>
    </row>
    <row r="1187" spans="1:16" ht="15" x14ac:dyDescent="0.2">
      <c r="A1187"/>
      <c r="B1187"/>
      <c r="C1187"/>
      <c r="D1187"/>
      <c r="E1187"/>
      <c r="F1187"/>
      <c r="G1187"/>
      <c r="H1187"/>
      <c r="I1187"/>
      <c r="J1187"/>
      <c r="K1187"/>
      <c r="L1187"/>
      <c r="M1187" s="16"/>
      <c r="N1187"/>
      <c r="O1187"/>
      <c r="P1187"/>
    </row>
    <row r="1188" spans="1:16" ht="15" x14ac:dyDescent="0.2">
      <c r="A1188"/>
      <c r="B1188"/>
      <c r="C1188"/>
      <c r="D1188"/>
      <c r="E1188"/>
      <c r="F1188"/>
      <c r="G1188"/>
      <c r="H1188"/>
      <c r="I1188"/>
      <c r="J1188"/>
      <c r="K1188"/>
      <c r="L1188"/>
      <c r="M1188" s="16"/>
      <c r="N1188"/>
      <c r="O1188"/>
      <c r="P1188"/>
    </row>
    <row r="1189" spans="1:16" ht="15" x14ac:dyDescent="0.2">
      <c r="A1189"/>
      <c r="B1189"/>
      <c r="C1189"/>
      <c r="D1189"/>
      <c r="E1189"/>
      <c r="F1189"/>
      <c r="G1189"/>
      <c r="H1189"/>
      <c r="I1189"/>
      <c r="J1189"/>
      <c r="K1189"/>
      <c r="L1189"/>
      <c r="M1189" s="16"/>
      <c r="N1189"/>
      <c r="O1189"/>
      <c r="P1189"/>
    </row>
    <row r="1190" spans="1:16" ht="15" x14ac:dyDescent="0.2">
      <c r="A1190"/>
      <c r="B1190"/>
      <c r="C1190"/>
      <c r="D1190"/>
      <c r="E1190"/>
      <c r="F1190"/>
      <c r="G1190"/>
      <c r="H1190"/>
      <c r="I1190"/>
      <c r="J1190"/>
      <c r="K1190"/>
      <c r="L1190"/>
      <c r="M1190" s="16"/>
      <c r="N1190"/>
      <c r="O1190"/>
      <c r="P1190"/>
    </row>
    <row r="1191" spans="1:16" ht="15" x14ac:dyDescent="0.2">
      <c r="A1191"/>
      <c r="B1191"/>
      <c r="C1191"/>
      <c r="D1191"/>
      <c r="E1191"/>
      <c r="F1191"/>
      <c r="G1191"/>
      <c r="H1191"/>
      <c r="I1191"/>
      <c r="J1191"/>
      <c r="K1191"/>
      <c r="L1191"/>
      <c r="M1191" s="16"/>
      <c r="N1191"/>
      <c r="O1191"/>
      <c r="P1191"/>
    </row>
    <row r="1192" spans="1:16" ht="15" x14ac:dyDescent="0.2">
      <c r="A1192"/>
      <c r="B1192"/>
      <c r="C1192"/>
      <c r="D1192"/>
      <c r="E1192"/>
      <c r="F1192"/>
      <c r="G1192"/>
      <c r="H1192"/>
      <c r="I1192"/>
      <c r="J1192"/>
      <c r="K1192"/>
      <c r="L1192"/>
      <c r="M1192" s="16"/>
      <c r="N1192"/>
      <c r="O1192"/>
      <c r="P1192"/>
    </row>
    <row r="1193" spans="1:16" ht="15" x14ac:dyDescent="0.2">
      <c r="A1193"/>
      <c r="B1193"/>
      <c r="C1193"/>
      <c r="D1193"/>
      <c r="E1193"/>
      <c r="F1193"/>
      <c r="G1193"/>
      <c r="H1193"/>
      <c r="I1193"/>
      <c r="J1193"/>
      <c r="K1193"/>
      <c r="L1193"/>
      <c r="M1193" s="16"/>
      <c r="N1193"/>
      <c r="O1193"/>
      <c r="P1193"/>
    </row>
    <row r="1194" spans="1:16" ht="15" x14ac:dyDescent="0.2">
      <c r="A1194"/>
      <c r="B1194"/>
      <c r="C1194"/>
      <c r="D1194"/>
      <c r="E1194"/>
      <c r="F1194"/>
      <c r="G1194"/>
      <c r="H1194"/>
      <c r="I1194"/>
      <c r="J1194"/>
      <c r="K1194"/>
      <c r="L1194"/>
      <c r="M1194" s="16"/>
      <c r="N1194"/>
      <c r="O1194"/>
      <c r="P1194"/>
    </row>
    <row r="1195" spans="1:16" ht="15" x14ac:dyDescent="0.2">
      <c r="A1195"/>
      <c r="B1195"/>
      <c r="C1195"/>
      <c r="D1195"/>
      <c r="E1195"/>
      <c r="F1195"/>
      <c r="G1195"/>
      <c r="H1195"/>
      <c r="I1195"/>
      <c r="J1195"/>
      <c r="K1195"/>
      <c r="L1195"/>
      <c r="M1195" s="16"/>
      <c r="N1195"/>
      <c r="O1195"/>
      <c r="P1195"/>
    </row>
    <row r="1196" spans="1:16" ht="15" x14ac:dyDescent="0.2">
      <c r="A1196"/>
      <c r="B1196"/>
      <c r="C1196"/>
      <c r="D1196"/>
      <c r="E1196"/>
      <c r="F1196"/>
      <c r="G1196"/>
      <c r="H1196"/>
      <c r="I1196"/>
      <c r="J1196"/>
      <c r="K1196"/>
      <c r="L1196"/>
      <c r="M1196" s="16"/>
      <c r="N1196"/>
      <c r="O1196"/>
      <c r="P1196"/>
    </row>
    <row r="1197" spans="1:16" ht="15" x14ac:dyDescent="0.2">
      <c r="A1197"/>
      <c r="B1197"/>
      <c r="C1197"/>
      <c r="D1197"/>
      <c r="E1197"/>
      <c r="F1197"/>
      <c r="G1197"/>
      <c r="H1197"/>
      <c r="I1197"/>
      <c r="J1197"/>
      <c r="K1197"/>
      <c r="L1197"/>
      <c r="M1197" s="16"/>
      <c r="N1197"/>
      <c r="O1197"/>
      <c r="P1197"/>
    </row>
    <row r="1198" spans="1:16" ht="15" x14ac:dyDescent="0.2">
      <c r="A1198"/>
      <c r="B1198"/>
      <c r="C1198"/>
      <c r="D1198"/>
      <c r="E1198"/>
      <c r="F1198"/>
      <c r="G1198"/>
      <c r="H1198"/>
      <c r="I1198"/>
      <c r="J1198"/>
      <c r="K1198"/>
      <c r="L1198"/>
      <c r="M1198" s="16"/>
      <c r="N1198"/>
      <c r="O1198"/>
      <c r="P1198"/>
    </row>
    <row r="1199" spans="1:16" ht="15" x14ac:dyDescent="0.2">
      <c r="A1199"/>
      <c r="B1199"/>
      <c r="C1199"/>
      <c r="D1199"/>
      <c r="E1199"/>
      <c r="F1199"/>
      <c r="G1199"/>
      <c r="H1199"/>
      <c r="I1199"/>
      <c r="J1199"/>
      <c r="K1199"/>
      <c r="L1199"/>
      <c r="M1199" s="16"/>
      <c r="N1199"/>
      <c r="O1199"/>
      <c r="P1199"/>
    </row>
    <row r="1200" spans="1:16" ht="15" x14ac:dyDescent="0.2">
      <c r="A1200"/>
      <c r="B1200"/>
      <c r="C1200"/>
      <c r="D1200"/>
      <c r="E1200"/>
      <c r="F1200"/>
      <c r="G1200"/>
      <c r="H1200"/>
      <c r="I1200"/>
      <c r="J1200"/>
      <c r="K1200"/>
      <c r="L1200"/>
      <c r="M1200" s="16"/>
      <c r="N1200"/>
      <c r="O1200"/>
      <c r="P1200"/>
    </row>
    <row r="1201" spans="1:16" ht="15" x14ac:dyDescent="0.2">
      <c r="A1201"/>
      <c r="B1201"/>
      <c r="C1201"/>
      <c r="D1201"/>
      <c r="E1201"/>
      <c r="F1201"/>
      <c r="G1201"/>
      <c r="H1201"/>
      <c r="I1201"/>
      <c r="J1201"/>
      <c r="K1201"/>
      <c r="L1201"/>
      <c r="M1201" s="16"/>
      <c r="N1201"/>
      <c r="O1201"/>
      <c r="P1201"/>
    </row>
    <row r="1202" spans="1:16" ht="15" x14ac:dyDescent="0.2">
      <c r="A1202"/>
      <c r="B1202"/>
      <c r="C1202"/>
      <c r="D1202"/>
      <c r="E1202"/>
      <c r="F1202"/>
      <c r="G1202"/>
      <c r="H1202"/>
      <c r="I1202"/>
      <c r="J1202"/>
      <c r="K1202"/>
      <c r="L1202"/>
      <c r="M1202" s="16"/>
      <c r="N1202"/>
      <c r="O1202"/>
      <c r="P1202"/>
    </row>
    <row r="1203" spans="1:16" ht="15" x14ac:dyDescent="0.2">
      <c r="A1203"/>
      <c r="B1203"/>
      <c r="C1203"/>
      <c r="D1203"/>
      <c r="E1203"/>
      <c r="F1203"/>
      <c r="G1203"/>
      <c r="H1203"/>
      <c r="I1203"/>
      <c r="J1203"/>
      <c r="K1203"/>
      <c r="L1203"/>
      <c r="M1203" s="16"/>
      <c r="N1203"/>
      <c r="O1203"/>
      <c r="P1203"/>
    </row>
    <row r="1204" spans="1:16" ht="15" x14ac:dyDescent="0.2">
      <c r="A1204"/>
      <c r="B1204"/>
      <c r="C1204"/>
      <c r="D1204"/>
      <c r="E1204"/>
      <c r="F1204"/>
      <c r="G1204"/>
      <c r="H1204"/>
      <c r="I1204"/>
      <c r="J1204"/>
      <c r="K1204"/>
      <c r="L1204"/>
      <c r="M1204" s="16"/>
      <c r="N1204"/>
      <c r="O1204"/>
      <c r="P1204"/>
    </row>
    <row r="1205" spans="1:16" ht="15" x14ac:dyDescent="0.2">
      <c r="A1205"/>
      <c r="B1205"/>
      <c r="C1205"/>
      <c r="D1205"/>
      <c r="E1205"/>
      <c r="F1205"/>
      <c r="G1205"/>
      <c r="H1205"/>
      <c r="I1205"/>
      <c r="J1205"/>
      <c r="K1205"/>
      <c r="L1205"/>
      <c r="M1205" s="16"/>
      <c r="N1205"/>
      <c r="O1205"/>
      <c r="P1205"/>
    </row>
    <row r="1206" spans="1:16" ht="15" x14ac:dyDescent="0.2">
      <c r="A1206"/>
      <c r="B1206"/>
      <c r="C1206"/>
      <c r="D1206"/>
      <c r="E1206"/>
      <c r="F1206"/>
      <c r="G1206"/>
      <c r="H1206"/>
      <c r="I1206"/>
      <c r="J1206"/>
      <c r="K1206"/>
      <c r="L1206"/>
      <c r="M1206" s="16"/>
      <c r="N1206"/>
      <c r="O1206"/>
      <c r="P1206"/>
    </row>
    <row r="1207" spans="1:16" ht="15" x14ac:dyDescent="0.2">
      <c r="A1207"/>
      <c r="B1207"/>
      <c r="C1207"/>
      <c r="D1207"/>
      <c r="E1207"/>
      <c r="F1207"/>
      <c r="G1207"/>
      <c r="H1207"/>
      <c r="I1207"/>
      <c r="J1207"/>
      <c r="K1207"/>
      <c r="L1207"/>
      <c r="M1207" s="16"/>
      <c r="N1207"/>
      <c r="O1207"/>
      <c r="P1207"/>
    </row>
    <row r="1208" spans="1:16" ht="15" x14ac:dyDescent="0.2">
      <c r="A1208"/>
      <c r="B1208"/>
      <c r="C1208"/>
      <c r="D1208"/>
      <c r="E1208"/>
      <c r="F1208"/>
      <c r="G1208"/>
      <c r="H1208"/>
      <c r="I1208"/>
      <c r="J1208"/>
      <c r="K1208"/>
      <c r="L1208"/>
      <c r="M1208" s="16"/>
      <c r="N1208"/>
      <c r="O1208"/>
      <c r="P1208"/>
    </row>
    <row r="1209" spans="1:16" ht="15" x14ac:dyDescent="0.2">
      <c r="A1209"/>
      <c r="B1209"/>
      <c r="C1209"/>
      <c r="D1209"/>
      <c r="E1209"/>
      <c r="F1209"/>
      <c r="G1209"/>
      <c r="H1209"/>
      <c r="I1209"/>
      <c r="J1209"/>
      <c r="K1209"/>
      <c r="L1209"/>
      <c r="M1209" s="16"/>
      <c r="N1209"/>
      <c r="O1209"/>
      <c r="P1209"/>
    </row>
    <row r="1210" spans="1:16" ht="15" x14ac:dyDescent="0.2">
      <c r="A1210"/>
      <c r="B1210"/>
      <c r="C1210"/>
      <c r="D1210"/>
      <c r="E1210"/>
      <c r="F1210"/>
      <c r="G1210"/>
      <c r="H1210"/>
      <c r="I1210"/>
      <c r="J1210"/>
      <c r="K1210"/>
      <c r="L1210"/>
      <c r="M1210" s="16"/>
      <c r="N1210"/>
      <c r="O1210"/>
      <c r="P1210"/>
    </row>
    <row r="1211" spans="1:16" ht="15" x14ac:dyDescent="0.2">
      <c r="A1211"/>
      <c r="B1211"/>
      <c r="C1211"/>
      <c r="D1211"/>
      <c r="E1211"/>
      <c r="F1211"/>
      <c r="G1211"/>
      <c r="H1211"/>
      <c r="I1211"/>
      <c r="J1211"/>
      <c r="K1211"/>
      <c r="L1211"/>
      <c r="M1211" s="16"/>
      <c r="N1211"/>
      <c r="O1211"/>
      <c r="P1211"/>
    </row>
    <row r="1212" spans="1:16" ht="15" x14ac:dyDescent="0.2">
      <c r="A1212"/>
      <c r="B1212"/>
      <c r="C1212"/>
      <c r="D1212"/>
      <c r="E1212"/>
      <c r="F1212"/>
      <c r="G1212"/>
      <c r="H1212"/>
      <c r="I1212"/>
      <c r="J1212"/>
      <c r="K1212"/>
      <c r="L1212"/>
      <c r="M1212" s="16"/>
      <c r="N1212"/>
      <c r="O1212"/>
      <c r="P1212"/>
    </row>
    <row r="1213" spans="1:16" ht="15" x14ac:dyDescent="0.2">
      <c r="A1213"/>
      <c r="B1213"/>
      <c r="C1213"/>
      <c r="D1213"/>
      <c r="E1213"/>
      <c r="F1213"/>
      <c r="G1213"/>
      <c r="H1213"/>
      <c r="I1213"/>
      <c r="J1213"/>
      <c r="K1213"/>
      <c r="L1213"/>
      <c r="M1213" s="16"/>
      <c r="N1213"/>
      <c r="O1213"/>
      <c r="P1213"/>
    </row>
    <row r="1214" spans="1:16" ht="15" x14ac:dyDescent="0.2">
      <c r="A1214"/>
      <c r="B1214"/>
      <c r="C1214"/>
      <c r="D1214"/>
      <c r="E1214"/>
      <c r="F1214"/>
      <c r="G1214"/>
      <c r="H1214"/>
      <c r="I1214"/>
      <c r="J1214"/>
      <c r="K1214"/>
      <c r="L1214"/>
      <c r="M1214" s="16"/>
      <c r="N1214"/>
      <c r="O1214"/>
      <c r="P1214"/>
    </row>
    <row r="1215" spans="1:16" ht="15" x14ac:dyDescent="0.2">
      <c r="A1215"/>
      <c r="B1215"/>
      <c r="C1215"/>
      <c r="D1215"/>
      <c r="E1215"/>
      <c r="F1215"/>
      <c r="G1215"/>
      <c r="H1215"/>
      <c r="I1215"/>
      <c r="J1215"/>
      <c r="K1215"/>
      <c r="L1215"/>
      <c r="M1215" s="16"/>
      <c r="N1215"/>
      <c r="O1215"/>
      <c r="P1215"/>
    </row>
    <row r="1216" spans="1:16" ht="15" x14ac:dyDescent="0.2">
      <c r="A1216"/>
      <c r="B1216"/>
      <c r="C1216"/>
      <c r="D1216"/>
      <c r="E1216"/>
      <c r="F1216"/>
      <c r="G1216"/>
      <c r="H1216"/>
      <c r="I1216"/>
      <c r="J1216"/>
      <c r="K1216"/>
      <c r="L1216"/>
      <c r="M1216" s="16"/>
      <c r="N1216"/>
      <c r="O1216"/>
      <c r="P1216"/>
    </row>
    <row r="1217" spans="1:16" ht="15" x14ac:dyDescent="0.2">
      <c r="A1217"/>
      <c r="B1217"/>
      <c r="C1217"/>
      <c r="D1217"/>
      <c r="E1217"/>
      <c r="F1217"/>
      <c r="G1217"/>
      <c r="H1217"/>
      <c r="I1217"/>
      <c r="J1217"/>
      <c r="K1217"/>
      <c r="L1217"/>
      <c r="M1217" s="16"/>
      <c r="N1217"/>
      <c r="O1217"/>
      <c r="P1217"/>
    </row>
    <row r="1218" spans="1:16" ht="15" x14ac:dyDescent="0.2">
      <c r="A1218"/>
      <c r="B1218"/>
      <c r="C1218"/>
      <c r="D1218"/>
      <c r="E1218"/>
      <c r="F1218"/>
      <c r="G1218"/>
      <c r="H1218"/>
      <c r="I1218"/>
      <c r="J1218"/>
      <c r="K1218"/>
      <c r="L1218"/>
      <c r="M1218" s="16"/>
      <c r="N1218"/>
      <c r="O1218"/>
      <c r="P1218"/>
    </row>
    <row r="1219" spans="1:16" ht="15" x14ac:dyDescent="0.2">
      <c r="A1219"/>
      <c r="B1219"/>
      <c r="C1219"/>
      <c r="D1219"/>
      <c r="E1219"/>
      <c r="F1219"/>
      <c r="G1219"/>
      <c r="H1219"/>
      <c r="I1219"/>
      <c r="J1219"/>
      <c r="K1219"/>
      <c r="L1219"/>
      <c r="M1219" s="16"/>
      <c r="N1219"/>
      <c r="O1219"/>
      <c r="P1219"/>
    </row>
    <row r="1220" spans="1:16" ht="15" x14ac:dyDescent="0.2">
      <c r="A1220"/>
      <c r="B1220"/>
      <c r="C1220"/>
      <c r="D1220"/>
      <c r="E1220"/>
      <c r="F1220"/>
      <c r="G1220"/>
      <c r="H1220"/>
      <c r="I1220"/>
      <c r="J1220"/>
      <c r="K1220"/>
      <c r="L1220"/>
      <c r="M1220" s="16"/>
      <c r="N1220"/>
      <c r="O1220"/>
      <c r="P1220"/>
    </row>
    <row r="1221" spans="1:16" ht="15" x14ac:dyDescent="0.2">
      <c r="A1221"/>
      <c r="B1221"/>
      <c r="C1221"/>
      <c r="D1221"/>
      <c r="E1221"/>
      <c r="F1221"/>
      <c r="G1221"/>
      <c r="H1221"/>
      <c r="I1221"/>
      <c r="J1221"/>
      <c r="K1221"/>
      <c r="L1221"/>
      <c r="M1221" s="16"/>
      <c r="N1221"/>
      <c r="O1221"/>
      <c r="P1221"/>
    </row>
    <row r="1222" spans="1:16" ht="15" x14ac:dyDescent="0.2">
      <c r="A1222"/>
      <c r="B1222"/>
      <c r="C1222"/>
      <c r="D1222"/>
      <c r="E1222"/>
      <c r="F1222"/>
      <c r="G1222"/>
      <c r="H1222"/>
      <c r="I1222"/>
      <c r="J1222"/>
      <c r="K1222"/>
      <c r="L1222"/>
      <c r="M1222" s="16"/>
      <c r="N1222"/>
      <c r="O1222"/>
      <c r="P1222"/>
    </row>
    <row r="1223" spans="1:16" ht="15" x14ac:dyDescent="0.2">
      <c r="A1223"/>
      <c r="B1223"/>
      <c r="C1223"/>
      <c r="D1223"/>
      <c r="E1223"/>
      <c r="F1223"/>
      <c r="G1223"/>
      <c r="H1223"/>
      <c r="I1223"/>
      <c r="J1223"/>
      <c r="K1223"/>
      <c r="L1223"/>
      <c r="M1223" s="16"/>
      <c r="N1223"/>
      <c r="O1223"/>
      <c r="P1223"/>
    </row>
    <row r="1224" spans="1:16" ht="15" x14ac:dyDescent="0.2">
      <c r="A1224"/>
      <c r="B1224"/>
      <c r="C1224"/>
      <c r="D1224"/>
      <c r="E1224"/>
      <c r="F1224"/>
      <c r="G1224"/>
      <c r="H1224"/>
      <c r="I1224"/>
      <c r="J1224"/>
      <c r="K1224"/>
      <c r="L1224"/>
      <c r="M1224" s="16"/>
      <c r="N1224"/>
      <c r="O1224"/>
      <c r="P1224"/>
    </row>
    <row r="1225" spans="1:16" ht="15" x14ac:dyDescent="0.2">
      <c r="A1225"/>
      <c r="B1225"/>
      <c r="C1225"/>
      <c r="D1225"/>
      <c r="E1225"/>
      <c r="F1225"/>
      <c r="G1225"/>
      <c r="H1225"/>
      <c r="I1225"/>
      <c r="J1225"/>
      <c r="K1225"/>
      <c r="L1225"/>
      <c r="M1225" s="16"/>
      <c r="N1225"/>
      <c r="O1225"/>
      <c r="P1225"/>
    </row>
    <row r="1226" spans="1:16" ht="15" x14ac:dyDescent="0.2">
      <c r="A1226"/>
      <c r="B1226"/>
      <c r="C1226"/>
      <c r="D1226"/>
      <c r="E1226"/>
      <c r="F1226"/>
      <c r="G1226"/>
      <c r="H1226"/>
      <c r="I1226"/>
      <c r="J1226"/>
      <c r="K1226"/>
      <c r="L1226"/>
      <c r="M1226" s="16"/>
      <c r="N1226"/>
      <c r="O1226"/>
      <c r="P1226"/>
    </row>
    <row r="1227" spans="1:16" ht="15" x14ac:dyDescent="0.2">
      <c r="A1227"/>
      <c r="B1227"/>
      <c r="C1227"/>
      <c r="D1227"/>
      <c r="E1227"/>
      <c r="F1227"/>
      <c r="G1227"/>
      <c r="H1227"/>
      <c r="I1227"/>
      <c r="J1227"/>
      <c r="K1227"/>
      <c r="L1227"/>
      <c r="M1227" s="16"/>
      <c r="N1227"/>
      <c r="O1227"/>
      <c r="P1227"/>
    </row>
    <row r="1228" spans="1:16" ht="15" x14ac:dyDescent="0.2">
      <c r="A1228"/>
      <c r="B1228"/>
      <c r="C1228"/>
      <c r="D1228"/>
      <c r="E1228"/>
      <c r="F1228"/>
      <c r="G1228"/>
      <c r="H1228"/>
      <c r="I1228"/>
      <c r="J1228"/>
      <c r="K1228"/>
      <c r="L1228"/>
      <c r="M1228" s="16"/>
      <c r="N1228"/>
      <c r="O1228"/>
      <c r="P1228"/>
    </row>
    <row r="1229" spans="1:16" ht="15" x14ac:dyDescent="0.2">
      <c r="A1229"/>
      <c r="B1229"/>
      <c r="C1229"/>
      <c r="D1229"/>
      <c r="E1229"/>
      <c r="F1229"/>
      <c r="G1229"/>
      <c r="H1229"/>
      <c r="I1229"/>
      <c r="J1229"/>
      <c r="K1229"/>
      <c r="L1229"/>
      <c r="M1229" s="16"/>
      <c r="N1229"/>
      <c r="O1229"/>
      <c r="P1229"/>
    </row>
    <row r="1230" spans="1:16" ht="15" x14ac:dyDescent="0.2">
      <c r="A1230"/>
      <c r="B1230"/>
      <c r="C1230"/>
      <c r="D1230"/>
      <c r="E1230"/>
      <c r="F1230"/>
      <c r="G1230"/>
      <c r="H1230"/>
      <c r="I1230"/>
      <c r="J1230"/>
      <c r="K1230"/>
      <c r="L1230"/>
      <c r="M1230" s="16"/>
      <c r="N1230"/>
      <c r="O1230"/>
      <c r="P1230"/>
    </row>
    <row r="1231" spans="1:16" ht="15" x14ac:dyDescent="0.2">
      <c r="A1231"/>
      <c r="B1231"/>
      <c r="C1231"/>
      <c r="D1231"/>
      <c r="E1231"/>
      <c r="F1231"/>
      <c r="G1231"/>
      <c r="H1231"/>
      <c r="I1231"/>
      <c r="J1231"/>
      <c r="K1231"/>
      <c r="L1231"/>
      <c r="M1231" s="16"/>
      <c r="N1231"/>
      <c r="O1231"/>
      <c r="P1231"/>
    </row>
    <row r="1232" spans="1:16" ht="15" x14ac:dyDescent="0.2">
      <c r="A1232"/>
      <c r="B1232"/>
      <c r="C1232"/>
      <c r="D1232"/>
      <c r="E1232"/>
      <c r="F1232"/>
      <c r="G1232"/>
      <c r="H1232"/>
      <c r="I1232"/>
      <c r="J1232"/>
      <c r="K1232"/>
      <c r="L1232"/>
      <c r="M1232" s="16"/>
      <c r="N1232"/>
      <c r="O1232"/>
      <c r="P1232"/>
    </row>
    <row r="1233" spans="1:16" ht="15" x14ac:dyDescent="0.2">
      <c r="A1233"/>
      <c r="B1233"/>
      <c r="C1233"/>
      <c r="D1233"/>
      <c r="E1233"/>
      <c r="F1233"/>
      <c r="G1233"/>
      <c r="H1233"/>
      <c r="I1233"/>
      <c r="J1233"/>
      <c r="K1233"/>
      <c r="L1233"/>
      <c r="M1233" s="16"/>
      <c r="N1233"/>
      <c r="O1233"/>
      <c r="P1233"/>
    </row>
    <row r="1234" spans="1:16" ht="15" x14ac:dyDescent="0.2">
      <c r="A1234"/>
      <c r="B1234"/>
      <c r="C1234"/>
      <c r="D1234"/>
      <c r="E1234"/>
      <c r="F1234"/>
      <c r="G1234"/>
      <c r="H1234"/>
      <c r="I1234"/>
      <c r="J1234"/>
      <c r="K1234"/>
      <c r="L1234"/>
      <c r="M1234" s="16"/>
      <c r="N1234"/>
      <c r="O1234"/>
      <c r="P1234"/>
    </row>
    <row r="1235" spans="1:16" ht="15" x14ac:dyDescent="0.2">
      <c r="A1235"/>
      <c r="B1235"/>
      <c r="C1235"/>
      <c r="D1235"/>
      <c r="E1235"/>
      <c r="F1235"/>
      <c r="G1235"/>
      <c r="H1235"/>
      <c r="I1235"/>
      <c r="J1235"/>
      <c r="K1235"/>
      <c r="L1235"/>
      <c r="M1235" s="16"/>
      <c r="N1235"/>
      <c r="O1235"/>
      <c r="P1235"/>
    </row>
    <row r="1236" spans="1:16" ht="15" x14ac:dyDescent="0.2">
      <c r="A1236"/>
      <c r="B1236"/>
      <c r="C1236"/>
      <c r="D1236"/>
      <c r="E1236"/>
      <c r="F1236"/>
      <c r="G1236"/>
      <c r="H1236"/>
      <c r="I1236"/>
      <c r="J1236"/>
      <c r="K1236"/>
      <c r="L1236"/>
      <c r="M1236" s="16"/>
      <c r="N1236"/>
      <c r="O1236"/>
      <c r="P1236"/>
    </row>
    <row r="1237" spans="1:16" ht="15" x14ac:dyDescent="0.2">
      <c r="A1237"/>
      <c r="B1237"/>
      <c r="C1237"/>
      <c r="D1237"/>
      <c r="E1237"/>
      <c r="F1237"/>
      <c r="G1237"/>
      <c r="H1237"/>
      <c r="I1237"/>
      <c r="J1237"/>
      <c r="K1237"/>
      <c r="L1237"/>
      <c r="M1237" s="16"/>
      <c r="N1237"/>
      <c r="O1237"/>
      <c r="P1237"/>
    </row>
    <row r="1238" spans="1:16" ht="15" x14ac:dyDescent="0.2">
      <c r="A1238"/>
      <c r="B1238"/>
      <c r="C1238"/>
      <c r="D1238"/>
      <c r="E1238"/>
      <c r="F1238"/>
      <c r="G1238"/>
      <c r="H1238"/>
      <c r="I1238"/>
      <c r="J1238"/>
      <c r="K1238"/>
      <c r="L1238"/>
      <c r="M1238" s="16"/>
      <c r="N1238"/>
      <c r="O1238"/>
      <c r="P1238"/>
    </row>
    <row r="1239" spans="1:16" ht="15" x14ac:dyDescent="0.2">
      <c r="A1239"/>
      <c r="B1239"/>
      <c r="C1239"/>
      <c r="D1239"/>
      <c r="E1239"/>
      <c r="F1239"/>
      <c r="G1239"/>
      <c r="H1239"/>
      <c r="I1239"/>
      <c r="J1239"/>
      <c r="K1239"/>
      <c r="L1239"/>
      <c r="M1239" s="16"/>
      <c r="N1239"/>
      <c r="O1239"/>
      <c r="P1239"/>
    </row>
    <row r="1240" spans="1:16" ht="15" x14ac:dyDescent="0.2">
      <c r="A1240"/>
      <c r="B1240"/>
      <c r="C1240"/>
      <c r="D1240"/>
      <c r="E1240"/>
      <c r="F1240"/>
      <c r="G1240"/>
      <c r="H1240"/>
      <c r="I1240"/>
      <c r="J1240"/>
      <c r="K1240"/>
      <c r="L1240"/>
      <c r="M1240" s="16"/>
      <c r="N1240"/>
      <c r="O1240"/>
      <c r="P1240"/>
    </row>
    <row r="1241" spans="1:16" ht="15" x14ac:dyDescent="0.2">
      <c r="A1241"/>
      <c r="B1241"/>
      <c r="C1241"/>
      <c r="D1241"/>
      <c r="E1241"/>
      <c r="F1241"/>
      <c r="G1241"/>
      <c r="H1241"/>
      <c r="I1241"/>
      <c r="J1241"/>
      <c r="K1241"/>
      <c r="L1241"/>
      <c r="M1241" s="16"/>
      <c r="N1241"/>
      <c r="O1241"/>
      <c r="P1241"/>
    </row>
    <row r="1242" spans="1:16" ht="15" x14ac:dyDescent="0.2">
      <c r="A1242"/>
      <c r="B1242"/>
      <c r="C1242"/>
      <c r="D1242"/>
      <c r="E1242"/>
      <c r="F1242"/>
      <c r="G1242"/>
      <c r="H1242"/>
      <c r="I1242"/>
      <c r="J1242"/>
      <c r="K1242"/>
      <c r="L1242"/>
      <c r="M1242" s="16"/>
      <c r="N1242"/>
      <c r="O1242"/>
      <c r="P1242"/>
    </row>
    <row r="1243" spans="1:16" ht="15" x14ac:dyDescent="0.2">
      <c r="A1243"/>
      <c r="B1243"/>
      <c r="C1243"/>
      <c r="D1243"/>
      <c r="E1243"/>
      <c r="F1243"/>
      <c r="G1243"/>
      <c r="H1243"/>
      <c r="I1243"/>
      <c r="J1243"/>
      <c r="K1243"/>
      <c r="L1243"/>
      <c r="M1243" s="16"/>
      <c r="N1243"/>
      <c r="O1243"/>
      <c r="P1243"/>
    </row>
    <row r="1244" spans="1:16" ht="15" x14ac:dyDescent="0.2">
      <c r="A1244"/>
      <c r="B1244"/>
      <c r="C1244"/>
      <c r="D1244"/>
      <c r="E1244"/>
      <c r="F1244"/>
      <c r="G1244"/>
      <c r="H1244"/>
      <c r="I1244"/>
      <c r="J1244"/>
      <c r="K1244"/>
      <c r="L1244"/>
      <c r="M1244" s="16"/>
      <c r="N1244"/>
      <c r="O1244"/>
      <c r="P1244"/>
    </row>
    <row r="1245" spans="1:16" ht="15" x14ac:dyDescent="0.2">
      <c r="A1245"/>
      <c r="B1245"/>
      <c r="C1245"/>
      <c r="D1245"/>
      <c r="E1245"/>
      <c r="F1245"/>
      <c r="G1245"/>
      <c r="H1245"/>
      <c r="I1245"/>
      <c r="J1245"/>
      <c r="K1245"/>
      <c r="L1245"/>
      <c r="M1245" s="16"/>
      <c r="N1245"/>
      <c r="O1245"/>
      <c r="P1245"/>
    </row>
    <row r="1246" spans="1:16" ht="15" x14ac:dyDescent="0.2">
      <c r="A1246"/>
      <c r="B1246"/>
      <c r="C1246"/>
      <c r="D1246"/>
      <c r="E1246"/>
      <c r="F1246"/>
      <c r="G1246"/>
      <c r="H1246"/>
      <c r="I1246"/>
      <c r="J1246"/>
      <c r="K1246"/>
      <c r="L1246"/>
      <c r="M1246" s="16"/>
      <c r="N1246"/>
      <c r="O1246"/>
      <c r="P1246"/>
    </row>
    <row r="1247" spans="1:16" ht="15" x14ac:dyDescent="0.2">
      <c r="A1247"/>
      <c r="B1247"/>
      <c r="C1247"/>
      <c r="D1247"/>
      <c r="E1247"/>
      <c r="F1247"/>
      <c r="G1247"/>
      <c r="H1247"/>
      <c r="I1247"/>
      <c r="J1247"/>
      <c r="K1247"/>
      <c r="L1247"/>
      <c r="M1247" s="16"/>
      <c r="N1247"/>
      <c r="O1247"/>
      <c r="P1247"/>
    </row>
    <row r="1248" spans="1:16" ht="15" x14ac:dyDescent="0.2">
      <c r="A1248"/>
      <c r="B1248"/>
      <c r="C1248"/>
      <c r="D1248"/>
      <c r="E1248"/>
      <c r="F1248"/>
      <c r="G1248"/>
      <c r="H1248"/>
      <c r="I1248"/>
      <c r="J1248"/>
      <c r="K1248"/>
      <c r="L1248"/>
      <c r="M1248" s="16"/>
      <c r="N1248"/>
      <c r="O1248"/>
      <c r="P1248"/>
    </row>
    <row r="1249" spans="1:16" ht="15" x14ac:dyDescent="0.2">
      <c r="A1249"/>
      <c r="B1249"/>
      <c r="C1249"/>
      <c r="D1249"/>
      <c r="E1249"/>
      <c r="F1249"/>
      <c r="G1249"/>
      <c r="H1249"/>
      <c r="I1249"/>
      <c r="J1249"/>
      <c r="K1249"/>
      <c r="L1249"/>
      <c r="M1249" s="16"/>
      <c r="N1249"/>
      <c r="O1249"/>
      <c r="P1249"/>
    </row>
    <row r="1250" spans="1:16" ht="15" x14ac:dyDescent="0.2">
      <c r="A1250"/>
      <c r="B1250"/>
      <c r="C1250"/>
      <c r="D1250"/>
      <c r="E1250"/>
      <c r="F1250"/>
      <c r="G1250"/>
      <c r="H1250"/>
      <c r="I1250"/>
      <c r="J1250"/>
      <c r="K1250"/>
      <c r="L1250"/>
      <c r="M1250" s="16"/>
      <c r="N1250"/>
      <c r="O1250"/>
      <c r="P1250"/>
    </row>
    <row r="1251" spans="1:16" ht="15" x14ac:dyDescent="0.2">
      <c r="A1251"/>
      <c r="B1251"/>
      <c r="C1251"/>
      <c r="D1251"/>
      <c r="E1251"/>
      <c r="F1251"/>
      <c r="G1251"/>
      <c r="H1251"/>
      <c r="I1251"/>
      <c r="J1251"/>
      <c r="K1251"/>
      <c r="L1251"/>
      <c r="M1251" s="16"/>
      <c r="N1251"/>
      <c r="O1251"/>
      <c r="P1251"/>
    </row>
    <row r="1252" spans="1:16" ht="15" x14ac:dyDescent="0.2">
      <c r="A1252"/>
      <c r="B1252"/>
      <c r="C1252"/>
      <c r="D1252"/>
      <c r="E1252"/>
      <c r="F1252"/>
      <c r="G1252"/>
      <c r="H1252"/>
      <c r="I1252"/>
      <c r="J1252"/>
      <c r="K1252"/>
      <c r="L1252"/>
      <c r="M1252" s="16"/>
      <c r="N1252"/>
      <c r="O1252"/>
      <c r="P1252"/>
    </row>
    <row r="1253" spans="1:16" ht="15" x14ac:dyDescent="0.2">
      <c r="A1253"/>
      <c r="B1253"/>
      <c r="C1253"/>
      <c r="D1253"/>
      <c r="E1253"/>
      <c r="F1253"/>
      <c r="G1253"/>
      <c r="H1253"/>
      <c r="I1253"/>
      <c r="J1253"/>
      <c r="K1253"/>
      <c r="L1253"/>
      <c r="M1253" s="16"/>
      <c r="N1253"/>
      <c r="O1253"/>
      <c r="P1253"/>
    </row>
    <row r="1254" spans="1:16" ht="15" x14ac:dyDescent="0.2">
      <c r="A1254"/>
      <c r="B1254"/>
      <c r="C1254"/>
      <c r="D1254"/>
      <c r="E1254"/>
      <c r="F1254"/>
      <c r="G1254"/>
      <c r="H1254"/>
      <c r="I1254"/>
      <c r="J1254"/>
      <c r="K1254"/>
      <c r="L1254"/>
      <c r="M1254" s="16"/>
      <c r="N1254"/>
      <c r="O1254"/>
      <c r="P1254"/>
    </row>
    <row r="1255" spans="1:16" ht="15" x14ac:dyDescent="0.2">
      <c r="A1255"/>
      <c r="B1255"/>
      <c r="C1255"/>
      <c r="D1255"/>
      <c r="E1255"/>
      <c r="F1255"/>
      <c r="G1255"/>
      <c r="H1255"/>
      <c r="I1255"/>
      <c r="J1255"/>
      <c r="K1255"/>
      <c r="L1255"/>
      <c r="M1255" s="16"/>
      <c r="N1255"/>
      <c r="O1255"/>
      <c r="P1255"/>
    </row>
    <row r="1256" spans="1:16" ht="15" x14ac:dyDescent="0.2">
      <c r="A1256"/>
      <c r="B1256"/>
      <c r="C1256"/>
      <c r="D1256"/>
      <c r="E1256"/>
      <c r="F1256"/>
      <c r="G1256"/>
      <c r="H1256"/>
      <c r="I1256"/>
      <c r="J1256"/>
      <c r="K1256"/>
      <c r="L1256"/>
      <c r="M1256" s="16"/>
      <c r="N1256"/>
      <c r="O1256"/>
      <c r="P1256"/>
    </row>
    <row r="1257" spans="1:16" ht="15" x14ac:dyDescent="0.2">
      <c r="A1257"/>
      <c r="B1257"/>
      <c r="C1257"/>
      <c r="D1257"/>
      <c r="E1257"/>
      <c r="F1257"/>
      <c r="G1257"/>
      <c r="H1257"/>
      <c r="I1257"/>
      <c r="J1257"/>
      <c r="K1257"/>
      <c r="L1257"/>
      <c r="M1257" s="16"/>
      <c r="N1257"/>
      <c r="O1257"/>
      <c r="P1257"/>
    </row>
    <row r="1258" spans="1:16" ht="15" x14ac:dyDescent="0.2">
      <c r="A1258"/>
      <c r="B1258"/>
      <c r="C1258"/>
      <c r="D1258"/>
      <c r="E1258"/>
      <c r="F1258"/>
      <c r="G1258"/>
      <c r="H1258"/>
      <c r="I1258"/>
      <c r="J1258"/>
      <c r="K1258"/>
      <c r="L1258"/>
      <c r="M1258" s="16"/>
      <c r="N1258"/>
      <c r="O1258"/>
      <c r="P1258"/>
    </row>
    <row r="1259" spans="1:16" ht="15" x14ac:dyDescent="0.2">
      <c r="A1259"/>
      <c r="B1259"/>
      <c r="C1259"/>
      <c r="D1259"/>
      <c r="E1259"/>
      <c r="F1259"/>
      <c r="G1259"/>
      <c r="H1259"/>
      <c r="I1259"/>
      <c r="J1259"/>
      <c r="K1259"/>
      <c r="L1259"/>
      <c r="M1259" s="16"/>
      <c r="N1259"/>
      <c r="O1259"/>
      <c r="P1259"/>
    </row>
    <row r="1260" spans="1:16" ht="15" x14ac:dyDescent="0.2">
      <c r="A1260"/>
      <c r="B1260"/>
      <c r="C1260"/>
      <c r="D1260"/>
      <c r="E1260"/>
      <c r="F1260"/>
      <c r="G1260"/>
      <c r="H1260"/>
      <c r="I1260"/>
      <c r="J1260"/>
      <c r="K1260"/>
      <c r="L1260"/>
      <c r="M1260" s="16"/>
      <c r="N1260"/>
      <c r="O1260"/>
      <c r="P1260"/>
    </row>
    <row r="1261" spans="1:16" ht="15" x14ac:dyDescent="0.2">
      <c r="A1261"/>
      <c r="B1261"/>
      <c r="C1261"/>
      <c r="D1261"/>
      <c r="E1261"/>
      <c r="F1261"/>
      <c r="G1261"/>
      <c r="H1261"/>
      <c r="I1261"/>
      <c r="J1261"/>
      <c r="K1261"/>
      <c r="L1261"/>
      <c r="M1261" s="16"/>
      <c r="N1261"/>
      <c r="O1261"/>
      <c r="P1261"/>
    </row>
    <row r="1262" spans="1:16" ht="15" x14ac:dyDescent="0.2">
      <c r="A1262"/>
      <c r="B1262"/>
      <c r="C1262"/>
      <c r="D1262"/>
      <c r="E1262"/>
      <c r="F1262"/>
      <c r="G1262"/>
      <c r="H1262"/>
      <c r="I1262"/>
      <c r="J1262"/>
      <c r="K1262"/>
      <c r="L1262"/>
      <c r="M1262" s="16"/>
      <c r="N1262"/>
      <c r="O1262"/>
      <c r="P1262"/>
    </row>
    <row r="1263" spans="1:16" ht="15" x14ac:dyDescent="0.2">
      <c r="A1263"/>
      <c r="B1263"/>
      <c r="C1263"/>
      <c r="D1263"/>
      <c r="E1263"/>
      <c r="F1263"/>
      <c r="G1263"/>
      <c r="H1263"/>
      <c r="I1263"/>
      <c r="J1263"/>
      <c r="K1263"/>
      <c r="L1263"/>
      <c r="M1263" s="16"/>
      <c r="N1263"/>
      <c r="O1263"/>
      <c r="P1263"/>
    </row>
    <row r="1264" spans="1:16" ht="15" x14ac:dyDescent="0.2">
      <c r="A1264"/>
      <c r="B1264"/>
      <c r="C1264"/>
      <c r="D1264"/>
      <c r="E1264"/>
      <c r="F1264"/>
      <c r="G1264"/>
      <c r="H1264"/>
      <c r="I1264"/>
      <c r="J1264"/>
      <c r="K1264"/>
      <c r="L1264"/>
      <c r="M1264" s="16"/>
      <c r="N1264"/>
      <c r="O1264"/>
      <c r="P1264"/>
    </row>
    <row r="1265" spans="1:16" ht="15" x14ac:dyDescent="0.2">
      <c r="A1265"/>
      <c r="B1265"/>
      <c r="C1265"/>
      <c r="D1265"/>
      <c r="E1265"/>
      <c r="F1265"/>
      <c r="G1265"/>
      <c r="H1265"/>
      <c r="I1265"/>
      <c r="J1265"/>
      <c r="K1265"/>
      <c r="L1265"/>
      <c r="M1265" s="16"/>
      <c r="N1265"/>
      <c r="O1265"/>
      <c r="P1265"/>
    </row>
    <row r="1266" spans="1:16" ht="15" x14ac:dyDescent="0.2">
      <c r="A1266"/>
      <c r="B1266"/>
      <c r="C1266"/>
      <c r="D1266"/>
      <c r="E1266"/>
      <c r="F1266"/>
      <c r="G1266"/>
      <c r="H1266"/>
      <c r="I1266"/>
      <c r="J1266"/>
      <c r="K1266"/>
      <c r="L1266"/>
      <c r="M1266" s="16"/>
      <c r="N1266"/>
      <c r="O1266"/>
      <c r="P1266"/>
    </row>
    <row r="1267" spans="1:16" ht="15" x14ac:dyDescent="0.2">
      <c r="A1267"/>
      <c r="B1267"/>
      <c r="C1267"/>
      <c r="D1267"/>
      <c r="E1267"/>
      <c r="F1267"/>
      <c r="G1267"/>
      <c r="H1267"/>
      <c r="I1267"/>
      <c r="J1267"/>
      <c r="K1267"/>
      <c r="L1267"/>
      <c r="M1267" s="16"/>
      <c r="N1267"/>
      <c r="O1267"/>
      <c r="P1267"/>
    </row>
    <row r="1268" spans="1:16" ht="15" x14ac:dyDescent="0.2">
      <c r="A1268"/>
      <c r="B1268"/>
      <c r="C1268"/>
      <c r="D1268"/>
      <c r="E1268"/>
      <c r="F1268"/>
      <c r="G1268"/>
      <c r="H1268"/>
      <c r="I1268"/>
      <c r="J1268"/>
      <c r="K1268"/>
      <c r="L1268"/>
      <c r="M1268" s="16"/>
      <c r="N1268"/>
      <c r="O1268"/>
      <c r="P1268"/>
    </row>
    <row r="1269" spans="1:16" ht="15" x14ac:dyDescent="0.2">
      <c r="A1269"/>
      <c r="B1269"/>
      <c r="C1269"/>
      <c r="D1269"/>
      <c r="E1269"/>
      <c r="F1269"/>
      <c r="G1269"/>
      <c r="H1269"/>
      <c r="I1269"/>
      <c r="J1269"/>
      <c r="K1269"/>
      <c r="L1269"/>
      <c r="M1269" s="16"/>
      <c r="N1269"/>
      <c r="O1269"/>
      <c r="P1269"/>
    </row>
    <row r="1270" spans="1:16" ht="15" x14ac:dyDescent="0.2">
      <c r="A1270"/>
      <c r="B1270"/>
      <c r="C1270"/>
      <c r="D1270"/>
      <c r="E1270"/>
      <c r="F1270"/>
      <c r="G1270"/>
      <c r="H1270"/>
      <c r="I1270"/>
      <c r="J1270"/>
      <c r="K1270"/>
      <c r="L1270"/>
      <c r="M1270" s="16"/>
      <c r="N1270"/>
      <c r="O1270"/>
      <c r="P1270"/>
    </row>
    <row r="1271" spans="1:16" ht="15" x14ac:dyDescent="0.2">
      <c r="A1271"/>
      <c r="B1271"/>
      <c r="C1271"/>
      <c r="D1271"/>
      <c r="E1271"/>
      <c r="F1271"/>
      <c r="G1271"/>
      <c r="H1271"/>
      <c r="I1271"/>
      <c r="J1271"/>
      <c r="K1271"/>
      <c r="L1271"/>
      <c r="M1271" s="16"/>
      <c r="N1271"/>
      <c r="O1271"/>
      <c r="P1271"/>
    </row>
    <row r="1272" spans="1:16" ht="15" x14ac:dyDescent="0.2">
      <c r="A1272"/>
      <c r="B1272"/>
      <c r="C1272"/>
      <c r="D1272"/>
      <c r="E1272"/>
      <c r="F1272"/>
      <c r="G1272"/>
      <c r="H1272"/>
      <c r="I1272"/>
      <c r="J1272"/>
      <c r="K1272"/>
      <c r="L1272"/>
      <c r="M1272" s="16"/>
      <c r="N1272"/>
      <c r="O1272"/>
      <c r="P1272"/>
    </row>
    <row r="1273" spans="1:16" ht="15" x14ac:dyDescent="0.2">
      <c r="A1273"/>
      <c r="B1273"/>
      <c r="C1273"/>
      <c r="D1273"/>
      <c r="E1273"/>
      <c r="F1273"/>
      <c r="G1273"/>
      <c r="H1273"/>
      <c r="I1273"/>
      <c r="J1273"/>
      <c r="K1273"/>
      <c r="L1273"/>
      <c r="M1273" s="16"/>
      <c r="N1273"/>
      <c r="O1273"/>
      <c r="P1273"/>
    </row>
    <row r="1274" spans="1:16" ht="15" x14ac:dyDescent="0.2">
      <c r="A1274"/>
      <c r="B1274"/>
      <c r="C1274"/>
      <c r="D1274"/>
      <c r="E1274"/>
      <c r="F1274"/>
      <c r="G1274"/>
      <c r="H1274"/>
      <c r="I1274"/>
      <c r="J1274"/>
      <c r="K1274"/>
      <c r="L1274"/>
      <c r="M1274" s="16"/>
      <c r="N1274"/>
      <c r="O1274"/>
      <c r="P1274"/>
    </row>
    <row r="1275" spans="1:16" ht="15" x14ac:dyDescent="0.2">
      <c r="A1275"/>
      <c r="B1275"/>
      <c r="C1275"/>
      <c r="D1275"/>
      <c r="E1275"/>
      <c r="F1275"/>
      <c r="G1275"/>
      <c r="H1275"/>
      <c r="I1275"/>
      <c r="J1275"/>
      <c r="K1275"/>
      <c r="L1275"/>
      <c r="M1275" s="16"/>
      <c r="N1275"/>
      <c r="O1275"/>
      <c r="P1275"/>
    </row>
    <row r="1276" spans="1:16" ht="15" x14ac:dyDescent="0.2">
      <c r="A1276"/>
      <c r="B1276"/>
      <c r="C1276"/>
      <c r="D1276"/>
      <c r="E1276"/>
      <c r="F1276"/>
      <c r="G1276"/>
      <c r="H1276"/>
      <c r="I1276"/>
      <c r="J1276"/>
      <c r="K1276"/>
      <c r="L1276"/>
      <c r="M1276" s="16"/>
      <c r="N1276"/>
      <c r="O1276"/>
      <c r="P1276"/>
    </row>
    <row r="1277" spans="1:16" ht="15" x14ac:dyDescent="0.2">
      <c r="A1277"/>
      <c r="B1277"/>
      <c r="C1277"/>
      <c r="D1277"/>
      <c r="E1277"/>
      <c r="F1277"/>
      <c r="G1277"/>
      <c r="H1277"/>
      <c r="I1277"/>
      <c r="J1277"/>
      <c r="K1277"/>
      <c r="L1277"/>
      <c r="M1277" s="16"/>
      <c r="N1277"/>
      <c r="O1277"/>
      <c r="P1277"/>
    </row>
    <row r="1278" spans="1:16" ht="15" x14ac:dyDescent="0.2">
      <c r="A1278"/>
      <c r="B1278"/>
      <c r="C1278"/>
      <c r="D1278"/>
      <c r="E1278"/>
      <c r="F1278"/>
      <c r="G1278"/>
      <c r="H1278"/>
      <c r="I1278"/>
      <c r="J1278"/>
      <c r="K1278"/>
      <c r="L1278"/>
      <c r="M1278" s="16"/>
      <c r="N1278"/>
      <c r="O1278"/>
      <c r="P1278"/>
    </row>
    <row r="1279" spans="1:16" ht="15" x14ac:dyDescent="0.2">
      <c r="A1279"/>
      <c r="B1279"/>
      <c r="C1279"/>
      <c r="D1279"/>
      <c r="E1279"/>
      <c r="F1279"/>
      <c r="G1279"/>
      <c r="H1279"/>
      <c r="I1279"/>
      <c r="J1279"/>
      <c r="K1279"/>
      <c r="L1279"/>
      <c r="M1279" s="16"/>
      <c r="N1279"/>
      <c r="O1279"/>
      <c r="P1279"/>
    </row>
    <row r="1280" spans="1:16" ht="15" x14ac:dyDescent="0.2">
      <c r="A1280"/>
      <c r="B1280"/>
      <c r="C1280"/>
      <c r="D1280"/>
      <c r="E1280"/>
      <c r="F1280"/>
      <c r="G1280"/>
      <c r="H1280"/>
      <c r="I1280"/>
      <c r="J1280"/>
      <c r="K1280"/>
      <c r="L1280"/>
      <c r="M1280" s="16"/>
      <c r="N1280"/>
      <c r="O1280"/>
      <c r="P1280"/>
    </row>
    <row r="1281" spans="1:16" ht="15" x14ac:dyDescent="0.2">
      <c r="A1281"/>
      <c r="B1281"/>
      <c r="C1281"/>
      <c r="D1281"/>
      <c r="E1281"/>
      <c r="F1281"/>
      <c r="G1281"/>
      <c r="H1281"/>
      <c r="I1281"/>
      <c r="J1281"/>
      <c r="K1281"/>
      <c r="L1281"/>
      <c r="M1281" s="16"/>
      <c r="N1281"/>
      <c r="O1281"/>
      <c r="P1281"/>
    </row>
    <row r="1282" spans="1:16" ht="15" x14ac:dyDescent="0.2">
      <c r="A1282"/>
      <c r="B1282"/>
      <c r="C1282"/>
      <c r="D1282"/>
      <c r="E1282"/>
      <c r="F1282"/>
      <c r="G1282"/>
      <c r="H1282"/>
      <c r="I1282"/>
      <c r="J1282"/>
      <c r="K1282"/>
      <c r="L1282"/>
      <c r="M1282" s="16"/>
      <c r="N1282"/>
      <c r="O1282"/>
      <c r="P1282"/>
    </row>
    <row r="1283" spans="1:16" ht="15" x14ac:dyDescent="0.2">
      <c r="A1283"/>
      <c r="B1283"/>
      <c r="C1283"/>
      <c r="D1283"/>
      <c r="E1283"/>
      <c r="F1283"/>
      <c r="G1283"/>
      <c r="H1283"/>
      <c r="I1283"/>
      <c r="J1283"/>
      <c r="K1283"/>
      <c r="L1283"/>
      <c r="M1283" s="16"/>
      <c r="N1283"/>
      <c r="O1283"/>
      <c r="P1283"/>
    </row>
    <row r="1284" spans="1:16" ht="15" x14ac:dyDescent="0.2">
      <c r="A1284"/>
      <c r="B1284"/>
      <c r="C1284"/>
      <c r="D1284"/>
      <c r="E1284"/>
      <c r="F1284"/>
      <c r="G1284"/>
      <c r="H1284"/>
      <c r="I1284"/>
      <c r="J1284"/>
      <c r="K1284"/>
      <c r="L1284"/>
      <c r="M1284" s="16"/>
      <c r="N1284"/>
      <c r="O1284"/>
      <c r="P1284"/>
    </row>
    <row r="1285" spans="1:16" ht="15" x14ac:dyDescent="0.2">
      <c r="A1285"/>
      <c r="B1285"/>
      <c r="C1285"/>
      <c r="D1285"/>
      <c r="E1285"/>
      <c r="F1285"/>
      <c r="G1285"/>
      <c r="H1285"/>
      <c r="I1285"/>
      <c r="J1285"/>
      <c r="K1285"/>
      <c r="L1285"/>
      <c r="M1285" s="16"/>
      <c r="N1285"/>
      <c r="O1285"/>
      <c r="P1285"/>
    </row>
    <row r="1286" spans="1:16" ht="15" x14ac:dyDescent="0.2">
      <c r="A1286"/>
      <c r="B1286"/>
      <c r="C1286"/>
      <c r="D1286"/>
      <c r="E1286"/>
      <c r="F1286"/>
      <c r="G1286"/>
      <c r="H1286"/>
      <c r="I1286"/>
      <c r="J1286"/>
      <c r="K1286"/>
      <c r="L1286"/>
      <c r="M1286" s="16"/>
      <c r="N1286"/>
      <c r="O1286"/>
      <c r="P1286"/>
    </row>
    <row r="1287" spans="1:16" ht="15" x14ac:dyDescent="0.2">
      <c r="A1287"/>
      <c r="B1287"/>
      <c r="C1287"/>
      <c r="D1287"/>
      <c r="E1287"/>
      <c r="F1287"/>
      <c r="G1287"/>
      <c r="H1287"/>
      <c r="I1287"/>
      <c r="J1287"/>
      <c r="K1287"/>
      <c r="L1287"/>
      <c r="M1287" s="16"/>
      <c r="N1287"/>
      <c r="O1287"/>
      <c r="P1287"/>
    </row>
    <row r="1288" spans="1:16" ht="15" x14ac:dyDescent="0.2">
      <c r="A1288"/>
      <c r="B1288"/>
      <c r="C1288"/>
      <c r="D1288"/>
      <c r="E1288"/>
      <c r="F1288"/>
      <c r="G1288"/>
      <c r="H1288"/>
      <c r="I1288"/>
      <c r="J1288"/>
      <c r="K1288"/>
      <c r="L1288"/>
      <c r="M1288" s="16"/>
      <c r="N1288"/>
      <c r="O1288"/>
      <c r="P1288"/>
    </row>
    <row r="1289" spans="1:16" ht="15" x14ac:dyDescent="0.2">
      <c r="A1289"/>
      <c r="B1289"/>
      <c r="C1289"/>
      <c r="D1289"/>
      <c r="E1289"/>
      <c r="F1289"/>
      <c r="G1289"/>
      <c r="H1289"/>
      <c r="I1289"/>
      <c r="J1289"/>
      <c r="K1289"/>
      <c r="L1289"/>
      <c r="M1289" s="16"/>
      <c r="N1289"/>
      <c r="O1289"/>
      <c r="P1289"/>
    </row>
    <row r="1290" spans="1:16" ht="15" x14ac:dyDescent="0.2">
      <c r="A1290"/>
      <c r="B1290"/>
      <c r="C1290"/>
      <c r="D1290"/>
      <c r="E1290"/>
      <c r="F1290"/>
      <c r="G1290"/>
      <c r="H1290"/>
      <c r="I1290"/>
      <c r="J1290"/>
      <c r="K1290"/>
      <c r="L1290"/>
      <c r="M1290" s="16"/>
      <c r="N1290"/>
      <c r="O1290"/>
      <c r="P1290"/>
    </row>
    <row r="1291" spans="1:16" ht="15" x14ac:dyDescent="0.2">
      <c r="A1291"/>
      <c r="B1291"/>
      <c r="C1291"/>
      <c r="D1291"/>
      <c r="E1291"/>
      <c r="F1291"/>
      <c r="G1291"/>
      <c r="H1291"/>
      <c r="I1291"/>
      <c r="J1291"/>
      <c r="K1291"/>
      <c r="L1291"/>
      <c r="M1291" s="16"/>
      <c r="N1291"/>
      <c r="O1291"/>
      <c r="P1291"/>
    </row>
    <row r="1292" spans="1:16" ht="15" x14ac:dyDescent="0.2">
      <c r="A1292"/>
      <c r="B1292"/>
      <c r="C1292"/>
      <c r="D1292"/>
      <c r="E1292"/>
      <c r="F1292"/>
      <c r="G1292"/>
      <c r="H1292"/>
      <c r="I1292"/>
      <c r="J1292"/>
      <c r="K1292"/>
      <c r="L1292"/>
      <c r="M1292" s="16"/>
      <c r="N1292"/>
      <c r="O1292"/>
      <c r="P1292"/>
    </row>
    <row r="1293" spans="1:16" ht="15" x14ac:dyDescent="0.2">
      <c r="A1293"/>
      <c r="B1293"/>
      <c r="C1293"/>
      <c r="D1293"/>
      <c r="E1293"/>
      <c r="F1293"/>
      <c r="G1293"/>
      <c r="H1293"/>
      <c r="I1293"/>
      <c r="J1293"/>
      <c r="K1293"/>
      <c r="L1293"/>
      <c r="M1293" s="16"/>
      <c r="N1293"/>
      <c r="O1293"/>
      <c r="P1293"/>
    </row>
    <row r="1294" spans="1:16" ht="15" x14ac:dyDescent="0.2">
      <c r="A1294"/>
      <c r="B1294"/>
      <c r="C1294"/>
      <c r="D1294"/>
      <c r="E1294"/>
      <c r="F1294"/>
      <c r="G1294"/>
      <c r="H1294"/>
      <c r="I1294"/>
      <c r="J1294"/>
      <c r="K1294"/>
      <c r="L1294"/>
      <c r="M1294" s="16"/>
      <c r="N1294"/>
      <c r="O1294"/>
      <c r="P1294"/>
    </row>
    <row r="1295" spans="1:16" ht="15" x14ac:dyDescent="0.2">
      <c r="A1295"/>
      <c r="B1295"/>
      <c r="C1295"/>
      <c r="D1295"/>
      <c r="E1295"/>
      <c r="F1295"/>
      <c r="G1295"/>
      <c r="H1295"/>
      <c r="I1295"/>
      <c r="J1295"/>
      <c r="K1295"/>
      <c r="L1295"/>
      <c r="M1295" s="16"/>
      <c r="N1295"/>
      <c r="O1295"/>
      <c r="P1295"/>
    </row>
    <row r="1296" spans="1:16" ht="15" x14ac:dyDescent="0.2">
      <c r="A1296"/>
      <c r="B1296"/>
      <c r="C1296"/>
      <c r="D1296"/>
      <c r="E1296"/>
      <c r="F1296"/>
      <c r="G1296"/>
      <c r="H1296"/>
      <c r="I1296"/>
      <c r="J1296"/>
      <c r="K1296"/>
      <c r="L1296"/>
      <c r="M1296" s="16"/>
      <c r="N1296"/>
      <c r="O1296"/>
      <c r="P1296"/>
    </row>
    <row r="1297" spans="1:16" ht="15" x14ac:dyDescent="0.2">
      <c r="A1297"/>
      <c r="B1297"/>
      <c r="C1297"/>
      <c r="D1297"/>
      <c r="E1297"/>
      <c r="F1297"/>
      <c r="G1297"/>
      <c r="H1297"/>
      <c r="I1297"/>
      <c r="J1297"/>
      <c r="K1297"/>
      <c r="L1297"/>
      <c r="M1297" s="16"/>
      <c r="N1297"/>
      <c r="O1297"/>
      <c r="P1297"/>
    </row>
    <row r="1298" spans="1:16" ht="15" x14ac:dyDescent="0.2">
      <c r="A1298"/>
      <c r="B1298"/>
      <c r="C1298"/>
      <c r="D1298"/>
      <c r="E1298"/>
      <c r="F1298"/>
      <c r="G1298"/>
      <c r="H1298"/>
      <c r="I1298"/>
      <c r="J1298"/>
      <c r="K1298"/>
      <c r="L1298"/>
      <c r="M1298" s="16"/>
      <c r="N1298"/>
      <c r="O1298"/>
      <c r="P1298"/>
    </row>
    <row r="1299" spans="1:16" ht="15" x14ac:dyDescent="0.2">
      <c r="A1299"/>
      <c r="B1299"/>
      <c r="C1299"/>
      <c r="D1299"/>
      <c r="E1299"/>
      <c r="F1299"/>
      <c r="G1299"/>
      <c r="H1299"/>
      <c r="I1299"/>
      <c r="J1299"/>
      <c r="K1299"/>
      <c r="L1299"/>
      <c r="M1299" s="16"/>
      <c r="N1299"/>
      <c r="O1299"/>
      <c r="P1299"/>
    </row>
    <row r="1300" spans="1:16" ht="15" x14ac:dyDescent="0.2">
      <c r="A1300"/>
      <c r="B1300"/>
      <c r="C1300"/>
      <c r="D1300"/>
      <c r="E1300"/>
      <c r="F1300"/>
      <c r="G1300"/>
      <c r="H1300"/>
      <c r="I1300"/>
      <c r="J1300"/>
      <c r="K1300"/>
      <c r="L1300"/>
      <c r="M1300" s="16"/>
      <c r="N1300"/>
      <c r="O1300"/>
      <c r="P1300"/>
    </row>
    <row r="1301" spans="1:16" ht="15" x14ac:dyDescent="0.2">
      <c r="A1301"/>
      <c r="B1301"/>
      <c r="C1301"/>
      <c r="D1301"/>
      <c r="E1301"/>
      <c r="F1301"/>
      <c r="G1301"/>
      <c r="H1301"/>
      <c r="I1301"/>
      <c r="J1301"/>
      <c r="K1301"/>
      <c r="L1301"/>
      <c r="M1301" s="16"/>
      <c r="N1301"/>
      <c r="O1301"/>
      <c r="P1301"/>
    </row>
    <row r="1302" spans="1:16" ht="15" x14ac:dyDescent="0.2">
      <c r="A1302"/>
      <c r="B1302"/>
      <c r="C1302"/>
      <c r="D1302"/>
      <c r="E1302"/>
      <c r="F1302"/>
      <c r="G1302"/>
      <c r="H1302"/>
      <c r="I1302"/>
      <c r="J1302"/>
      <c r="K1302"/>
      <c r="L1302"/>
      <c r="M1302" s="16"/>
      <c r="N1302"/>
      <c r="O1302"/>
      <c r="P1302"/>
    </row>
    <row r="1303" spans="1:16" ht="15" x14ac:dyDescent="0.2">
      <c r="A1303"/>
      <c r="B1303"/>
      <c r="C1303"/>
      <c r="D1303"/>
      <c r="E1303"/>
      <c r="F1303"/>
      <c r="G1303"/>
      <c r="H1303"/>
      <c r="I1303"/>
      <c r="J1303"/>
      <c r="K1303"/>
      <c r="L1303"/>
      <c r="M1303" s="16"/>
      <c r="N1303"/>
      <c r="O1303"/>
      <c r="P1303"/>
    </row>
    <row r="1304" spans="1:16" ht="15" x14ac:dyDescent="0.2">
      <c r="A1304"/>
      <c r="B1304"/>
      <c r="C1304"/>
      <c r="D1304"/>
      <c r="E1304"/>
      <c r="F1304"/>
      <c r="G1304"/>
      <c r="H1304"/>
      <c r="I1304"/>
      <c r="J1304"/>
      <c r="K1304"/>
      <c r="L1304"/>
      <c r="M1304" s="16"/>
      <c r="N1304"/>
      <c r="O1304"/>
      <c r="P1304"/>
    </row>
    <row r="1305" spans="1:16" ht="15" x14ac:dyDescent="0.2">
      <c r="A1305"/>
      <c r="B1305"/>
      <c r="C1305"/>
      <c r="D1305"/>
      <c r="E1305"/>
      <c r="F1305"/>
      <c r="G1305"/>
      <c r="H1305"/>
      <c r="I1305"/>
      <c r="J1305"/>
      <c r="K1305"/>
      <c r="L1305"/>
      <c r="M1305" s="16"/>
      <c r="N1305"/>
      <c r="O1305"/>
      <c r="P1305"/>
    </row>
    <row r="1306" spans="1:16" ht="15" x14ac:dyDescent="0.2">
      <c r="A1306"/>
      <c r="B1306"/>
      <c r="C1306"/>
      <c r="D1306"/>
      <c r="E1306"/>
      <c r="F1306"/>
      <c r="G1306"/>
      <c r="H1306"/>
      <c r="I1306"/>
      <c r="J1306"/>
      <c r="K1306"/>
      <c r="L1306"/>
      <c r="M1306" s="16"/>
      <c r="N1306"/>
      <c r="O1306"/>
      <c r="P1306"/>
    </row>
    <row r="1307" spans="1:16" ht="15" x14ac:dyDescent="0.2">
      <c r="A1307"/>
      <c r="B1307"/>
      <c r="C1307"/>
      <c r="D1307"/>
      <c r="E1307"/>
      <c r="F1307"/>
      <c r="G1307"/>
      <c r="H1307"/>
      <c r="I1307"/>
      <c r="J1307"/>
      <c r="K1307"/>
      <c r="L1307"/>
      <c r="M1307" s="16"/>
      <c r="N1307"/>
      <c r="O1307"/>
      <c r="P1307"/>
    </row>
    <row r="1308" spans="1:16" ht="15" x14ac:dyDescent="0.2">
      <c r="A1308"/>
      <c r="B1308"/>
      <c r="C1308"/>
      <c r="D1308"/>
      <c r="E1308"/>
      <c r="F1308"/>
      <c r="G1308"/>
      <c r="H1308"/>
      <c r="I1308"/>
      <c r="J1308"/>
      <c r="K1308"/>
      <c r="L1308"/>
      <c r="M1308" s="16"/>
      <c r="N1308"/>
      <c r="O1308"/>
      <c r="P1308"/>
    </row>
    <row r="1309" spans="1:16" ht="15" x14ac:dyDescent="0.2">
      <c r="A1309"/>
      <c r="B1309"/>
      <c r="C1309"/>
      <c r="D1309"/>
      <c r="E1309"/>
      <c r="F1309"/>
      <c r="G1309"/>
      <c r="H1309"/>
      <c r="I1309"/>
      <c r="J1309"/>
      <c r="K1309"/>
      <c r="L1309"/>
      <c r="M1309" s="16"/>
      <c r="N1309"/>
      <c r="O1309"/>
      <c r="P1309"/>
    </row>
    <row r="1310" spans="1:16" ht="15" x14ac:dyDescent="0.2">
      <c r="A1310"/>
      <c r="B1310"/>
      <c r="C1310"/>
      <c r="D1310"/>
      <c r="E1310"/>
      <c r="F1310"/>
      <c r="G1310"/>
      <c r="H1310"/>
      <c r="I1310"/>
      <c r="J1310"/>
      <c r="K1310"/>
      <c r="L1310"/>
      <c r="M1310" s="16"/>
      <c r="N1310"/>
      <c r="O1310"/>
      <c r="P1310"/>
    </row>
    <row r="1311" spans="1:16" ht="15" x14ac:dyDescent="0.2">
      <c r="A1311"/>
      <c r="B1311"/>
      <c r="C1311"/>
      <c r="D1311"/>
      <c r="E1311"/>
      <c r="F1311"/>
      <c r="G1311"/>
      <c r="H1311"/>
      <c r="I1311"/>
      <c r="J1311"/>
      <c r="K1311"/>
      <c r="L1311"/>
      <c r="M1311" s="16"/>
      <c r="N1311"/>
      <c r="O1311"/>
      <c r="P1311"/>
    </row>
    <row r="1312" spans="1:16" ht="15" x14ac:dyDescent="0.2">
      <c r="A1312"/>
      <c r="B1312"/>
      <c r="C1312"/>
      <c r="D1312"/>
      <c r="E1312"/>
      <c r="F1312"/>
      <c r="G1312"/>
      <c r="H1312"/>
      <c r="I1312"/>
      <c r="J1312"/>
      <c r="K1312"/>
      <c r="L1312"/>
      <c r="M1312" s="16"/>
      <c r="N1312"/>
      <c r="O1312"/>
      <c r="P1312"/>
    </row>
    <row r="1313" spans="1:16" ht="15" x14ac:dyDescent="0.2">
      <c r="A1313"/>
      <c r="B1313"/>
      <c r="C1313"/>
      <c r="D1313"/>
      <c r="E1313"/>
      <c r="F1313"/>
      <c r="G1313"/>
      <c r="H1313"/>
      <c r="I1313"/>
      <c r="J1313"/>
      <c r="K1313"/>
      <c r="L1313"/>
      <c r="M1313" s="16"/>
      <c r="N1313"/>
      <c r="O1313"/>
      <c r="P1313"/>
    </row>
    <row r="1314" spans="1:16" ht="15" x14ac:dyDescent="0.2">
      <c r="A1314"/>
      <c r="B1314"/>
      <c r="C1314"/>
      <c r="D1314"/>
      <c r="E1314"/>
      <c r="F1314"/>
      <c r="G1314"/>
      <c r="H1314"/>
      <c r="I1314"/>
      <c r="J1314"/>
      <c r="K1314"/>
      <c r="L1314"/>
      <c r="M1314" s="16"/>
      <c r="N1314"/>
      <c r="O1314"/>
      <c r="P1314"/>
    </row>
    <row r="1315" spans="1:16" ht="15" x14ac:dyDescent="0.2">
      <c r="A1315"/>
      <c r="B1315"/>
      <c r="C1315"/>
      <c r="D1315"/>
      <c r="E1315"/>
      <c r="F1315"/>
      <c r="G1315"/>
      <c r="H1315"/>
      <c r="I1315"/>
      <c r="J1315"/>
      <c r="K1315"/>
      <c r="L1315"/>
      <c r="M1315" s="16"/>
      <c r="N1315"/>
      <c r="O1315"/>
      <c r="P1315"/>
    </row>
    <row r="1316" spans="1:16" ht="15" x14ac:dyDescent="0.2">
      <c r="A1316"/>
      <c r="B1316"/>
      <c r="C1316"/>
      <c r="D1316"/>
      <c r="E1316"/>
      <c r="F1316"/>
      <c r="G1316"/>
      <c r="H1316"/>
      <c r="I1316"/>
      <c r="J1316"/>
      <c r="K1316"/>
      <c r="L1316"/>
      <c r="M1316" s="16"/>
      <c r="N1316"/>
      <c r="O1316"/>
      <c r="P1316"/>
    </row>
    <row r="1317" spans="1:16" ht="15" x14ac:dyDescent="0.2">
      <c r="A1317"/>
      <c r="B1317"/>
      <c r="C1317"/>
      <c r="D1317"/>
      <c r="E1317"/>
      <c r="F1317"/>
      <c r="G1317"/>
      <c r="H1317"/>
      <c r="I1317"/>
      <c r="J1317"/>
      <c r="K1317"/>
      <c r="L1317"/>
      <c r="M1317" s="16"/>
      <c r="N1317"/>
      <c r="O1317"/>
      <c r="P1317"/>
    </row>
    <row r="1318" spans="1:16" ht="15" x14ac:dyDescent="0.2">
      <c r="A1318"/>
      <c r="B1318"/>
      <c r="C1318"/>
      <c r="D1318"/>
      <c r="E1318"/>
      <c r="F1318"/>
      <c r="G1318"/>
      <c r="H1318"/>
      <c r="I1318"/>
      <c r="J1318"/>
      <c r="K1318"/>
      <c r="L1318"/>
      <c r="M1318" s="16"/>
      <c r="N1318"/>
      <c r="O1318"/>
      <c r="P1318"/>
    </row>
    <row r="1319" spans="1:16" ht="15" x14ac:dyDescent="0.2">
      <c r="A1319"/>
      <c r="B1319"/>
      <c r="C1319"/>
      <c r="D1319"/>
      <c r="E1319"/>
      <c r="F1319"/>
      <c r="G1319"/>
      <c r="H1319"/>
      <c r="I1319"/>
      <c r="J1319"/>
      <c r="K1319"/>
      <c r="L1319"/>
      <c r="M1319" s="16"/>
      <c r="N1319"/>
      <c r="O1319"/>
      <c r="P1319"/>
    </row>
    <row r="1320" spans="1:16" ht="15" x14ac:dyDescent="0.2">
      <c r="A1320"/>
      <c r="B1320"/>
      <c r="C1320"/>
      <c r="D1320"/>
      <c r="E1320"/>
      <c r="F1320"/>
      <c r="G1320"/>
      <c r="H1320"/>
      <c r="I1320"/>
      <c r="J1320"/>
      <c r="K1320"/>
      <c r="L1320"/>
      <c r="M1320" s="16"/>
      <c r="N1320"/>
      <c r="O1320"/>
      <c r="P1320"/>
    </row>
    <row r="1321" spans="1:16" ht="15" x14ac:dyDescent="0.2">
      <c r="A1321"/>
      <c r="B1321"/>
      <c r="C1321"/>
      <c r="D1321"/>
      <c r="E1321"/>
      <c r="F1321"/>
      <c r="G1321"/>
      <c r="H1321"/>
      <c r="I1321"/>
      <c r="J1321"/>
      <c r="K1321"/>
      <c r="L1321"/>
      <c r="M1321" s="16"/>
      <c r="N1321"/>
      <c r="O1321"/>
      <c r="P1321"/>
    </row>
    <row r="1322" spans="1:16" ht="15" x14ac:dyDescent="0.2">
      <c r="A1322"/>
      <c r="B1322"/>
      <c r="C1322"/>
      <c r="D1322"/>
      <c r="E1322"/>
      <c r="F1322"/>
      <c r="G1322"/>
      <c r="H1322"/>
      <c r="I1322"/>
      <c r="J1322"/>
      <c r="K1322"/>
      <c r="L1322"/>
      <c r="M1322" s="16"/>
      <c r="N1322"/>
      <c r="O1322"/>
      <c r="P1322"/>
    </row>
    <row r="1323" spans="1:16" ht="15" x14ac:dyDescent="0.2">
      <c r="A1323"/>
      <c r="B1323"/>
      <c r="C1323"/>
      <c r="D1323"/>
      <c r="E1323"/>
      <c r="F1323"/>
      <c r="G1323"/>
      <c r="H1323"/>
      <c r="I1323"/>
      <c r="J1323"/>
      <c r="K1323"/>
      <c r="L1323"/>
      <c r="M1323" s="16"/>
      <c r="N1323"/>
      <c r="O1323"/>
      <c r="P1323"/>
    </row>
    <row r="1324" spans="1:16" ht="15" x14ac:dyDescent="0.2">
      <c r="A1324"/>
      <c r="B1324"/>
      <c r="C1324"/>
      <c r="D1324"/>
      <c r="E1324"/>
      <c r="F1324"/>
      <c r="G1324"/>
      <c r="H1324"/>
      <c r="I1324"/>
      <c r="J1324"/>
      <c r="K1324"/>
      <c r="L1324"/>
      <c r="M1324" s="16"/>
      <c r="N1324"/>
      <c r="O1324"/>
      <c r="P1324"/>
    </row>
    <row r="1325" spans="1:16" ht="15" x14ac:dyDescent="0.2">
      <c r="A1325"/>
      <c r="B1325"/>
      <c r="C1325"/>
      <c r="D1325"/>
      <c r="E1325"/>
      <c r="F1325"/>
      <c r="G1325"/>
      <c r="H1325"/>
      <c r="I1325"/>
      <c r="J1325"/>
      <c r="K1325"/>
      <c r="L1325"/>
      <c r="M1325" s="16"/>
      <c r="N1325"/>
      <c r="O1325"/>
      <c r="P1325"/>
    </row>
    <row r="1326" spans="1:16" ht="15" x14ac:dyDescent="0.2">
      <c r="A1326"/>
      <c r="B1326"/>
      <c r="C1326"/>
      <c r="D1326"/>
      <c r="E1326"/>
      <c r="F1326"/>
      <c r="G1326"/>
      <c r="H1326"/>
      <c r="I1326"/>
      <c r="J1326"/>
      <c r="K1326"/>
      <c r="L1326"/>
      <c r="M1326" s="16"/>
      <c r="N1326"/>
      <c r="O1326"/>
      <c r="P1326"/>
    </row>
    <row r="1327" spans="1:16" ht="15" x14ac:dyDescent="0.2">
      <c r="A1327"/>
      <c r="B1327"/>
      <c r="C1327"/>
      <c r="D1327"/>
      <c r="E1327"/>
      <c r="F1327"/>
      <c r="G1327"/>
      <c r="H1327"/>
      <c r="I1327"/>
      <c r="J1327"/>
      <c r="K1327"/>
      <c r="L1327"/>
      <c r="M1327" s="16"/>
      <c r="N1327"/>
      <c r="O1327"/>
      <c r="P1327"/>
    </row>
    <row r="1328" spans="1:16" ht="15" x14ac:dyDescent="0.2">
      <c r="A1328"/>
      <c r="B1328"/>
      <c r="C1328"/>
      <c r="D1328"/>
      <c r="E1328"/>
      <c r="F1328"/>
      <c r="G1328"/>
      <c r="H1328"/>
      <c r="I1328"/>
      <c r="J1328"/>
      <c r="K1328"/>
      <c r="L1328"/>
      <c r="M1328" s="16"/>
      <c r="N1328"/>
      <c r="O1328"/>
      <c r="P1328"/>
    </row>
    <row r="1329" spans="1:16" ht="15" x14ac:dyDescent="0.2">
      <c r="A1329"/>
      <c r="B1329"/>
      <c r="C1329"/>
      <c r="D1329"/>
      <c r="E1329"/>
      <c r="F1329"/>
      <c r="G1329"/>
      <c r="H1329"/>
      <c r="I1329"/>
      <c r="J1329"/>
      <c r="K1329"/>
      <c r="L1329"/>
      <c r="M1329" s="16"/>
      <c r="N1329"/>
      <c r="O1329"/>
      <c r="P1329"/>
    </row>
    <row r="1330" spans="1:16" ht="15" x14ac:dyDescent="0.2">
      <c r="A1330"/>
      <c r="B1330"/>
      <c r="C1330"/>
      <c r="D1330"/>
      <c r="E1330"/>
      <c r="F1330"/>
      <c r="G1330"/>
      <c r="H1330"/>
      <c r="I1330"/>
      <c r="J1330"/>
      <c r="K1330"/>
      <c r="L1330"/>
      <c r="M1330" s="16"/>
      <c r="N1330"/>
      <c r="O1330"/>
      <c r="P1330"/>
    </row>
    <row r="1331" spans="1:16" ht="15" x14ac:dyDescent="0.2">
      <c r="A1331"/>
      <c r="B1331"/>
      <c r="C1331"/>
      <c r="D1331"/>
      <c r="E1331"/>
      <c r="F1331"/>
      <c r="G1331"/>
      <c r="H1331"/>
      <c r="I1331"/>
      <c r="J1331"/>
      <c r="K1331"/>
      <c r="L1331"/>
      <c r="M1331" s="16"/>
      <c r="N1331"/>
      <c r="O1331"/>
      <c r="P1331"/>
    </row>
    <row r="1332" spans="1:16" ht="15" x14ac:dyDescent="0.2">
      <c r="A1332"/>
      <c r="B1332"/>
      <c r="C1332"/>
      <c r="D1332"/>
      <c r="E1332"/>
      <c r="F1332"/>
      <c r="G1332"/>
      <c r="H1332"/>
      <c r="I1332"/>
      <c r="J1332"/>
      <c r="K1332"/>
      <c r="L1332"/>
      <c r="M1332" s="16"/>
      <c r="N1332"/>
      <c r="O1332"/>
      <c r="P1332"/>
    </row>
    <row r="1333" spans="1:16" ht="15" x14ac:dyDescent="0.2">
      <c r="A1333"/>
      <c r="B1333"/>
      <c r="C1333"/>
      <c r="D1333"/>
      <c r="E1333"/>
      <c r="F1333"/>
      <c r="G1333"/>
      <c r="H1333"/>
      <c r="I1333"/>
      <c r="J1333"/>
      <c r="K1333"/>
      <c r="L1333"/>
      <c r="M1333" s="16"/>
      <c r="N1333"/>
      <c r="O1333"/>
      <c r="P1333"/>
    </row>
    <row r="1334" spans="1:16" ht="15" x14ac:dyDescent="0.2">
      <c r="A1334"/>
      <c r="B1334"/>
      <c r="C1334"/>
      <c r="D1334"/>
      <c r="E1334"/>
      <c r="F1334"/>
      <c r="G1334"/>
      <c r="H1334"/>
      <c r="I1334"/>
      <c r="J1334"/>
      <c r="K1334"/>
      <c r="L1334"/>
      <c r="M1334" s="16"/>
      <c r="N1334"/>
      <c r="O1334"/>
      <c r="P1334"/>
    </row>
    <row r="1335" spans="1:16" ht="15" x14ac:dyDescent="0.2">
      <c r="A1335"/>
      <c r="B1335"/>
      <c r="C1335"/>
      <c r="D1335"/>
      <c r="E1335"/>
      <c r="F1335"/>
      <c r="G1335"/>
      <c r="H1335"/>
      <c r="I1335"/>
      <c r="J1335"/>
      <c r="K1335"/>
      <c r="L1335"/>
      <c r="M1335" s="16"/>
      <c r="N1335"/>
      <c r="O1335"/>
      <c r="P1335"/>
    </row>
    <row r="1336" spans="1:16" ht="15" x14ac:dyDescent="0.2">
      <c r="A1336"/>
      <c r="B1336"/>
      <c r="C1336"/>
      <c r="D1336"/>
      <c r="E1336"/>
      <c r="F1336"/>
      <c r="G1336"/>
      <c r="H1336"/>
      <c r="I1336"/>
      <c r="J1336"/>
      <c r="K1336"/>
      <c r="L1336"/>
      <c r="M1336" s="16"/>
      <c r="N1336"/>
      <c r="O1336"/>
      <c r="P1336"/>
    </row>
    <row r="1337" spans="1:16" ht="15" x14ac:dyDescent="0.2">
      <c r="A1337"/>
      <c r="B1337"/>
      <c r="C1337"/>
      <c r="D1337"/>
      <c r="E1337"/>
      <c r="F1337"/>
      <c r="G1337"/>
      <c r="H1337"/>
      <c r="I1337"/>
      <c r="J1337"/>
      <c r="K1337"/>
      <c r="L1337"/>
      <c r="M1337" s="16"/>
      <c r="N1337"/>
      <c r="O1337"/>
      <c r="P1337"/>
    </row>
    <row r="1338" spans="1:16" ht="15" x14ac:dyDescent="0.2">
      <c r="A1338"/>
      <c r="B1338"/>
      <c r="C1338"/>
      <c r="D1338"/>
      <c r="E1338"/>
      <c r="F1338"/>
      <c r="G1338"/>
      <c r="H1338"/>
      <c r="I1338"/>
      <c r="J1338"/>
      <c r="K1338"/>
      <c r="L1338"/>
      <c r="M1338" s="16"/>
      <c r="N1338"/>
      <c r="O1338"/>
      <c r="P1338"/>
    </row>
    <row r="1339" spans="1:16" ht="15" x14ac:dyDescent="0.2">
      <c r="A1339"/>
      <c r="B1339"/>
      <c r="C1339"/>
      <c r="D1339"/>
      <c r="E1339"/>
      <c r="F1339"/>
      <c r="G1339"/>
      <c r="H1339"/>
      <c r="I1339"/>
      <c r="J1339"/>
      <c r="K1339"/>
      <c r="L1339"/>
      <c r="M1339" s="16"/>
      <c r="N1339"/>
      <c r="O1339"/>
      <c r="P1339"/>
    </row>
    <row r="1340" spans="1:16" ht="15" x14ac:dyDescent="0.2">
      <c r="A1340"/>
      <c r="B1340"/>
      <c r="C1340"/>
      <c r="D1340"/>
      <c r="E1340"/>
      <c r="F1340"/>
      <c r="G1340"/>
      <c r="H1340"/>
      <c r="I1340"/>
      <c r="J1340"/>
      <c r="K1340"/>
      <c r="L1340"/>
      <c r="M1340" s="16"/>
      <c r="N1340"/>
      <c r="O1340"/>
      <c r="P1340"/>
    </row>
    <row r="1341" spans="1:16" ht="15" x14ac:dyDescent="0.2">
      <c r="A1341"/>
      <c r="B1341"/>
      <c r="C1341"/>
      <c r="D1341"/>
      <c r="E1341"/>
      <c r="F1341"/>
      <c r="G1341"/>
      <c r="H1341"/>
      <c r="I1341"/>
      <c r="J1341"/>
      <c r="K1341"/>
      <c r="L1341"/>
      <c r="M1341" s="16"/>
      <c r="N1341"/>
      <c r="O1341"/>
      <c r="P1341"/>
    </row>
    <row r="1342" spans="1:16" ht="15" x14ac:dyDescent="0.2">
      <c r="A1342"/>
      <c r="B1342"/>
      <c r="C1342"/>
      <c r="D1342"/>
      <c r="E1342"/>
      <c r="F1342"/>
      <c r="G1342"/>
      <c r="H1342"/>
      <c r="I1342"/>
      <c r="J1342"/>
      <c r="K1342"/>
      <c r="L1342"/>
      <c r="M1342" s="16"/>
      <c r="N1342"/>
      <c r="O1342"/>
      <c r="P1342"/>
    </row>
    <row r="1343" spans="1:16" ht="15" x14ac:dyDescent="0.2">
      <c r="A1343"/>
      <c r="B1343"/>
      <c r="C1343"/>
      <c r="D1343"/>
      <c r="E1343"/>
      <c r="F1343"/>
      <c r="G1343"/>
      <c r="H1343"/>
      <c r="I1343"/>
      <c r="J1343"/>
      <c r="K1343"/>
      <c r="L1343"/>
      <c r="M1343" s="16"/>
      <c r="N1343"/>
      <c r="O1343"/>
      <c r="P1343"/>
    </row>
    <row r="1344" spans="1:16" ht="15" x14ac:dyDescent="0.2">
      <c r="A1344"/>
      <c r="B1344"/>
      <c r="C1344"/>
      <c r="D1344"/>
      <c r="E1344"/>
      <c r="F1344"/>
      <c r="G1344"/>
      <c r="H1344"/>
      <c r="I1344"/>
      <c r="J1344"/>
      <c r="K1344"/>
      <c r="L1344"/>
      <c r="M1344" s="16"/>
      <c r="N1344"/>
      <c r="O1344"/>
      <c r="P1344"/>
    </row>
    <row r="1345" spans="1:16" ht="15" x14ac:dyDescent="0.2">
      <c r="A1345"/>
      <c r="B1345"/>
      <c r="C1345"/>
      <c r="D1345"/>
      <c r="E1345"/>
      <c r="F1345"/>
      <c r="G1345"/>
      <c r="H1345"/>
      <c r="I1345"/>
      <c r="J1345"/>
      <c r="K1345"/>
      <c r="L1345"/>
      <c r="M1345" s="16"/>
      <c r="N1345"/>
      <c r="O1345"/>
      <c r="P1345"/>
    </row>
    <row r="1346" spans="1:16" ht="15" x14ac:dyDescent="0.2">
      <c r="A1346"/>
      <c r="B1346"/>
      <c r="C1346"/>
      <c r="D1346"/>
      <c r="E1346"/>
      <c r="F1346"/>
      <c r="G1346"/>
      <c r="H1346"/>
      <c r="I1346"/>
      <c r="J1346"/>
      <c r="K1346"/>
      <c r="L1346"/>
      <c r="M1346" s="16"/>
      <c r="N1346"/>
      <c r="O1346"/>
      <c r="P1346"/>
    </row>
    <row r="1347" spans="1:16" ht="15" x14ac:dyDescent="0.2">
      <c r="A1347"/>
      <c r="B1347"/>
      <c r="C1347"/>
      <c r="D1347"/>
      <c r="E1347"/>
      <c r="F1347"/>
      <c r="G1347"/>
      <c r="H1347"/>
      <c r="I1347"/>
      <c r="J1347"/>
      <c r="K1347"/>
      <c r="L1347"/>
      <c r="M1347" s="16"/>
      <c r="N1347"/>
      <c r="O1347"/>
      <c r="P1347"/>
    </row>
    <row r="1348" spans="1:16" ht="15" x14ac:dyDescent="0.2">
      <c r="A1348"/>
      <c r="B1348"/>
      <c r="C1348"/>
      <c r="D1348"/>
      <c r="E1348"/>
      <c r="F1348"/>
      <c r="G1348"/>
      <c r="H1348"/>
      <c r="I1348"/>
      <c r="J1348"/>
      <c r="K1348"/>
      <c r="L1348"/>
      <c r="M1348" s="16"/>
      <c r="N1348"/>
      <c r="O1348"/>
      <c r="P1348"/>
    </row>
    <row r="1349" spans="1:16" ht="15" x14ac:dyDescent="0.2">
      <c r="A1349"/>
      <c r="B1349"/>
      <c r="C1349"/>
      <c r="D1349"/>
      <c r="E1349"/>
      <c r="F1349"/>
      <c r="G1349"/>
      <c r="H1349"/>
      <c r="I1349"/>
      <c r="J1349"/>
      <c r="K1349"/>
      <c r="L1349"/>
      <c r="M1349" s="16"/>
      <c r="N1349"/>
      <c r="O1349"/>
      <c r="P1349"/>
    </row>
    <row r="1350" spans="1:16" ht="15" x14ac:dyDescent="0.2">
      <c r="A1350"/>
      <c r="B1350"/>
      <c r="C1350"/>
      <c r="D1350"/>
      <c r="E1350"/>
      <c r="F1350"/>
      <c r="G1350"/>
      <c r="H1350"/>
      <c r="I1350"/>
      <c r="J1350"/>
      <c r="K1350"/>
      <c r="L1350"/>
      <c r="M1350" s="16"/>
      <c r="N1350"/>
      <c r="O1350"/>
      <c r="P1350"/>
    </row>
    <row r="1351" spans="1:16" ht="15" x14ac:dyDescent="0.2">
      <c r="A1351"/>
      <c r="B1351"/>
      <c r="C1351"/>
      <c r="D1351"/>
      <c r="E1351"/>
      <c r="F1351"/>
      <c r="G1351"/>
      <c r="H1351"/>
      <c r="I1351"/>
      <c r="J1351"/>
      <c r="K1351"/>
      <c r="L1351"/>
      <c r="M1351" s="16"/>
      <c r="N1351"/>
      <c r="O1351"/>
      <c r="P1351"/>
    </row>
    <row r="1352" spans="1:16" ht="15" x14ac:dyDescent="0.2">
      <c r="A1352"/>
      <c r="B1352"/>
      <c r="C1352"/>
      <c r="D1352"/>
      <c r="E1352"/>
      <c r="F1352"/>
      <c r="G1352"/>
      <c r="H1352"/>
      <c r="I1352"/>
      <c r="J1352"/>
      <c r="K1352"/>
      <c r="L1352"/>
      <c r="M1352" s="16"/>
      <c r="N1352"/>
      <c r="O1352"/>
      <c r="P1352"/>
    </row>
    <row r="1353" spans="1:16" ht="15" x14ac:dyDescent="0.2">
      <c r="A1353"/>
      <c r="B1353"/>
      <c r="C1353"/>
      <c r="D1353"/>
      <c r="E1353"/>
      <c r="F1353"/>
      <c r="G1353"/>
      <c r="H1353"/>
      <c r="I1353"/>
      <c r="J1353"/>
      <c r="K1353"/>
      <c r="L1353"/>
      <c r="M1353" s="16"/>
      <c r="N1353"/>
      <c r="O1353"/>
      <c r="P1353"/>
    </row>
    <row r="1354" spans="1:16" ht="15" x14ac:dyDescent="0.2">
      <c r="A1354"/>
      <c r="B1354"/>
      <c r="C1354"/>
      <c r="D1354"/>
      <c r="E1354"/>
      <c r="F1354"/>
      <c r="G1354"/>
      <c r="H1354"/>
      <c r="I1354"/>
      <c r="J1354"/>
      <c r="K1354"/>
      <c r="L1354"/>
      <c r="M1354" s="16"/>
      <c r="N1354"/>
      <c r="O1354"/>
      <c r="P1354"/>
    </row>
    <row r="1355" spans="1:16" ht="15" x14ac:dyDescent="0.2">
      <c r="A1355"/>
      <c r="B1355"/>
      <c r="C1355"/>
      <c r="D1355"/>
      <c r="E1355"/>
      <c r="F1355"/>
      <c r="G1355"/>
      <c r="H1355"/>
      <c r="I1355"/>
      <c r="J1355"/>
      <c r="K1355"/>
      <c r="L1355"/>
      <c r="M1355" s="16"/>
      <c r="N1355"/>
      <c r="O1355"/>
      <c r="P1355"/>
    </row>
    <row r="1356" spans="1:16" ht="15" x14ac:dyDescent="0.2">
      <c r="A1356"/>
      <c r="B1356"/>
      <c r="C1356"/>
      <c r="D1356"/>
      <c r="E1356"/>
      <c r="F1356"/>
      <c r="G1356"/>
      <c r="H1356"/>
      <c r="I1356"/>
      <c r="J1356"/>
      <c r="K1356"/>
      <c r="L1356"/>
      <c r="M1356" s="16"/>
      <c r="N1356"/>
      <c r="O1356"/>
      <c r="P1356"/>
    </row>
    <row r="1357" spans="1:16" ht="15" x14ac:dyDescent="0.2">
      <c r="A1357"/>
      <c r="B1357"/>
      <c r="C1357"/>
      <c r="D1357"/>
      <c r="E1357"/>
      <c r="F1357"/>
      <c r="G1357"/>
      <c r="H1357"/>
      <c r="I1357"/>
      <c r="J1357"/>
      <c r="K1357"/>
      <c r="L1357"/>
      <c r="M1357" s="16"/>
      <c r="N1357"/>
      <c r="O1357"/>
      <c r="P1357"/>
    </row>
    <row r="1358" spans="1:16" ht="15" x14ac:dyDescent="0.2">
      <c r="A1358"/>
      <c r="B1358"/>
      <c r="C1358"/>
      <c r="D1358"/>
      <c r="E1358"/>
      <c r="F1358"/>
      <c r="G1358"/>
      <c r="H1358"/>
      <c r="I1358"/>
      <c r="J1358"/>
      <c r="K1358"/>
      <c r="L1358"/>
      <c r="M1358" s="16"/>
      <c r="N1358"/>
      <c r="O1358"/>
      <c r="P1358"/>
    </row>
    <row r="1359" spans="1:16" ht="15" x14ac:dyDescent="0.2">
      <c r="A1359"/>
      <c r="B1359"/>
      <c r="C1359"/>
      <c r="D1359"/>
      <c r="E1359"/>
      <c r="F1359"/>
      <c r="G1359"/>
      <c r="H1359"/>
      <c r="I1359"/>
      <c r="J1359"/>
      <c r="K1359"/>
      <c r="L1359"/>
      <c r="M1359" s="16"/>
      <c r="N1359"/>
      <c r="O1359"/>
      <c r="P1359"/>
    </row>
    <row r="1360" spans="1:16" ht="15" x14ac:dyDescent="0.2">
      <c r="A1360"/>
      <c r="B1360"/>
      <c r="C1360"/>
      <c r="D1360"/>
      <c r="E1360"/>
      <c r="F1360"/>
      <c r="G1360"/>
      <c r="H1360"/>
      <c r="I1360"/>
      <c r="J1360"/>
      <c r="K1360"/>
      <c r="L1360"/>
      <c r="M1360" s="16"/>
      <c r="N1360"/>
      <c r="O1360"/>
      <c r="P1360"/>
    </row>
    <row r="1361" spans="1:16" ht="15" x14ac:dyDescent="0.2">
      <c r="A1361"/>
      <c r="B1361"/>
      <c r="C1361"/>
      <c r="D1361"/>
      <c r="E1361"/>
      <c r="F1361"/>
      <c r="G1361"/>
      <c r="H1361"/>
      <c r="I1361"/>
      <c r="J1361"/>
      <c r="K1361"/>
      <c r="L1361"/>
      <c r="M1361" s="16"/>
      <c r="N1361"/>
      <c r="O1361"/>
      <c r="P1361"/>
    </row>
    <row r="1362" spans="1:16" ht="15" x14ac:dyDescent="0.2">
      <c r="A1362"/>
      <c r="B1362"/>
      <c r="C1362"/>
      <c r="D1362"/>
      <c r="E1362"/>
      <c r="F1362"/>
      <c r="G1362"/>
      <c r="H1362"/>
      <c r="I1362"/>
      <c r="J1362"/>
      <c r="K1362"/>
      <c r="L1362"/>
      <c r="M1362" s="16"/>
      <c r="N1362"/>
      <c r="O1362"/>
      <c r="P1362"/>
    </row>
    <row r="1363" spans="1:16" ht="15" x14ac:dyDescent="0.2">
      <c r="A1363"/>
      <c r="B1363"/>
      <c r="C1363"/>
      <c r="D1363"/>
      <c r="E1363"/>
      <c r="F1363"/>
      <c r="G1363"/>
      <c r="H1363"/>
      <c r="I1363"/>
      <c r="J1363"/>
      <c r="K1363"/>
      <c r="L1363"/>
      <c r="M1363" s="16"/>
      <c r="N1363"/>
      <c r="O1363"/>
      <c r="P1363"/>
    </row>
    <row r="1364" spans="1:16" ht="15" x14ac:dyDescent="0.2">
      <c r="A1364"/>
      <c r="B1364"/>
      <c r="C1364"/>
      <c r="D1364"/>
      <c r="E1364"/>
      <c r="F1364"/>
      <c r="G1364"/>
      <c r="H1364"/>
      <c r="I1364"/>
      <c r="J1364"/>
      <c r="K1364"/>
      <c r="L1364"/>
      <c r="M1364" s="16"/>
      <c r="N1364"/>
      <c r="O1364"/>
      <c r="P1364"/>
    </row>
    <row r="1365" spans="1:16" ht="15" x14ac:dyDescent="0.2">
      <c r="A1365"/>
      <c r="B1365"/>
      <c r="C1365"/>
      <c r="D1365"/>
      <c r="E1365"/>
      <c r="F1365"/>
      <c r="G1365"/>
      <c r="H1365"/>
      <c r="I1365"/>
      <c r="J1365"/>
      <c r="K1365"/>
      <c r="L1365"/>
      <c r="M1365" s="16"/>
      <c r="N1365"/>
      <c r="O1365"/>
      <c r="P1365"/>
    </row>
    <row r="1366" spans="1:16" ht="15" x14ac:dyDescent="0.2">
      <c r="A1366"/>
      <c r="B1366"/>
      <c r="C1366"/>
      <c r="D1366"/>
      <c r="E1366"/>
      <c r="F1366"/>
      <c r="G1366"/>
      <c r="H1366"/>
      <c r="I1366"/>
      <c r="J1366"/>
      <c r="K1366"/>
      <c r="L1366"/>
      <c r="M1366" s="16"/>
      <c r="N1366"/>
      <c r="O1366"/>
      <c r="P1366"/>
    </row>
    <row r="1367" spans="1:16" ht="15" x14ac:dyDescent="0.2">
      <c r="A1367"/>
      <c r="B1367"/>
      <c r="C1367"/>
      <c r="D1367"/>
      <c r="E1367"/>
      <c r="F1367"/>
      <c r="G1367"/>
      <c r="H1367"/>
      <c r="I1367"/>
      <c r="J1367"/>
      <c r="K1367"/>
      <c r="L1367"/>
      <c r="M1367" s="16"/>
      <c r="N1367"/>
      <c r="O1367"/>
      <c r="P1367"/>
    </row>
    <row r="1368" spans="1:16" ht="15" x14ac:dyDescent="0.2">
      <c r="A1368"/>
      <c r="B1368"/>
      <c r="C1368"/>
      <c r="D1368"/>
      <c r="E1368"/>
      <c r="F1368"/>
      <c r="G1368"/>
      <c r="H1368"/>
      <c r="I1368"/>
      <c r="J1368"/>
      <c r="K1368"/>
      <c r="L1368"/>
      <c r="M1368" s="16"/>
      <c r="N1368"/>
      <c r="O1368"/>
      <c r="P1368"/>
    </row>
    <row r="1369" spans="1:16" ht="15" x14ac:dyDescent="0.2">
      <c r="A1369"/>
      <c r="B1369"/>
      <c r="C1369"/>
      <c r="D1369"/>
      <c r="E1369"/>
      <c r="F1369"/>
      <c r="G1369"/>
      <c r="H1369"/>
      <c r="I1369"/>
      <c r="J1369"/>
      <c r="K1369"/>
      <c r="L1369"/>
      <c r="M1369" s="16"/>
      <c r="N1369"/>
      <c r="O1369"/>
      <c r="P1369"/>
    </row>
    <row r="1370" spans="1:16" ht="15" x14ac:dyDescent="0.2">
      <c r="A1370"/>
      <c r="B1370"/>
      <c r="C1370"/>
      <c r="D1370"/>
      <c r="E1370"/>
      <c r="F1370"/>
      <c r="G1370"/>
      <c r="H1370"/>
      <c r="I1370"/>
      <c r="J1370"/>
      <c r="K1370"/>
      <c r="L1370"/>
      <c r="M1370" s="16"/>
      <c r="N1370"/>
      <c r="O1370"/>
      <c r="P1370"/>
    </row>
    <row r="1371" spans="1:16" ht="15" x14ac:dyDescent="0.2">
      <c r="A1371"/>
      <c r="B1371"/>
      <c r="C1371"/>
      <c r="D1371"/>
      <c r="E1371"/>
      <c r="F1371"/>
      <c r="G1371"/>
      <c r="H1371"/>
      <c r="I1371"/>
      <c r="J1371"/>
      <c r="K1371"/>
      <c r="L1371"/>
      <c r="M1371" s="16"/>
      <c r="N1371"/>
      <c r="O1371"/>
      <c r="P1371"/>
    </row>
    <row r="1372" spans="1:16" ht="15" x14ac:dyDescent="0.2">
      <c r="A1372"/>
      <c r="B1372"/>
      <c r="C1372"/>
      <c r="D1372"/>
      <c r="E1372"/>
      <c r="F1372"/>
      <c r="G1372"/>
      <c r="H1372"/>
      <c r="I1372"/>
      <c r="J1372"/>
      <c r="K1372"/>
      <c r="L1372"/>
      <c r="M1372" s="16"/>
      <c r="N1372"/>
      <c r="O1372"/>
      <c r="P1372"/>
    </row>
    <row r="1373" spans="1:16" ht="15" x14ac:dyDescent="0.2">
      <c r="A1373"/>
      <c r="B1373"/>
      <c r="C1373"/>
      <c r="D1373"/>
      <c r="E1373"/>
      <c r="F1373"/>
      <c r="G1373"/>
      <c r="H1373"/>
      <c r="I1373"/>
      <c r="J1373"/>
      <c r="K1373"/>
      <c r="L1373"/>
      <c r="M1373" s="16"/>
      <c r="N1373"/>
      <c r="O1373"/>
      <c r="P1373"/>
    </row>
    <row r="1374" spans="1:16" ht="15" x14ac:dyDescent="0.2">
      <c r="A1374"/>
      <c r="B1374"/>
      <c r="C1374"/>
      <c r="D1374"/>
      <c r="E1374"/>
      <c r="F1374"/>
      <c r="G1374"/>
      <c r="H1374"/>
      <c r="I1374"/>
      <c r="J1374"/>
      <c r="K1374"/>
      <c r="L1374"/>
      <c r="M1374" s="16"/>
      <c r="N1374"/>
      <c r="O1374"/>
      <c r="P1374"/>
    </row>
    <row r="1375" spans="1:16" ht="15" x14ac:dyDescent="0.2">
      <c r="A1375"/>
      <c r="B1375"/>
      <c r="C1375"/>
      <c r="D1375"/>
      <c r="E1375"/>
      <c r="F1375"/>
      <c r="G1375"/>
      <c r="H1375"/>
      <c r="I1375"/>
      <c r="J1375"/>
      <c r="K1375"/>
      <c r="L1375"/>
      <c r="M1375" s="16"/>
      <c r="N1375"/>
      <c r="O1375"/>
      <c r="P1375"/>
    </row>
    <row r="1376" spans="1:16" ht="15" x14ac:dyDescent="0.2">
      <c r="A1376"/>
      <c r="B1376"/>
      <c r="C1376"/>
      <c r="D1376"/>
      <c r="E1376"/>
      <c r="F1376"/>
      <c r="G1376"/>
      <c r="H1376"/>
      <c r="I1376"/>
      <c r="J1376"/>
      <c r="K1376"/>
      <c r="L1376"/>
      <c r="M1376" s="16"/>
      <c r="N1376"/>
      <c r="O1376"/>
      <c r="P1376"/>
    </row>
    <row r="1377" spans="1:16" ht="15" x14ac:dyDescent="0.2">
      <c r="A1377"/>
      <c r="B1377"/>
      <c r="C1377"/>
      <c r="D1377"/>
      <c r="E1377"/>
      <c r="F1377"/>
      <c r="G1377"/>
      <c r="H1377"/>
      <c r="I1377"/>
      <c r="J1377"/>
      <c r="K1377"/>
      <c r="L1377"/>
      <c r="M1377" s="16"/>
      <c r="N1377"/>
      <c r="O1377"/>
      <c r="P1377"/>
    </row>
    <row r="1378" spans="1:16" ht="15" x14ac:dyDescent="0.2">
      <c r="A1378"/>
      <c r="B1378"/>
      <c r="C1378"/>
      <c r="D1378"/>
      <c r="E1378"/>
      <c r="F1378"/>
      <c r="G1378"/>
      <c r="H1378"/>
      <c r="I1378"/>
      <c r="J1378"/>
      <c r="K1378"/>
      <c r="L1378"/>
      <c r="M1378" s="16"/>
      <c r="N1378"/>
      <c r="O1378"/>
      <c r="P1378"/>
    </row>
    <row r="1379" spans="1:16" ht="15" x14ac:dyDescent="0.2">
      <c r="A1379"/>
      <c r="B1379"/>
      <c r="C1379"/>
      <c r="D1379"/>
      <c r="E1379"/>
      <c r="F1379"/>
      <c r="G1379"/>
      <c r="H1379"/>
      <c r="I1379"/>
      <c r="J1379"/>
      <c r="K1379"/>
      <c r="L1379"/>
      <c r="M1379" s="16"/>
      <c r="N1379"/>
      <c r="O1379"/>
      <c r="P1379"/>
    </row>
    <row r="1380" spans="1:16" ht="15" x14ac:dyDescent="0.2">
      <c r="A1380"/>
      <c r="B1380"/>
      <c r="C1380"/>
      <c r="D1380"/>
      <c r="E1380"/>
      <c r="F1380"/>
      <c r="G1380"/>
      <c r="H1380"/>
      <c r="I1380"/>
      <c r="J1380"/>
      <c r="K1380"/>
      <c r="L1380"/>
      <c r="M1380" s="16"/>
      <c r="N1380"/>
      <c r="O1380"/>
      <c r="P1380"/>
    </row>
    <row r="1381" spans="1:16" ht="15" x14ac:dyDescent="0.2">
      <c r="A1381"/>
      <c r="B1381"/>
      <c r="C1381"/>
      <c r="D1381"/>
      <c r="E1381"/>
      <c r="F1381"/>
      <c r="G1381"/>
      <c r="H1381"/>
      <c r="I1381"/>
      <c r="J1381"/>
      <c r="K1381"/>
      <c r="L1381"/>
      <c r="M1381" s="16"/>
      <c r="N1381"/>
      <c r="O1381"/>
      <c r="P1381"/>
    </row>
    <row r="1382" spans="1:16" ht="15" x14ac:dyDescent="0.2">
      <c r="A1382"/>
      <c r="B1382"/>
      <c r="C1382"/>
      <c r="D1382"/>
      <c r="E1382"/>
      <c r="F1382"/>
      <c r="G1382"/>
      <c r="H1382"/>
      <c r="I1382"/>
      <c r="J1382"/>
      <c r="K1382"/>
      <c r="L1382"/>
      <c r="M1382" s="16"/>
      <c r="N1382"/>
      <c r="O1382"/>
      <c r="P1382"/>
    </row>
    <row r="1383" spans="1:16" ht="15" x14ac:dyDescent="0.2">
      <c r="A1383"/>
      <c r="B1383"/>
      <c r="C1383"/>
      <c r="D1383"/>
      <c r="E1383"/>
      <c r="F1383"/>
      <c r="G1383"/>
      <c r="H1383"/>
      <c r="I1383"/>
      <c r="J1383"/>
      <c r="K1383"/>
      <c r="L1383"/>
      <c r="M1383" s="16"/>
      <c r="N1383"/>
      <c r="O1383"/>
      <c r="P1383"/>
    </row>
    <row r="1384" spans="1:16" ht="15" x14ac:dyDescent="0.2">
      <c r="A1384"/>
      <c r="B1384"/>
      <c r="C1384"/>
      <c r="D1384"/>
      <c r="E1384"/>
      <c r="F1384"/>
      <c r="G1384"/>
      <c r="H1384"/>
      <c r="I1384"/>
      <c r="J1384"/>
      <c r="K1384"/>
      <c r="L1384"/>
      <c r="M1384" s="16"/>
      <c r="N1384"/>
      <c r="O1384"/>
      <c r="P1384"/>
    </row>
    <row r="1385" spans="1:16" ht="15" x14ac:dyDescent="0.2">
      <c r="A1385"/>
      <c r="B1385"/>
      <c r="C1385"/>
      <c r="D1385"/>
      <c r="E1385"/>
      <c r="F1385"/>
      <c r="G1385"/>
      <c r="H1385"/>
      <c r="I1385"/>
      <c r="J1385"/>
      <c r="K1385"/>
      <c r="L1385"/>
      <c r="M1385" s="16"/>
      <c r="N1385"/>
      <c r="O1385"/>
      <c r="P1385"/>
    </row>
    <row r="1386" spans="1:16" ht="15" x14ac:dyDescent="0.2">
      <c r="A1386"/>
      <c r="B1386"/>
      <c r="C1386"/>
      <c r="D1386"/>
      <c r="E1386"/>
      <c r="F1386"/>
      <c r="G1386"/>
      <c r="H1386"/>
      <c r="I1386"/>
      <c r="J1386"/>
      <c r="K1386"/>
      <c r="L1386"/>
      <c r="M1386" s="16"/>
      <c r="N1386"/>
      <c r="O1386"/>
      <c r="P1386"/>
    </row>
    <row r="1387" spans="1:16" ht="15" x14ac:dyDescent="0.2">
      <c r="A1387"/>
      <c r="B1387"/>
      <c r="C1387"/>
      <c r="D1387"/>
      <c r="E1387"/>
      <c r="F1387"/>
      <c r="G1387"/>
      <c r="H1387"/>
      <c r="I1387"/>
      <c r="J1387"/>
      <c r="K1387"/>
      <c r="L1387"/>
      <c r="M1387" s="16"/>
      <c r="N1387"/>
      <c r="O1387"/>
      <c r="P1387"/>
    </row>
    <row r="1388" spans="1:16" ht="15" x14ac:dyDescent="0.2">
      <c r="A1388"/>
      <c r="B1388"/>
      <c r="C1388"/>
      <c r="D1388"/>
      <c r="E1388"/>
      <c r="F1388"/>
      <c r="G1388"/>
      <c r="H1388"/>
      <c r="I1388"/>
      <c r="J1388"/>
      <c r="K1388"/>
      <c r="L1388"/>
      <c r="M1388" s="16"/>
      <c r="N1388"/>
      <c r="O1388"/>
      <c r="P1388"/>
    </row>
    <row r="1389" spans="1:16" ht="15" x14ac:dyDescent="0.2">
      <c r="A1389"/>
      <c r="B1389"/>
      <c r="C1389"/>
      <c r="D1389"/>
      <c r="E1389"/>
      <c r="F1389"/>
      <c r="G1389"/>
      <c r="H1389"/>
      <c r="I1389"/>
      <c r="J1389"/>
      <c r="K1389"/>
      <c r="L1389"/>
      <c r="M1389" s="16"/>
      <c r="N1389"/>
      <c r="O1389"/>
      <c r="P1389"/>
    </row>
    <row r="1390" spans="1:16" ht="15" x14ac:dyDescent="0.2">
      <c r="A1390"/>
      <c r="B1390"/>
      <c r="C1390"/>
      <c r="D1390"/>
      <c r="E1390"/>
      <c r="F1390"/>
      <c r="G1390"/>
      <c r="H1390"/>
      <c r="I1390"/>
      <c r="J1390"/>
      <c r="K1390"/>
      <c r="L1390"/>
      <c r="M1390" s="16"/>
      <c r="N1390"/>
      <c r="O1390"/>
      <c r="P1390"/>
    </row>
    <row r="1391" spans="1:16" ht="15" x14ac:dyDescent="0.2">
      <c r="A1391"/>
      <c r="B1391"/>
      <c r="C1391"/>
      <c r="D1391"/>
      <c r="E1391"/>
      <c r="F1391"/>
      <c r="G1391"/>
      <c r="H1391"/>
      <c r="I1391"/>
      <c r="J1391"/>
      <c r="K1391"/>
      <c r="L1391"/>
      <c r="M1391" s="16"/>
      <c r="N1391"/>
      <c r="O1391"/>
      <c r="P1391"/>
    </row>
    <row r="1392" spans="1:16" ht="15" x14ac:dyDescent="0.2">
      <c r="A1392"/>
      <c r="B1392"/>
      <c r="C1392"/>
      <c r="D1392"/>
      <c r="E1392"/>
      <c r="F1392"/>
      <c r="G1392"/>
      <c r="H1392"/>
      <c r="I1392"/>
      <c r="J1392"/>
      <c r="K1392"/>
      <c r="L1392"/>
      <c r="M1392" s="16"/>
      <c r="N1392"/>
      <c r="O1392"/>
      <c r="P1392"/>
    </row>
    <row r="1393" spans="1:16" ht="15" x14ac:dyDescent="0.2">
      <c r="A1393"/>
      <c r="B1393"/>
      <c r="C1393"/>
      <c r="D1393"/>
      <c r="E1393"/>
      <c r="F1393"/>
      <c r="G1393"/>
      <c r="H1393"/>
      <c r="I1393"/>
      <c r="J1393"/>
      <c r="K1393"/>
      <c r="L1393"/>
      <c r="M1393" s="16"/>
      <c r="N1393"/>
      <c r="O1393"/>
      <c r="P1393"/>
    </row>
    <row r="1394" spans="1:16" ht="15" x14ac:dyDescent="0.2">
      <c r="A1394"/>
      <c r="B1394"/>
      <c r="C1394"/>
      <c r="D1394"/>
      <c r="E1394"/>
      <c r="F1394"/>
      <c r="G1394"/>
      <c r="H1394"/>
      <c r="I1394"/>
      <c r="J1394"/>
      <c r="K1394"/>
      <c r="L1394"/>
      <c r="M1394" s="16"/>
      <c r="N1394"/>
      <c r="O1394"/>
      <c r="P1394"/>
    </row>
    <row r="1395" spans="1:16" ht="15" x14ac:dyDescent="0.2">
      <c r="A1395"/>
      <c r="B1395"/>
      <c r="C1395"/>
      <c r="D1395"/>
      <c r="E1395"/>
      <c r="F1395"/>
      <c r="G1395"/>
      <c r="H1395"/>
      <c r="I1395"/>
      <c r="J1395"/>
      <c r="K1395"/>
      <c r="L1395"/>
      <c r="M1395" s="16"/>
      <c r="N1395"/>
      <c r="O1395"/>
      <c r="P1395"/>
    </row>
    <row r="1396" spans="1:16" ht="15" x14ac:dyDescent="0.2">
      <c r="A1396"/>
      <c r="B1396"/>
      <c r="C1396"/>
      <c r="D1396"/>
      <c r="E1396"/>
      <c r="F1396"/>
      <c r="G1396"/>
      <c r="H1396"/>
      <c r="I1396"/>
      <c r="J1396"/>
      <c r="K1396"/>
      <c r="L1396"/>
      <c r="M1396" s="16"/>
      <c r="N1396"/>
      <c r="O1396"/>
      <c r="P1396"/>
    </row>
    <row r="1397" spans="1:16" ht="15" x14ac:dyDescent="0.2">
      <c r="A1397"/>
      <c r="B1397"/>
      <c r="C1397"/>
      <c r="D1397"/>
      <c r="E1397"/>
      <c r="F1397"/>
      <c r="G1397"/>
      <c r="H1397"/>
      <c r="I1397"/>
      <c r="J1397"/>
      <c r="K1397"/>
      <c r="L1397"/>
      <c r="M1397" s="16"/>
      <c r="N1397"/>
      <c r="O1397"/>
      <c r="P1397"/>
    </row>
    <row r="1398" spans="1:16" ht="15" x14ac:dyDescent="0.2">
      <c r="A1398"/>
      <c r="B1398"/>
      <c r="C1398"/>
      <c r="D1398"/>
      <c r="E1398"/>
      <c r="F1398"/>
      <c r="G1398"/>
      <c r="H1398"/>
      <c r="I1398"/>
      <c r="J1398"/>
      <c r="K1398"/>
      <c r="L1398"/>
      <c r="M1398" s="16"/>
      <c r="N1398"/>
      <c r="O1398"/>
      <c r="P1398"/>
    </row>
    <row r="1399" spans="1:16" ht="15" x14ac:dyDescent="0.2">
      <c r="A1399"/>
      <c r="B1399"/>
      <c r="C1399"/>
      <c r="D1399"/>
      <c r="E1399"/>
      <c r="F1399"/>
      <c r="G1399"/>
      <c r="H1399"/>
      <c r="I1399"/>
      <c r="J1399"/>
      <c r="K1399"/>
      <c r="L1399"/>
      <c r="M1399" s="16"/>
      <c r="N1399"/>
      <c r="O1399"/>
      <c r="P1399"/>
    </row>
    <row r="1400" spans="1:16" ht="15" x14ac:dyDescent="0.2">
      <c r="A1400"/>
      <c r="B1400"/>
      <c r="C1400"/>
      <c r="D1400"/>
      <c r="E1400"/>
      <c r="F1400"/>
      <c r="G1400"/>
      <c r="H1400"/>
      <c r="I1400"/>
      <c r="J1400"/>
      <c r="K1400"/>
      <c r="L1400"/>
      <c r="M1400" s="16"/>
      <c r="N1400"/>
      <c r="O1400"/>
      <c r="P1400"/>
    </row>
    <row r="1401" spans="1:16" ht="15" x14ac:dyDescent="0.2">
      <c r="A1401"/>
      <c r="B1401"/>
      <c r="C1401"/>
      <c r="D1401"/>
      <c r="E1401"/>
      <c r="F1401"/>
      <c r="G1401"/>
      <c r="H1401"/>
      <c r="I1401"/>
      <c r="J1401"/>
      <c r="K1401"/>
      <c r="L1401"/>
      <c r="M1401" s="16"/>
      <c r="N1401"/>
      <c r="O1401"/>
      <c r="P1401"/>
    </row>
    <row r="1402" spans="1:16" ht="15" x14ac:dyDescent="0.2">
      <c r="A1402"/>
      <c r="B1402"/>
      <c r="C1402"/>
      <c r="D1402"/>
      <c r="E1402"/>
      <c r="F1402"/>
      <c r="G1402"/>
      <c r="H1402"/>
      <c r="I1402"/>
      <c r="J1402"/>
      <c r="K1402"/>
      <c r="L1402"/>
      <c r="M1402" s="16"/>
      <c r="N1402"/>
      <c r="O1402"/>
      <c r="P1402"/>
    </row>
    <row r="1403" spans="1:16" ht="15" x14ac:dyDescent="0.2">
      <c r="A1403"/>
      <c r="B1403"/>
      <c r="C1403"/>
      <c r="D1403"/>
      <c r="E1403"/>
      <c r="F1403"/>
      <c r="G1403"/>
      <c r="H1403"/>
      <c r="I1403"/>
      <c r="J1403"/>
      <c r="K1403"/>
      <c r="L1403"/>
      <c r="M1403" s="16"/>
      <c r="N1403"/>
      <c r="O1403"/>
      <c r="P1403"/>
    </row>
    <row r="1404" spans="1:16" ht="15" x14ac:dyDescent="0.2">
      <c r="A1404"/>
      <c r="B1404"/>
      <c r="C1404"/>
      <c r="D1404"/>
      <c r="E1404"/>
      <c r="F1404"/>
      <c r="G1404"/>
      <c r="H1404"/>
      <c r="I1404"/>
      <c r="J1404"/>
      <c r="K1404"/>
      <c r="L1404"/>
      <c r="M1404" s="16"/>
      <c r="N1404"/>
      <c r="O1404"/>
      <c r="P1404"/>
    </row>
    <row r="1405" spans="1:16" ht="15" x14ac:dyDescent="0.2">
      <c r="A1405"/>
      <c r="B1405"/>
      <c r="C1405"/>
      <c r="D1405"/>
      <c r="E1405"/>
      <c r="F1405"/>
      <c r="G1405"/>
      <c r="H1405"/>
      <c r="I1405"/>
      <c r="J1405"/>
      <c r="K1405"/>
      <c r="L1405"/>
      <c r="M1405" s="16"/>
      <c r="N1405"/>
      <c r="O1405"/>
      <c r="P1405"/>
    </row>
    <row r="1406" spans="1:16" ht="15" x14ac:dyDescent="0.2">
      <c r="A1406"/>
      <c r="B1406"/>
      <c r="C1406"/>
      <c r="D1406"/>
      <c r="E1406"/>
      <c r="F1406"/>
      <c r="G1406"/>
      <c r="H1406"/>
      <c r="I1406"/>
      <c r="J1406"/>
      <c r="K1406"/>
      <c r="L1406"/>
      <c r="M1406" s="16"/>
      <c r="N1406"/>
      <c r="O1406"/>
      <c r="P1406"/>
    </row>
    <row r="1407" spans="1:16" ht="15" x14ac:dyDescent="0.2">
      <c r="A1407"/>
      <c r="B1407"/>
      <c r="C1407"/>
      <c r="D1407"/>
      <c r="E1407"/>
      <c r="F1407"/>
      <c r="G1407"/>
      <c r="H1407"/>
      <c r="I1407"/>
      <c r="J1407"/>
      <c r="K1407"/>
      <c r="L1407"/>
      <c r="M1407" s="16"/>
      <c r="N1407"/>
      <c r="O1407"/>
      <c r="P1407"/>
    </row>
    <row r="1408" spans="1:16" ht="15" x14ac:dyDescent="0.2">
      <c r="A1408"/>
      <c r="B1408"/>
      <c r="C1408"/>
      <c r="D1408"/>
      <c r="E1408"/>
      <c r="F1408"/>
      <c r="G1408"/>
      <c r="H1408"/>
      <c r="I1408"/>
      <c r="J1408"/>
      <c r="K1408"/>
      <c r="L1408"/>
      <c r="M1408" s="16"/>
      <c r="N1408"/>
      <c r="O1408"/>
      <c r="P1408"/>
    </row>
    <row r="1409" spans="1:16" ht="15" x14ac:dyDescent="0.2">
      <c r="A1409"/>
      <c r="B1409"/>
      <c r="C1409"/>
      <c r="D1409"/>
      <c r="E1409"/>
      <c r="F1409"/>
      <c r="G1409"/>
      <c r="H1409"/>
      <c r="I1409"/>
      <c r="J1409"/>
      <c r="K1409"/>
      <c r="L1409"/>
      <c r="M1409" s="16"/>
      <c r="N1409"/>
      <c r="O1409"/>
      <c r="P1409"/>
    </row>
    <row r="1410" spans="1:16" ht="15" x14ac:dyDescent="0.2">
      <c r="A1410"/>
      <c r="B1410"/>
      <c r="C1410"/>
      <c r="D1410"/>
      <c r="E1410"/>
      <c r="F1410"/>
      <c r="G1410"/>
      <c r="H1410"/>
      <c r="I1410"/>
      <c r="J1410"/>
      <c r="K1410"/>
      <c r="L1410"/>
      <c r="M1410" s="16"/>
      <c r="N1410"/>
      <c r="O1410"/>
      <c r="P1410"/>
    </row>
    <row r="1411" spans="1:16" ht="15" x14ac:dyDescent="0.2">
      <c r="A1411"/>
      <c r="B1411"/>
      <c r="C1411"/>
      <c r="D1411"/>
      <c r="E1411"/>
      <c r="F1411"/>
      <c r="G1411"/>
      <c r="H1411"/>
      <c r="I1411"/>
      <c r="J1411"/>
      <c r="K1411"/>
      <c r="L1411"/>
      <c r="M1411" s="16"/>
      <c r="N1411"/>
      <c r="O1411"/>
      <c r="P1411"/>
    </row>
    <row r="1412" spans="1:16" ht="15" x14ac:dyDescent="0.2">
      <c r="A1412"/>
      <c r="B1412"/>
      <c r="C1412"/>
      <c r="D1412"/>
      <c r="E1412"/>
      <c r="F1412"/>
      <c r="G1412"/>
      <c r="H1412"/>
      <c r="I1412"/>
      <c r="J1412"/>
      <c r="K1412"/>
      <c r="L1412"/>
      <c r="M1412" s="16"/>
      <c r="N1412"/>
      <c r="O1412"/>
      <c r="P1412"/>
    </row>
    <row r="1413" spans="1:16" ht="15" x14ac:dyDescent="0.2">
      <c r="A1413"/>
      <c r="B1413"/>
      <c r="C1413"/>
      <c r="D1413"/>
      <c r="E1413"/>
      <c r="F1413"/>
      <c r="G1413"/>
      <c r="H1413"/>
      <c r="I1413"/>
      <c r="J1413"/>
      <c r="K1413"/>
      <c r="L1413"/>
      <c r="M1413" s="16"/>
      <c r="N1413"/>
      <c r="O1413"/>
      <c r="P1413"/>
    </row>
    <row r="1414" spans="1:16" ht="15" x14ac:dyDescent="0.2">
      <c r="A1414"/>
      <c r="B1414"/>
      <c r="C1414"/>
      <c r="D1414"/>
      <c r="E1414"/>
      <c r="F1414"/>
      <c r="G1414"/>
      <c r="H1414"/>
      <c r="I1414"/>
      <c r="J1414"/>
      <c r="K1414"/>
      <c r="L1414"/>
      <c r="M1414" s="16"/>
      <c r="N1414"/>
      <c r="O1414"/>
      <c r="P1414"/>
    </row>
    <row r="1415" spans="1:16" ht="15" x14ac:dyDescent="0.2">
      <c r="A1415"/>
      <c r="B1415"/>
      <c r="C1415"/>
      <c r="D1415"/>
      <c r="E1415"/>
      <c r="F1415"/>
      <c r="G1415"/>
      <c r="H1415"/>
      <c r="I1415"/>
      <c r="J1415"/>
      <c r="K1415"/>
      <c r="L1415"/>
      <c r="M1415" s="16"/>
      <c r="N1415"/>
      <c r="O1415"/>
      <c r="P1415"/>
    </row>
    <row r="1416" spans="1:16" ht="15" x14ac:dyDescent="0.2">
      <c r="A1416"/>
      <c r="B1416"/>
      <c r="C1416"/>
      <c r="D1416"/>
      <c r="E1416"/>
      <c r="F1416"/>
      <c r="G1416"/>
      <c r="H1416"/>
      <c r="I1416"/>
      <c r="J1416"/>
      <c r="K1416"/>
      <c r="L1416"/>
      <c r="M1416" s="16"/>
      <c r="N1416"/>
      <c r="O1416"/>
      <c r="P1416"/>
    </row>
    <row r="1417" spans="1:16" ht="15" x14ac:dyDescent="0.2">
      <c r="A1417"/>
      <c r="B1417"/>
      <c r="C1417"/>
      <c r="D1417"/>
      <c r="E1417"/>
      <c r="F1417"/>
      <c r="G1417"/>
      <c r="H1417"/>
      <c r="I1417"/>
      <c r="J1417"/>
      <c r="K1417"/>
      <c r="L1417"/>
      <c r="M1417" s="16"/>
      <c r="N1417"/>
      <c r="O1417"/>
      <c r="P1417"/>
    </row>
    <row r="1418" spans="1:16" ht="15" x14ac:dyDescent="0.2">
      <c r="A1418"/>
      <c r="B1418"/>
      <c r="C1418"/>
      <c r="D1418"/>
      <c r="E1418"/>
      <c r="F1418"/>
      <c r="G1418"/>
      <c r="H1418"/>
      <c r="I1418"/>
      <c r="J1418"/>
      <c r="K1418"/>
      <c r="L1418"/>
      <c r="M1418" s="16"/>
      <c r="N1418"/>
      <c r="O1418"/>
      <c r="P1418"/>
    </row>
    <row r="1419" spans="1:16" ht="15" x14ac:dyDescent="0.2">
      <c r="A1419"/>
      <c r="B1419"/>
      <c r="C1419"/>
      <c r="D1419"/>
      <c r="E1419"/>
      <c r="F1419"/>
      <c r="G1419"/>
      <c r="H1419"/>
      <c r="I1419"/>
      <c r="J1419"/>
      <c r="K1419"/>
      <c r="L1419"/>
      <c r="M1419" s="16"/>
      <c r="N1419"/>
      <c r="O1419"/>
      <c r="P1419"/>
    </row>
    <row r="1420" spans="1:16" ht="15" x14ac:dyDescent="0.2">
      <c r="A1420"/>
      <c r="B1420"/>
      <c r="C1420"/>
      <c r="D1420"/>
      <c r="E1420"/>
      <c r="F1420"/>
      <c r="G1420"/>
      <c r="H1420"/>
      <c r="I1420"/>
      <c r="J1420"/>
      <c r="K1420"/>
      <c r="L1420"/>
      <c r="M1420" s="16"/>
      <c r="N1420"/>
      <c r="O1420"/>
      <c r="P1420"/>
    </row>
    <row r="1421" spans="1:16" ht="15" x14ac:dyDescent="0.2">
      <c r="A1421"/>
      <c r="B1421"/>
      <c r="C1421"/>
      <c r="D1421"/>
      <c r="E1421"/>
      <c r="F1421"/>
      <c r="G1421"/>
      <c r="H1421"/>
      <c r="I1421"/>
      <c r="J1421"/>
      <c r="K1421"/>
      <c r="L1421"/>
      <c r="M1421" s="16"/>
      <c r="N1421"/>
      <c r="O1421"/>
      <c r="P1421"/>
    </row>
    <row r="1422" spans="1:16" ht="15" x14ac:dyDescent="0.2">
      <c r="A1422"/>
      <c r="B1422"/>
      <c r="C1422"/>
      <c r="D1422"/>
      <c r="E1422"/>
      <c r="F1422"/>
      <c r="G1422"/>
      <c r="H1422"/>
      <c r="I1422"/>
      <c r="J1422"/>
      <c r="K1422"/>
      <c r="L1422"/>
      <c r="M1422" s="16"/>
      <c r="N1422"/>
      <c r="O1422"/>
      <c r="P1422"/>
    </row>
    <row r="1423" spans="1:16" ht="15" x14ac:dyDescent="0.2">
      <c r="A1423"/>
      <c r="B1423"/>
      <c r="C1423"/>
      <c r="D1423"/>
      <c r="E1423"/>
      <c r="F1423"/>
      <c r="G1423"/>
      <c r="H1423"/>
      <c r="I1423"/>
      <c r="J1423"/>
      <c r="K1423"/>
      <c r="L1423"/>
      <c r="M1423" s="16"/>
      <c r="N1423"/>
      <c r="O1423"/>
      <c r="P1423"/>
    </row>
    <row r="1424" spans="1:16" ht="15" x14ac:dyDescent="0.2">
      <c r="A1424"/>
      <c r="B1424"/>
      <c r="C1424"/>
      <c r="D1424"/>
      <c r="E1424"/>
      <c r="F1424"/>
      <c r="G1424"/>
      <c r="H1424"/>
      <c r="I1424"/>
      <c r="J1424"/>
      <c r="K1424"/>
      <c r="L1424"/>
      <c r="M1424" s="16"/>
      <c r="N1424"/>
      <c r="O1424"/>
      <c r="P1424"/>
    </row>
    <row r="1425" spans="1:16" ht="15" x14ac:dyDescent="0.2">
      <c r="A1425"/>
      <c r="B1425"/>
      <c r="C1425"/>
      <c r="D1425"/>
      <c r="E1425"/>
      <c r="F1425"/>
      <c r="G1425"/>
      <c r="H1425"/>
      <c r="I1425"/>
      <c r="J1425"/>
      <c r="K1425"/>
      <c r="L1425"/>
      <c r="M1425" s="16"/>
      <c r="N1425"/>
      <c r="O1425"/>
      <c r="P1425"/>
    </row>
    <row r="1426" spans="1:16" ht="15" x14ac:dyDescent="0.2">
      <c r="A1426"/>
      <c r="B1426"/>
      <c r="C1426"/>
      <c r="D1426"/>
      <c r="E1426"/>
      <c r="F1426"/>
      <c r="G1426"/>
      <c r="H1426"/>
      <c r="I1426"/>
      <c r="J1426"/>
      <c r="K1426"/>
      <c r="L1426"/>
      <c r="M1426" s="16"/>
      <c r="N1426"/>
      <c r="O1426"/>
      <c r="P1426"/>
    </row>
    <row r="1427" spans="1:16" ht="15" x14ac:dyDescent="0.2">
      <c r="A1427"/>
      <c r="B1427"/>
      <c r="C1427"/>
      <c r="D1427"/>
      <c r="E1427"/>
      <c r="F1427"/>
      <c r="G1427"/>
      <c r="H1427"/>
      <c r="I1427"/>
      <c r="J1427"/>
      <c r="K1427"/>
      <c r="L1427"/>
      <c r="M1427" s="16"/>
      <c r="N1427"/>
      <c r="O1427"/>
      <c r="P1427"/>
    </row>
    <row r="1428" spans="1:16" ht="15" x14ac:dyDescent="0.2">
      <c r="A1428"/>
      <c r="B1428"/>
      <c r="C1428"/>
      <c r="D1428"/>
      <c r="E1428"/>
      <c r="F1428"/>
      <c r="G1428"/>
      <c r="H1428"/>
      <c r="I1428"/>
      <c r="J1428"/>
      <c r="K1428"/>
      <c r="L1428"/>
      <c r="M1428" s="16"/>
      <c r="N1428"/>
      <c r="O1428"/>
      <c r="P1428"/>
    </row>
    <row r="1429" spans="1:16" ht="15" x14ac:dyDescent="0.2">
      <c r="A1429"/>
      <c r="B1429"/>
      <c r="C1429"/>
      <c r="D1429"/>
      <c r="E1429"/>
      <c r="F1429"/>
      <c r="G1429"/>
      <c r="H1429"/>
      <c r="I1429"/>
      <c r="J1429"/>
      <c r="K1429"/>
      <c r="L1429"/>
      <c r="M1429" s="16"/>
      <c r="N1429"/>
      <c r="O1429"/>
      <c r="P1429"/>
    </row>
    <row r="1430" spans="1:16" ht="15" x14ac:dyDescent="0.2">
      <c r="A1430"/>
      <c r="B1430"/>
      <c r="C1430"/>
      <c r="D1430"/>
      <c r="E1430"/>
      <c r="F1430"/>
      <c r="G1430"/>
      <c r="H1430"/>
      <c r="I1430"/>
      <c r="J1430"/>
      <c r="K1430"/>
      <c r="L1430"/>
      <c r="M1430" s="16"/>
      <c r="N1430"/>
      <c r="O1430"/>
      <c r="P1430"/>
    </row>
    <row r="1431" spans="1:16" ht="15" x14ac:dyDescent="0.2">
      <c r="A1431"/>
      <c r="B1431"/>
      <c r="C1431"/>
      <c r="D1431"/>
      <c r="E1431"/>
      <c r="F1431"/>
      <c r="G1431"/>
      <c r="H1431"/>
      <c r="I1431"/>
      <c r="J1431"/>
      <c r="K1431"/>
      <c r="L1431"/>
      <c r="M1431" s="16"/>
      <c r="N1431"/>
      <c r="O1431"/>
      <c r="P1431"/>
    </row>
    <row r="1432" spans="1:16" ht="15" x14ac:dyDescent="0.2">
      <c r="A1432"/>
      <c r="B1432"/>
      <c r="C1432"/>
      <c r="D1432"/>
      <c r="E1432"/>
      <c r="F1432"/>
      <c r="G1432"/>
      <c r="H1432"/>
      <c r="I1432"/>
      <c r="J1432"/>
      <c r="K1432"/>
      <c r="L1432"/>
      <c r="M1432" s="16"/>
      <c r="N1432"/>
      <c r="O1432"/>
      <c r="P1432"/>
    </row>
    <row r="1433" spans="1:16" ht="15" x14ac:dyDescent="0.2">
      <c r="A1433"/>
      <c r="B1433"/>
      <c r="C1433"/>
      <c r="D1433"/>
      <c r="E1433"/>
      <c r="F1433"/>
      <c r="G1433"/>
      <c r="H1433"/>
      <c r="I1433"/>
      <c r="J1433"/>
      <c r="K1433"/>
      <c r="L1433"/>
      <c r="M1433" s="16"/>
      <c r="N1433"/>
      <c r="O1433"/>
      <c r="P1433"/>
    </row>
    <row r="1434" spans="1:16" ht="15" x14ac:dyDescent="0.2">
      <c r="A1434"/>
      <c r="B1434"/>
      <c r="C1434"/>
      <c r="D1434"/>
      <c r="E1434"/>
      <c r="F1434"/>
      <c r="G1434"/>
      <c r="H1434"/>
      <c r="I1434"/>
      <c r="J1434"/>
      <c r="K1434"/>
      <c r="L1434"/>
      <c r="M1434" s="16"/>
      <c r="N1434"/>
      <c r="O1434"/>
      <c r="P1434"/>
    </row>
    <row r="1435" spans="1:16" ht="15" x14ac:dyDescent="0.2">
      <c r="A1435"/>
      <c r="B1435"/>
      <c r="C1435"/>
      <c r="D1435"/>
      <c r="E1435"/>
      <c r="F1435"/>
      <c r="G1435"/>
      <c r="H1435"/>
      <c r="I1435"/>
      <c r="J1435"/>
      <c r="K1435"/>
      <c r="L1435"/>
      <c r="M1435" s="16"/>
      <c r="N1435"/>
      <c r="O1435"/>
      <c r="P1435"/>
    </row>
    <row r="1436" spans="1:16" ht="15" x14ac:dyDescent="0.2">
      <c r="A1436"/>
      <c r="B1436"/>
      <c r="C1436"/>
      <c r="D1436"/>
      <c r="E1436"/>
      <c r="F1436"/>
      <c r="G1436"/>
      <c r="H1436"/>
      <c r="I1436"/>
      <c r="J1436"/>
      <c r="K1436"/>
      <c r="L1436"/>
      <c r="M1436" s="16"/>
      <c r="N1436"/>
      <c r="O1436"/>
      <c r="P1436"/>
    </row>
    <row r="1437" spans="1:16" ht="15" x14ac:dyDescent="0.2">
      <c r="A1437"/>
      <c r="B1437"/>
      <c r="C1437"/>
      <c r="D1437"/>
      <c r="E1437"/>
      <c r="F1437"/>
      <c r="G1437"/>
      <c r="H1437"/>
      <c r="I1437"/>
      <c r="J1437"/>
      <c r="K1437"/>
      <c r="L1437"/>
      <c r="M1437" s="16"/>
      <c r="N1437"/>
      <c r="O1437"/>
      <c r="P1437"/>
    </row>
    <row r="1438" spans="1:16" ht="15" x14ac:dyDescent="0.2">
      <c r="A1438"/>
      <c r="B1438"/>
      <c r="C1438"/>
      <c r="D1438"/>
      <c r="E1438"/>
      <c r="F1438"/>
      <c r="G1438"/>
      <c r="H1438"/>
      <c r="I1438"/>
      <c r="J1438"/>
      <c r="K1438"/>
      <c r="L1438"/>
      <c r="M1438" s="16"/>
      <c r="N1438"/>
      <c r="O1438"/>
      <c r="P1438"/>
    </row>
    <row r="1439" spans="1:16" ht="15" x14ac:dyDescent="0.2">
      <c r="A1439"/>
      <c r="B1439"/>
      <c r="C1439"/>
      <c r="D1439"/>
      <c r="E1439"/>
      <c r="F1439"/>
      <c r="G1439"/>
      <c r="H1439"/>
      <c r="I1439"/>
      <c r="J1439"/>
      <c r="K1439"/>
      <c r="L1439"/>
      <c r="M1439" s="16"/>
      <c r="N1439"/>
      <c r="O1439"/>
      <c r="P1439"/>
    </row>
    <row r="1440" spans="1:16" ht="15" x14ac:dyDescent="0.2">
      <c r="A1440"/>
      <c r="B1440"/>
      <c r="C1440"/>
      <c r="D1440"/>
      <c r="E1440"/>
      <c r="F1440"/>
      <c r="G1440"/>
      <c r="H1440"/>
      <c r="I1440"/>
      <c r="J1440"/>
      <c r="K1440"/>
      <c r="L1440"/>
      <c r="M1440" s="16"/>
      <c r="N1440"/>
      <c r="O1440"/>
      <c r="P1440"/>
    </row>
    <row r="1441" spans="1:16" ht="15" x14ac:dyDescent="0.2">
      <c r="A1441"/>
      <c r="B1441"/>
      <c r="C1441"/>
      <c r="D1441"/>
      <c r="E1441"/>
      <c r="F1441"/>
      <c r="G1441"/>
      <c r="H1441"/>
      <c r="I1441"/>
      <c r="J1441"/>
      <c r="K1441"/>
      <c r="L1441"/>
      <c r="M1441" s="16"/>
      <c r="N1441"/>
      <c r="O1441"/>
      <c r="P1441"/>
    </row>
    <row r="1442" spans="1:16" ht="15" x14ac:dyDescent="0.2">
      <c r="A1442"/>
      <c r="B1442"/>
      <c r="C1442"/>
      <c r="D1442"/>
      <c r="E1442"/>
      <c r="F1442"/>
      <c r="G1442"/>
      <c r="H1442"/>
      <c r="I1442"/>
      <c r="J1442"/>
      <c r="K1442"/>
      <c r="L1442"/>
      <c r="M1442" s="16"/>
      <c r="N1442"/>
      <c r="O1442"/>
      <c r="P1442"/>
    </row>
    <row r="1443" spans="1:16" ht="15" x14ac:dyDescent="0.2">
      <c r="A1443"/>
      <c r="B1443"/>
      <c r="C1443"/>
      <c r="D1443"/>
      <c r="E1443"/>
      <c r="F1443"/>
      <c r="G1443"/>
      <c r="H1443"/>
      <c r="I1443"/>
      <c r="J1443"/>
      <c r="K1443"/>
      <c r="L1443"/>
      <c r="M1443" s="16"/>
      <c r="N1443"/>
      <c r="O1443"/>
      <c r="P1443"/>
    </row>
    <row r="1444" spans="1:16" ht="15" x14ac:dyDescent="0.2">
      <c r="A1444"/>
      <c r="B1444"/>
      <c r="C1444"/>
      <c r="D1444"/>
      <c r="E1444"/>
      <c r="F1444"/>
      <c r="G1444"/>
      <c r="H1444"/>
      <c r="I1444"/>
      <c r="J1444"/>
      <c r="K1444"/>
      <c r="L1444"/>
      <c r="M1444" s="16"/>
      <c r="N1444"/>
      <c r="O1444"/>
      <c r="P1444"/>
    </row>
    <row r="1445" spans="1:16" ht="15" x14ac:dyDescent="0.2">
      <c r="A1445"/>
      <c r="B1445"/>
      <c r="C1445"/>
      <c r="D1445"/>
      <c r="E1445"/>
      <c r="F1445"/>
      <c r="G1445"/>
      <c r="H1445"/>
      <c r="I1445"/>
      <c r="J1445"/>
      <c r="K1445"/>
      <c r="L1445"/>
      <c r="M1445" s="16"/>
      <c r="N1445"/>
      <c r="O1445"/>
      <c r="P1445"/>
    </row>
    <row r="1446" spans="1:16" ht="15" x14ac:dyDescent="0.2">
      <c r="A1446"/>
      <c r="B1446"/>
      <c r="C1446"/>
      <c r="D1446"/>
      <c r="E1446"/>
      <c r="F1446"/>
      <c r="G1446"/>
      <c r="H1446"/>
      <c r="I1446"/>
      <c r="J1446"/>
      <c r="K1446"/>
      <c r="L1446"/>
      <c r="M1446" s="16"/>
      <c r="N1446"/>
      <c r="O1446"/>
      <c r="P1446"/>
    </row>
    <row r="1447" spans="1:16" ht="15" x14ac:dyDescent="0.2">
      <c r="A1447"/>
      <c r="B1447"/>
      <c r="C1447"/>
      <c r="D1447"/>
      <c r="E1447"/>
      <c r="F1447"/>
      <c r="G1447"/>
      <c r="H1447"/>
      <c r="I1447"/>
      <c r="J1447"/>
      <c r="K1447"/>
      <c r="L1447"/>
      <c r="M1447" s="16"/>
      <c r="N1447"/>
      <c r="O1447"/>
      <c r="P1447"/>
    </row>
    <row r="1448" spans="1:16" ht="15" x14ac:dyDescent="0.2">
      <c r="A1448"/>
      <c r="B1448"/>
      <c r="C1448"/>
      <c r="D1448"/>
      <c r="E1448"/>
      <c r="F1448"/>
      <c r="G1448"/>
      <c r="H1448"/>
      <c r="I1448"/>
      <c r="J1448"/>
      <c r="K1448"/>
      <c r="L1448"/>
      <c r="M1448" s="16"/>
      <c r="N1448"/>
      <c r="O1448"/>
      <c r="P1448"/>
    </row>
    <row r="1449" spans="1:16" ht="15" x14ac:dyDescent="0.2">
      <c r="A1449"/>
      <c r="B1449"/>
      <c r="C1449"/>
      <c r="D1449"/>
      <c r="E1449"/>
      <c r="F1449"/>
      <c r="G1449"/>
      <c r="H1449"/>
      <c r="I1449"/>
      <c r="J1449"/>
      <c r="K1449"/>
      <c r="L1449"/>
      <c r="M1449" s="16"/>
      <c r="N1449"/>
      <c r="O1449"/>
      <c r="P1449"/>
    </row>
    <row r="1450" spans="1:16" ht="15" x14ac:dyDescent="0.2">
      <c r="A1450"/>
      <c r="B1450"/>
      <c r="C1450"/>
      <c r="D1450"/>
      <c r="E1450"/>
      <c r="F1450"/>
      <c r="G1450"/>
      <c r="H1450"/>
      <c r="I1450"/>
      <c r="J1450"/>
      <c r="K1450"/>
      <c r="L1450"/>
      <c r="M1450" s="16"/>
      <c r="N1450"/>
      <c r="O1450"/>
      <c r="P1450"/>
    </row>
    <row r="1451" spans="1:16" ht="15" x14ac:dyDescent="0.2">
      <c r="A1451"/>
      <c r="B1451"/>
      <c r="C1451"/>
      <c r="D1451"/>
      <c r="E1451"/>
      <c r="F1451"/>
      <c r="G1451"/>
      <c r="H1451"/>
      <c r="I1451"/>
      <c r="J1451"/>
      <c r="K1451"/>
      <c r="L1451"/>
      <c r="M1451" s="16"/>
      <c r="N1451"/>
      <c r="O1451"/>
      <c r="P1451"/>
    </row>
    <row r="1452" spans="1:16" ht="15" x14ac:dyDescent="0.2">
      <c r="A1452"/>
      <c r="B1452"/>
      <c r="C1452"/>
      <c r="D1452"/>
      <c r="E1452"/>
      <c r="F1452"/>
      <c r="G1452"/>
      <c r="H1452"/>
      <c r="I1452"/>
      <c r="J1452"/>
      <c r="K1452"/>
      <c r="L1452"/>
      <c r="M1452" s="16"/>
      <c r="N1452"/>
      <c r="O1452"/>
      <c r="P1452"/>
    </row>
    <row r="1453" spans="1:16" ht="15" x14ac:dyDescent="0.2">
      <c r="A1453"/>
      <c r="B1453"/>
      <c r="C1453"/>
      <c r="D1453"/>
      <c r="E1453"/>
      <c r="F1453"/>
      <c r="G1453"/>
      <c r="H1453"/>
      <c r="I1453"/>
      <c r="J1453"/>
      <c r="K1453"/>
      <c r="L1453"/>
      <c r="M1453" s="16"/>
      <c r="N1453"/>
      <c r="O1453"/>
      <c r="P1453"/>
    </row>
    <row r="1454" spans="1:16" ht="15" x14ac:dyDescent="0.2">
      <c r="A1454"/>
      <c r="B1454"/>
      <c r="C1454"/>
      <c r="D1454"/>
      <c r="E1454"/>
      <c r="F1454"/>
      <c r="G1454"/>
      <c r="H1454"/>
      <c r="I1454"/>
      <c r="J1454"/>
      <c r="K1454"/>
      <c r="L1454"/>
      <c r="M1454" s="16"/>
      <c r="N1454"/>
      <c r="O1454"/>
      <c r="P1454"/>
    </row>
    <row r="1455" spans="1:16" ht="15" x14ac:dyDescent="0.2">
      <c r="A1455"/>
      <c r="B1455"/>
      <c r="C1455"/>
      <c r="D1455"/>
      <c r="E1455"/>
      <c r="F1455"/>
      <c r="G1455"/>
      <c r="H1455"/>
      <c r="I1455"/>
      <c r="J1455"/>
      <c r="K1455"/>
      <c r="L1455"/>
      <c r="M1455" s="16"/>
      <c r="N1455"/>
      <c r="O1455"/>
      <c r="P1455"/>
    </row>
    <row r="1456" spans="1:16" ht="15" x14ac:dyDescent="0.2">
      <c r="A1456"/>
      <c r="B1456"/>
      <c r="C1456"/>
      <c r="D1456"/>
      <c r="E1456"/>
      <c r="F1456"/>
      <c r="G1456"/>
      <c r="H1456"/>
      <c r="I1456"/>
      <c r="J1456"/>
      <c r="K1456"/>
      <c r="L1456"/>
      <c r="M1456" s="16"/>
      <c r="N1456"/>
      <c r="O1456"/>
      <c r="P1456"/>
    </row>
    <row r="1457" spans="1:16" ht="15" x14ac:dyDescent="0.2">
      <c r="A1457"/>
      <c r="B1457"/>
      <c r="C1457"/>
      <c r="D1457"/>
      <c r="E1457"/>
      <c r="F1457"/>
      <c r="G1457"/>
      <c r="H1457"/>
      <c r="I1457"/>
      <c r="J1457"/>
      <c r="K1457"/>
      <c r="L1457"/>
      <c r="M1457" s="16"/>
      <c r="N1457"/>
      <c r="O1457"/>
      <c r="P1457"/>
    </row>
    <row r="1458" spans="1:16" ht="15" x14ac:dyDescent="0.2">
      <c r="A1458"/>
      <c r="B1458"/>
      <c r="C1458"/>
      <c r="D1458"/>
      <c r="E1458"/>
      <c r="F1458"/>
      <c r="G1458"/>
      <c r="H1458"/>
      <c r="I1458"/>
      <c r="J1458"/>
      <c r="K1458"/>
      <c r="L1458"/>
      <c r="M1458" s="16"/>
      <c r="N1458"/>
      <c r="O1458"/>
      <c r="P1458"/>
    </row>
    <row r="1459" spans="1:16" ht="15" x14ac:dyDescent="0.2">
      <c r="A1459"/>
      <c r="B1459"/>
      <c r="C1459"/>
      <c r="D1459"/>
      <c r="E1459"/>
      <c r="F1459"/>
      <c r="G1459"/>
      <c r="H1459"/>
      <c r="I1459"/>
      <c r="J1459"/>
      <c r="K1459"/>
      <c r="L1459"/>
      <c r="M1459" s="16"/>
      <c r="N1459"/>
      <c r="O1459"/>
      <c r="P1459"/>
    </row>
    <row r="1460" spans="1:16" ht="15" x14ac:dyDescent="0.2">
      <c r="A1460"/>
      <c r="B1460"/>
      <c r="C1460"/>
      <c r="D1460"/>
      <c r="E1460"/>
      <c r="F1460"/>
      <c r="G1460"/>
      <c r="H1460"/>
      <c r="I1460"/>
      <c r="J1460"/>
      <c r="K1460"/>
      <c r="L1460"/>
      <c r="M1460" s="16"/>
      <c r="N1460"/>
      <c r="O1460"/>
      <c r="P1460"/>
    </row>
    <row r="1461" spans="1:16" ht="15" x14ac:dyDescent="0.2">
      <c r="A1461"/>
      <c r="B1461"/>
      <c r="C1461"/>
      <c r="D1461"/>
      <c r="E1461"/>
      <c r="F1461"/>
      <c r="G1461"/>
      <c r="H1461"/>
      <c r="I1461"/>
      <c r="J1461"/>
      <c r="K1461"/>
      <c r="L1461"/>
      <c r="M1461" s="16"/>
      <c r="N1461"/>
      <c r="O1461"/>
      <c r="P1461"/>
    </row>
    <row r="1462" spans="1:16" ht="15" x14ac:dyDescent="0.2">
      <c r="A1462"/>
      <c r="B1462"/>
      <c r="C1462"/>
      <c r="D1462"/>
      <c r="E1462"/>
      <c r="F1462"/>
      <c r="G1462"/>
      <c r="H1462"/>
      <c r="I1462"/>
      <c r="J1462"/>
      <c r="K1462"/>
      <c r="L1462"/>
      <c r="M1462" s="16"/>
      <c r="N1462"/>
      <c r="O1462"/>
      <c r="P1462"/>
    </row>
    <row r="1463" spans="1:16" ht="15" x14ac:dyDescent="0.2">
      <c r="A1463"/>
      <c r="B1463"/>
      <c r="C1463"/>
      <c r="D1463"/>
      <c r="E1463"/>
      <c r="F1463"/>
      <c r="G1463"/>
      <c r="H1463"/>
      <c r="I1463"/>
      <c r="J1463"/>
      <c r="K1463"/>
      <c r="L1463"/>
      <c r="M1463" s="16"/>
      <c r="N1463"/>
      <c r="O1463"/>
      <c r="P1463"/>
    </row>
    <row r="1464" spans="1:16" ht="15" x14ac:dyDescent="0.2">
      <c r="A1464"/>
      <c r="B1464"/>
      <c r="C1464"/>
      <c r="D1464"/>
      <c r="E1464"/>
      <c r="F1464"/>
      <c r="G1464"/>
      <c r="H1464"/>
      <c r="I1464"/>
      <c r="J1464"/>
      <c r="K1464"/>
      <c r="L1464"/>
      <c r="M1464" s="16"/>
      <c r="N1464"/>
      <c r="O1464"/>
      <c r="P1464"/>
    </row>
    <row r="1465" spans="1:16" ht="15" x14ac:dyDescent="0.2">
      <c r="A1465"/>
      <c r="B1465"/>
      <c r="C1465"/>
      <c r="D1465"/>
      <c r="E1465"/>
      <c r="F1465"/>
      <c r="G1465"/>
      <c r="H1465"/>
      <c r="I1465"/>
      <c r="J1465"/>
      <c r="K1465"/>
      <c r="L1465"/>
      <c r="M1465" s="16"/>
      <c r="N1465"/>
      <c r="O1465"/>
      <c r="P1465"/>
    </row>
    <row r="1466" spans="1:16" ht="15" x14ac:dyDescent="0.2">
      <c r="A1466"/>
      <c r="B1466"/>
      <c r="C1466"/>
      <c r="D1466"/>
      <c r="E1466"/>
      <c r="F1466"/>
      <c r="G1466"/>
      <c r="H1466"/>
      <c r="I1466"/>
      <c r="J1466"/>
      <c r="K1466"/>
      <c r="L1466"/>
      <c r="M1466" s="16"/>
      <c r="N1466"/>
      <c r="O1466"/>
      <c r="P1466"/>
    </row>
    <row r="1467" spans="1:16" ht="15" x14ac:dyDescent="0.2">
      <c r="A1467"/>
      <c r="B1467"/>
      <c r="C1467"/>
      <c r="D1467"/>
      <c r="E1467"/>
      <c r="F1467"/>
      <c r="G1467"/>
      <c r="H1467"/>
      <c r="I1467"/>
      <c r="J1467"/>
      <c r="K1467"/>
      <c r="L1467"/>
      <c r="M1467" s="16"/>
      <c r="N1467"/>
      <c r="O1467"/>
      <c r="P1467"/>
    </row>
    <row r="1468" spans="1:16" ht="15" x14ac:dyDescent="0.2">
      <c r="A1468"/>
      <c r="B1468"/>
      <c r="C1468"/>
      <c r="D1468"/>
      <c r="E1468"/>
      <c r="F1468"/>
      <c r="G1468"/>
      <c r="H1468"/>
      <c r="I1468"/>
      <c r="J1468"/>
      <c r="K1468"/>
      <c r="L1468"/>
      <c r="M1468" s="16"/>
      <c r="N1468"/>
      <c r="O1468"/>
      <c r="P1468"/>
    </row>
    <row r="1469" spans="1:16" ht="15" x14ac:dyDescent="0.2">
      <c r="A1469"/>
      <c r="B1469"/>
      <c r="C1469"/>
      <c r="D1469"/>
      <c r="E1469"/>
      <c r="F1469"/>
      <c r="G1469"/>
      <c r="H1469"/>
      <c r="I1469"/>
      <c r="J1469"/>
      <c r="K1469"/>
      <c r="L1469"/>
      <c r="M1469" s="16"/>
      <c r="N1469"/>
      <c r="O1469"/>
      <c r="P1469"/>
    </row>
    <row r="1470" spans="1:16" ht="15" x14ac:dyDescent="0.2">
      <c r="A1470"/>
      <c r="B1470"/>
      <c r="C1470"/>
      <c r="D1470"/>
      <c r="E1470"/>
      <c r="F1470"/>
      <c r="G1470"/>
      <c r="H1470"/>
      <c r="I1470"/>
      <c r="J1470"/>
      <c r="K1470"/>
      <c r="L1470"/>
      <c r="M1470" s="16"/>
      <c r="N1470"/>
      <c r="O1470"/>
      <c r="P1470"/>
    </row>
    <row r="1471" spans="1:16" ht="15" x14ac:dyDescent="0.2">
      <c r="A1471"/>
      <c r="B1471"/>
      <c r="C1471"/>
      <c r="D1471"/>
      <c r="E1471"/>
      <c r="F1471"/>
      <c r="G1471"/>
      <c r="H1471"/>
      <c r="I1471"/>
      <c r="J1471"/>
      <c r="K1471"/>
      <c r="L1471"/>
      <c r="M1471" s="16"/>
      <c r="N1471"/>
      <c r="O1471"/>
      <c r="P1471"/>
    </row>
    <row r="1472" spans="1:16" ht="15" x14ac:dyDescent="0.2">
      <c r="A1472"/>
      <c r="B1472"/>
      <c r="C1472"/>
      <c r="D1472"/>
      <c r="E1472"/>
      <c r="F1472"/>
      <c r="G1472"/>
      <c r="H1472"/>
      <c r="I1472"/>
      <c r="J1472"/>
      <c r="K1472"/>
      <c r="L1472"/>
      <c r="M1472" s="16"/>
      <c r="N1472"/>
      <c r="O1472"/>
      <c r="P1472"/>
    </row>
    <row r="1473" spans="1:16" ht="15" x14ac:dyDescent="0.2">
      <c r="A1473"/>
      <c r="B1473"/>
      <c r="C1473"/>
      <c r="D1473"/>
      <c r="E1473"/>
      <c r="F1473"/>
      <c r="G1473"/>
      <c r="H1473"/>
      <c r="I1473"/>
      <c r="J1473"/>
      <c r="K1473"/>
      <c r="L1473"/>
      <c r="M1473" s="16"/>
      <c r="N1473"/>
      <c r="O1473"/>
      <c r="P1473"/>
    </row>
    <row r="1474" spans="1:16" ht="15" x14ac:dyDescent="0.2">
      <c r="A1474"/>
      <c r="B1474"/>
      <c r="C1474"/>
      <c r="D1474"/>
      <c r="E1474"/>
      <c r="F1474"/>
      <c r="G1474"/>
      <c r="H1474"/>
      <c r="I1474"/>
      <c r="J1474"/>
      <c r="K1474"/>
      <c r="L1474"/>
      <c r="M1474" s="16"/>
      <c r="N1474"/>
      <c r="O1474"/>
      <c r="P1474"/>
    </row>
    <row r="1475" spans="1:16" ht="15" x14ac:dyDescent="0.2">
      <c r="A1475"/>
      <c r="B1475"/>
      <c r="C1475"/>
      <c r="D1475"/>
      <c r="E1475"/>
      <c r="F1475"/>
      <c r="G1475"/>
      <c r="H1475"/>
      <c r="I1475"/>
      <c r="J1475"/>
      <c r="K1475"/>
      <c r="L1475"/>
      <c r="M1475" s="16"/>
      <c r="N1475"/>
      <c r="O1475"/>
      <c r="P1475"/>
    </row>
    <row r="1476" spans="1:16" ht="15" x14ac:dyDescent="0.2">
      <c r="A1476"/>
      <c r="B1476"/>
      <c r="C1476"/>
      <c r="D1476"/>
      <c r="E1476"/>
      <c r="F1476"/>
      <c r="G1476"/>
      <c r="H1476"/>
      <c r="I1476"/>
      <c r="J1476"/>
      <c r="K1476"/>
      <c r="L1476"/>
      <c r="M1476" s="16"/>
      <c r="N1476"/>
      <c r="O1476"/>
      <c r="P1476"/>
    </row>
    <row r="1477" spans="1:16" ht="15" x14ac:dyDescent="0.2">
      <c r="A1477"/>
      <c r="B1477"/>
      <c r="C1477"/>
      <c r="D1477"/>
      <c r="E1477"/>
      <c r="F1477"/>
      <c r="G1477"/>
      <c r="H1477"/>
      <c r="I1477"/>
      <c r="J1477"/>
      <c r="K1477"/>
      <c r="L1477"/>
      <c r="M1477" s="16"/>
      <c r="N1477"/>
      <c r="O1477"/>
      <c r="P1477"/>
    </row>
    <row r="1478" spans="1:16" ht="15" x14ac:dyDescent="0.2">
      <c r="A1478"/>
      <c r="B1478"/>
      <c r="C1478"/>
      <c r="D1478"/>
      <c r="E1478"/>
      <c r="F1478"/>
      <c r="G1478"/>
      <c r="H1478"/>
      <c r="I1478"/>
      <c r="J1478"/>
      <c r="K1478"/>
      <c r="L1478"/>
      <c r="M1478" s="16"/>
      <c r="N1478"/>
      <c r="O1478"/>
      <c r="P1478"/>
    </row>
    <row r="1479" spans="1:16" ht="15" x14ac:dyDescent="0.2">
      <c r="A1479"/>
      <c r="B1479"/>
      <c r="C1479"/>
      <c r="D1479"/>
      <c r="E1479"/>
      <c r="F1479"/>
      <c r="G1479"/>
      <c r="H1479"/>
      <c r="I1479"/>
      <c r="J1479"/>
      <c r="K1479"/>
      <c r="L1479"/>
      <c r="M1479" s="16"/>
      <c r="N1479"/>
      <c r="O1479"/>
      <c r="P1479"/>
    </row>
    <row r="1480" spans="1:16" ht="15" x14ac:dyDescent="0.2">
      <c r="A1480"/>
      <c r="B1480"/>
      <c r="C1480"/>
      <c r="D1480"/>
      <c r="E1480"/>
      <c r="F1480"/>
      <c r="G1480"/>
      <c r="H1480"/>
      <c r="I1480"/>
      <c r="J1480"/>
      <c r="K1480"/>
      <c r="L1480"/>
      <c r="M1480" s="16"/>
      <c r="N1480"/>
      <c r="O1480"/>
      <c r="P1480"/>
    </row>
    <row r="1481" spans="1:16" ht="15" x14ac:dyDescent="0.2">
      <c r="A1481"/>
      <c r="B1481"/>
      <c r="C1481"/>
      <c r="D1481"/>
      <c r="E1481"/>
      <c r="F1481"/>
      <c r="G1481"/>
      <c r="H1481"/>
      <c r="I1481"/>
      <c r="J1481"/>
      <c r="K1481"/>
      <c r="L1481"/>
      <c r="M1481" s="16"/>
      <c r="N1481"/>
      <c r="O1481"/>
      <c r="P1481"/>
    </row>
    <row r="1482" spans="1:16" ht="15" x14ac:dyDescent="0.2">
      <c r="A1482"/>
      <c r="B1482"/>
      <c r="C1482"/>
      <c r="D1482"/>
      <c r="E1482"/>
      <c r="F1482"/>
      <c r="G1482"/>
      <c r="H1482"/>
      <c r="I1482"/>
      <c r="J1482"/>
      <c r="K1482"/>
      <c r="L1482"/>
      <c r="M1482" s="16"/>
      <c r="N1482"/>
      <c r="O1482"/>
      <c r="P1482"/>
    </row>
    <row r="1483" spans="1:16" ht="15" x14ac:dyDescent="0.2">
      <c r="A1483"/>
      <c r="B1483"/>
      <c r="C1483"/>
      <c r="D1483"/>
      <c r="E1483"/>
      <c r="F1483"/>
      <c r="G1483"/>
      <c r="H1483"/>
      <c r="I1483"/>
      <c r="J1483"/>
      <c r="K1483"/>
      <c r="L1483"/>
      <c r="M1483" s="16"/>
      <c r="N1483"/>
      <c r="O1483"/>
      <c r="P1483"/>
    </row>
    <row r="1484" spans="1:16" ht="15" x14ac:dyDescent="0.2">
      <c r="A1484"/>
      <c r="B1484"/>
      <c r="C1484"/>
      <c r="D1484"/>
      <c r="E1484"/>
      <c r="F1484"/>
      <c r="G1484"/>
      <c r="H1484"/>
      <c r="I1484"/>
      <c r="J1484"/>
      <c r="K1484"/>
      <c r="L1484"/>
      <c r="M1484" s="16"/>
      <c r="N1484"/>
      <c r="O1484"/>
      <c r="P1484"/>
    </row>
    <row r="1485" spans="1:16" ht="15" x14ac:dyDescent="0.2">
      <c r="A1485"/>
      <c r="B1485"/>
      <c r="C1485"/>
      <c r="D1485"/>
      <c r="E1485"/>
      <c r="F1485"/>
      <c r="G1485"/>
      <c r="H1485"/>
      <c r="I1485"/>
      <c r="J1485"/>
      <c r="K1485"/>
      <c r="L1485"/>
      <c r="M1485" s="16"/>
      <c r="N1485"/>
      <c r="O1485"/>
      <c r="P1485"/>
    </row>
    <row r="1486" spans="1:16" ht="15" x14ac:dyDescent="0.2">
      <c r="A1486"/>
      <c r="B1486"/>
      <c r="C1486"/>
      <c r="D1486"/>
      <c r="E1486"/>
      <c r="F1486"/>
      <c r="G1486"/>
      <c r="H1486"/>
      <c r="I1486"/>
      <c r="J1486"/>
      <c r="K1486"/>
      <c r="L1486"/>
      <c r="M1486" s="16"/>
      <c r="N1486"/>
      <c r="O1486"/>
      <c r="P1486"/>
    </row>
    <row r="1487" spans="1:16" ht="15" x14ac:dyDescent="0.2">
      <c r="A1487"/>
      <c r="B1487"/>
      <c r="C1487"/>
      <c r="D1487"/>
      <c r="E1487"/>
      <c r="F1487"/>
      <c r="G1487"/>
      <c r="H1487"/>
      <c r="I1487"/>
      <c r="J1487"/>
      <c r="K1487"/>
      <c r="L1487"/>
      <c r="M1487" s="16"/>
      <c r="N1487"/>
      <c r="O1487"/>
      <c r="P1487"/>
    </row>
    <row r="1488" spans="1:16" ht="15" x14ac:dyDescent="0.2">
      <c r="A1488"/>
      <c r="B1488"/>
      <c r="C1488"/>
      <c r="D1488"/>
      <c r="E1488"/>
      <c r="F1488"/>
      <c r="G1488"/>
      <c r="H1488"/>
      <c r="I1488"/>
      <c r="J1488"/>
      <c r="K1488"/>
      <c r="L1488"/>
      <c r="M1488" s="16"/>
      <c r="N1488"/>
      <c r="O1488"/>
      <c r="P1488"/>
    </row>
    <row r="1489" spans="1:16" ht="15" x14ac:dyDescent="0.2">
      <c r="A1489"/>
      <c r="B1489"/>
      <c r="C1489"/>
      <c r="D1489"/>
      <c r="E1489"/>
      <c r="F1489"/>
      <c r="G1489"/>
      <c r="H1489"/>
      <c r="I1489"/>
      <c r="J1489"/>
      <c r="K1489"/>
      <c r="L1489"/>
      <c r="M1489" s="16"/>
      <c r="N1489"/>
      <c r="O1489"/>
      <c r="P1489"/>
    </row>
    <row r="1490" spans="1:16" ht="15" x14ac:dyDescent="0.2">
      <c r="A1490"/>
      <c r="B1490"/>
      <c r="C1490"/>
      <c r="D1490"/>
      <c r="E1490"/>
      <c r="F1490"/>
      <c r="G1490"/>
      <c r="H1490"/>
      <c r="I1490"/>
      <c r="J1490"/>
      <c r="K1490"/>
      <c r="L1490"/>
      <c r="M1490" s="16"/>
      <c r="N1490"/>
      <c r="O1490"/>
      <c r="P1490"/>
    </row>
    <row r="1491" spans="1:16" ht="15" x14ac:dyDescent="0.2">
      <c r="A1491"/>
      <c r="B1491"/>
      <c r="C1491"/>
      <c r="D1491"/>
      <c r="E1491"/>
      <c r="F1491"/>
      <c r="G1491"/>
      <c r="H1491"/>
      <c r="I1491"/>
      <c r="J1491"/>
      <c r="K1491"/>
      <c r="L1491"/>
      <c r="M1491" s="16"/>
      <c r="N1491"/>
      <c r="O1491"/>
      <c r="P1491"/>
    </row>
    <row r="1492" spans="1:16" ht="15" x14ac:dyDescent="0.2">
      <c r="A1492"/>
      <c r="B1492"/>
      <c r="C1492"/>
      <c r="D1492"/>
      <c r="E1492"/>
      <c r="F1492"/>
      <c r="G1492"/>
      <c r="H1492"/>
      <c r="I1492"/>
      <c r="J1492"/>
      <c r="K1492"/>
      <c r="L1492"/>
      <c r="M1492" s="16"/>
      <c r="N1492"/>
      <c r="O1492"/>
      <c r="P1492"/>
    </row>
    <row r="1493" spans="1:16" ht="15" x14ac:dyDescent="0.2">
      <c r="A1493"/>
      <c r="B1493"/>
      <c r="C1493"/>
      <c r="D1493"/>
      <c r="E1493"/>
      <c r="F1493"/>
      <c r="G1493"/>
      <c r="H1493"/>
      <c r="I1493"/>
      <c r="J1493"/>
      <c r="K1493"/>
      <c r="L1493"/>
      <c r="M1493" s="16"/>
      <c r="N1493"/>
      <c r="O1493"/>
      <c r="P1493"/>
    </row>
    <row r="1494" spans="1:16" ht="15" x14ac:dyDescent="0.2">
      <c r="A1494"/>
      <c r="B1494"/>
      <c r="C1494"/>
      <c r="D1494"/>
      <c r="E1494"/>
      <c r="F1494"/>
      <c r="G1494"/>
      <c r="H1494"/>
      <c r="I1494"/>
      <c r="J1494"/>
      <c r="K1494"/>
      <c r="L1494"/>
      <c r="M1494" s="16"/>
      <c r="N1494"/>
      <c r="O1494"/>
      <c r="P1494"/>
    </row>
    <row r="1495" spans="1:16" ht="15" x14ac:dyDescent="0.2">
      <c r="A1495"/>
      <c r="B1495"/>
      <c r="C1495"/>
      <c r="D1495"/>
      <c r="E1495"/>
      <c r="F1495"/>
      <c r="G1495"/>
      <c r="H1495"/>
      <c r="I1495"/>
      <c r="J1495"/>
      <c r="K1495"/>
      <c r="L1495"/>
      <c r="M1495" s="16"/>
      <c r="N1495"/>
      <c r="O1495"/>
      <c r="P1495"/>
    </row>
    <row r="1496" spans="1:16" ht="15" x14ac:dyDescent="0.2">
      <c r="A1496"/>
      <c r="B1496"/>
      <c r="C1496"/>
      <c r="D1496"/>
      <c r="E1496"/>
      <c r="F1496"/>
      <c r="G1496"/>
      <c r="H1496"/>
      <c r="I1496"/>
      <c r="J1496"/>
      <c r="K1496"/>
      <c r="L1496"/>
      <c r="M1496" s="16"/>
      <c r="N1496"/>
      <c r="O1496"/>
      <c r="P1496"/>
    </row>
    <row r="1497" spans="1:16" ht="15" x14ac:dyDescent="0.2">
      <c r="A1497"/>
      <c r="B1497"/>
      <c r="C1497"/>
      <c r="D1497"/>
      <c r="E1497"/>
      <c r="F1497"/>
      <c r="G1497"/>
      <c r="H1497"/>
      <c r="I1497"/>
      <c r="J1497"/>
      <c r="K1497"/>
      <c r="L1497"/>
      <c r="M1497" s="16"/>
      <c r="N1497"/>
      <c r="O1497"/>
      <c r="P1497"/>
    </row>
    <row r="1498" spans="1:16" ht="15" x14ac:dyDescent="0.2">
      <c r="A1498"/>
      <c r="B1498"/>
      <c r="C1498"/>
      <c r="D1498"/>
      <c r="E1498"/>
      <c r="F1498"/>
      <c r="G1498"/>
      <c r="H1498"/>
      <c r="I1498"/>
      <c r="J1498"/>
      <c r="K1498"/>
      <c r="L1498"/>
      <c r="M1498" s="16"/>
      <c r="N1498"/>
      <c r="O1498"/>
      <c r="P1498"/>
    </row>
    <row r="1499" spans="1:16" ht="15" x14ac:dyDescent="0.2">
      <c r="A1499"/>
      <c r="B1499"/>
      <c r="C1499"/>
      <c r="D1499"/>
      <c r="E1499"/>
      <c r="F1499"/>
      <c r="G1499"/>
      <c r="H1499"/>
      <c r="I1499"/>
      <c r="J1499"/>
      <c r="K1499"/>
      <c r="L1499"/>
      <c r="M1499" s="16"/>
      <c r="N1499"/>
      <c r="O1499"/>
      <c r="P1499"/>
    </row>
    <row r="1500" spans="1:16" ht="15" x14ac:dyDescent="0.2">
      <c r="A1500"/>
      <c r="B1500"/>
      <c r="C1500"/>
      <c r="D1500"/>
      <c r="E1500"/>
      <c r="F1500"/>
      <c r="G1500"/>
      <c r="H1500"/>
      <c r="I1500"/>
      <c r="J1500"/>
      <c r="K1500"/>
      <c r="L1500"/>
      <c r="M1500" s="16"/>
      <c r="N1500"/>
      <c r="O1500"/>
      <c r="P1500"/>
    </row>
    <row r="1501" spans="1:16" ht="15" x14ac:dyDescent="0.2">
      <c r="A1501"/>
      <c r="B1501"/>
      <c r="C1501"/>
      <c r="D1501"/>
      <c r="E1501"/>
      <c r="F1501"/>
      <c r="G1501"/>
      <c r="H1501"/>
      <c r="I1501"/>
      <c r="J1501"/>
      <c r="K1501"/>
      <c r="L1501"/>
      <c r="M1501" s="16"/>
      <c r="N1501"/>
      <c r="O1501"/>
      <c r="P1501"/>
    </row>
    <row r="1502" spans="1:16" ht="15" x14ac:dyDescent="0.2">
      <c r="A1502"/>
      <c r="B1502"/>
      <c r="C1502"/>
      <c r="D1502"/>
      <c r="E1502"/>
      <c r="F1502"/>
      <c r="G1502"/>
      <c r="H1502"/>
      <c r="I1502"/>
      <c r="J1502"/>
      <c r="K1502"/>
      <c r="L1502"/>
      <c r="M1502" s="16"/>
      <c r="N1502"/>
      <c r="O1502"/>
      <c r="P1502"/>
    </row>
    <row r="1503" spans="1:16" ht="15" x14ac:dyDescent="0.2">
      <c r="A1503"/>
      <c r="B1503"/>
      <c r="C1503"/>
      <c r="D1503"/>
      <c r="E1503"/>
      <c r="F1503"/>
      <c r="G1503"/>
      <c r="H1503"/>
      <c r="I1503"/>
      <c r="J1503"/>
      <c r="K1503"/>
      <c r="L1503"/>
      <c r="M1503" s="16"/>
      <c r="N1503"/>
      <c r="O1503"/>
      <c r="P1503"/>
    </row>
    <row r="1504" spans="1:16" ht="15" x14ac:dyDescent="0.2">
      <c r="A1504"/>
      <c r="B1504"/>
      <c r="C1504"/>
      <c r="D1504"/>
      <c r="E1504"/>
      <c r="F1504"/>
      <c r="G1504"/>
      <c r="H1504"/>
      <c r="I1504"/>
      <c r="J1504"/>
      <c r="K1504"/>
      <c r="L1504"/>
      <c r="M1504" s="16"/>
      <c r="N1504"/>
      <c r="O1504"/>
      <c r="P1504"/>
    </row>
    <row r="1505" spans="1:16" ht="15" x14ac:dyDescent="0.2">
      <c r="A1505"/>
      <c r="B1505"/>
      <c r="C1505"/>
      <c r="D1505"/>
      <c r="E1505"/>
      <c r="F1505"/>
      <c r="G1505"/>
      <c r="H1505"/>
      <c r="I1505"/>
      <c r="J1505"/>
      <c r="K1505"/>
      <c r="L1505"/>
      <c r="M1505" s="16"/>
      <c r="N1505"/>
      <c r="O1505"/>
      <c r="P1505"/>
    </row>
    <row r="1506" spans="1:16" ht="15" x14ac:dyDescent="0.2">
      <c r="A1506"/>
      <c r="B1506"/>
      <c r="C1506"/>
      <c r="D1506"/>
      <c r="E1506"/>
      <c r="F1506"/>
      <c r="G1506"/>
      <c r="H1506"/>
      <c r="I1506"/>
      <c r="J1506"/>
      <c r="K1506"/>
      <c r="L1506"/>
      <c r="M1506" s="16"/>
      <c r="N1506"/>
      <c r="O1506"/>
      <c r="P1506"/>
    </row>
    <row r="1507" spans="1:16" ht="15" x14ac:dyDescent="0.2">
      <c r="A1507"/>
      <c r="B1507"/>
      <c r="C1507"/>
      <c r="D1507"/>
      <c r="E1507"/>
      <c r="F1507"/>
      <c r="G1507"/>
      <c r="H1507"/>
      <c r="I1507"/>
      <c r="J1507"/>
      <c r="K1507"/>
      <c r="L1507"/>
      <c r="M1507" s="16"/>
      <c r="N1507"/>
      <c r="O1507"/>
      <c r="P1507"/>
    </row>
    <row r="1508" spans="1:16" ht="15" x14ac:dyDescent="0.2">
      <c r="A1508"/>
      <c r="B1508"/>
      <c r="C1508"/>
      <c r="D1508"/>
      <c r="E1508"/>
      <c r="F1508"/>
      <c r="G1508"/>
      <c r="H1508"/>
      <c r="I1508"/>
      <c r="J1508"/>
      <c r="K1508"/>
      <c r="L1508"/>
      <c r="M1508" s="16"/>
      <c r="N1508"/>
      <c r="O1508"/>
      <c r="P1508"/>
    </row>
    <row r="1509" spans="1:16" ht="15" x14ac:dyDescent="0.2">
      <c r="A1509"/>
      <c r="B1509"/>
      <c r="C1509"/>
      <c r="D1509"/>
      <c r="E1509"/>
      <c r="F1509"/>
      <c r="G1509"/>
      <c r="H1509"/>
      <c r="I1509"/>
      <c r="J1509"/>
      <c r="K1509"/>
      <c r="L1509"/>
      <c r="M1509" s="16"/>
      <c r="N1509"/>
      <c r="O1509"/>
      <c r="P1509"/>
    </row>
    <row r="1510" spans="1:16" ht="15" x14ac:dyDescent="0.2">
      <c r="A1510"/>
      <c r="B1510"/>
      <c r="C1510"/>
      <c r="D1510"/>
      <c r="E1510"/>
      <c r="F1510"/>
      <c r="G1510"/>
      <c r="H1510"/>
      <c r="I1510"/>
      <c r="J1510"/>
      <c r="K1510"/>
      <c r="L1510"/>
      <c r="M1510" s="16"/>
      <c r="N1510"/>
      <c r="O1510"/>
      <c r="P1510"/>
    </row>
    <row r="1511" spans="1:16" ht="15" x14ac:dyDescent="0.2">
      <c r="A1511"/>
      <c r="B1511"/>
      <c r="C1511"/>
      <c r="D1511"/>
      <c r="E1511"/>
      <c r="F1511"/>
      <c r="G1511"/>
      <c r="H1511"/>
      <c r="I1511"/>
      <c r="J1511"/>
      <c r="K1511"/>
      <c r="L1511"/>
      <c r="M1511" s="16"/>
      <c r="N1511"/>
      <c r="O1511"/>
      <c r="P1511"/>
    </row>
    <row r="1512" spans="1:16" ht="15" x14ac:dyDescent="0.2">
      <c r="A1512"/>
      <c r="B1512"/>
      <c r="C1512"/>
      <c r="D1512"/>
      <c r="E1512"/>
      <c r="F1512"/>
      <c r="G1512"/>
      <c r="H1512"/>
      <c r="I1512"/>
      <c r="J1512"/>
      <c r="K1512"/>
      <c r="L1512"/>
      <c r="M1512" s="16"/>
      <c r="N1512"/>
      <c r="O1512"/>
      <c r="P1512"/>
    </row>
    <row r="1513" spans="1:16" ht="15" x14ac:dyDescent="0.2">
      <c r="A1513"/>
      <c r="B1513"/>
      <c r="C1513"/>
      <c r="D1513"/>
      <c r="E1513"/>
      <c r="F1513"/>
      <c r="G1513"/>
      <c r="H1513"/>
      <c r="I1513"/>
      <c r="J1513"/>
      <c r="K1513"/>
      <c r="L1513"/>
      <c r="M1513" s="16"/>
      <c r="N1513"/>
      <c r="O1513"/>
      <c r="P1513"/>
    </row>
    <row r="1514" spans="1:16" ht="15" x14ac:dyDescent="0.2">
      <c r="A1514"/>
      <c r="B1514"/>
      <c r="C1514"/>
      <c r="D1514"/>
      <c r="E1514"/>
      <c r="F1514"/>
      <c r="G1514"/>
      <c r="H1514"/>
      <c r="I1514"/>
      <c r="J1514"/>
      <c r="K1514"/>
      <c r="L1514"/>
      <c r="M1514" s="16"/>
      <c r="N1514"/>
      <c r="O1514"/>
      <c r="P1514"/>
    </row>
    <row r="1515" spans="1:16" ht="15" x14ac:dyDescent="0.2">
      <c r="A1515"/>
      <c r="B1515"/>
      <c r="C1515"/>
      <c r="D1515"/>
      <c r="E1515"/>
      <c r="F1515"/>
      <c r="G1515"/>
      <c r="H1515"/>
      <c r="I1515"/>
      <c r="J1515"/>
      <c r="K1515"/>
      <c r="L1515"/>
      <c r="M1515" s="16"/>
      <c r="N1515"/>
      <c r="O1515"/>
      <c r="P1515"/>
    </row>
    <row r="1516" spans="1:16" ht="15" x14ac:dyDescent="0.2">
      <c r="A1516"/>
      <c r="B1516"/>
      <c r="C1516"/>
      <c r="D1516"/>
      <c r="E1516"/>
      <c r="F1516"/>
      <c r="G1516"/>
      <c r="H1516"/>
      <c r="I1516"/>
      <c r="J1516"/>
      <c r="K1516"/>
      <c r="L1516"/>
      <c r="M1516" s="16"/>
      <c r="N1516"/>
      <c r="O1516"/>
      <c r="P1516"/>
    </row>
    <row r="1517" spans="1:16" ht="15" x14ac:dyDescent="0.2">
      <c r="A1517"/>
      <c r="B1517"/>
      <c r="C1517"/>
      <c r="D1517"/>
      <c r="E1517"/>
      <c r="F1517"/>
      <c r="G1517"/>
      <c r="H1517"/>
      <c r="I1517"/>
      <c r="J1517"/>
      <c r="K1517"/>
      <c r="L1517"/>
      <c r="M1517" s="16"/>
      <c r="N1517"/>
      <c r="O1517"/>
      <c r="P1517"/>
    </row>
    <row r="1518" spans="1:16" ht="15" x14ac:dyDescent="0.2">
      <c r="A1518"/>
      <c r="B1518"/>
      <c r="C1518"/>
      <c r="D1518"/>
      <c r="E1518"/>
      <c r="F1518"/>
      <c r="G1518"/>
      <c r="H1518"/>
      <c r="I1518"/>
      <c r="J1518"/>
      <c r="K1518"/>
      <c r="L1518"/>
      <c r="M1518" s="16"/>
      <c r="N1518"/>
      <c r="O1518"/>
      <c r="P1518"/>
    </row>
    <row r="1519" spans="1:16" ht="15" x14ac:dyDescent="0.2">
      <c r="A1519"/>
      <c r="B1519"/>
      <c r="C1519"/>
      <c r="D1519"/>
      <c r="E1519"/>
      <c r="F1519"/>
      <c r="G1519"/>
      <c r="H1519"/>
      <c r="I1519"/>
      <c r="J1519"/>
      <c r="K1519"/>
      <c r="L1519"/>
      <c r="M1519" s="16"/>
      <c r="N1519"/>
      <c r="O1519"/>
      <c r="P1519"/>
    </row>
    <row r="1520" spans="1:16" ht="15" x14ac:dyDescent="0.2">
      <c r="A1520"/>
      <c r="B1520"/>
      <c r="C1520"/>
      <c r="D1520"/>
      <c r="E1520"/>
      <c r="F1520"/>
      <c r="G1520"/>
      <c r="H1520"/>
      <c r="I1520"/>
      <c r="J1520"/>
      <c r="K1520"/>
      <c r="L1520"/>
      <c r="M1520" s="16"/>
      <c r="N1520"/>
      <c r="O1520"/>
      <c r="P1520"/>
    </row>
    <row r="1521" spans="1:16" ht="15" x14ac:dyDescent="0.2">
      <c r="A1521"/>
      <c r="B1521"/>
      <c r="C1521"/>
      <c r="D1521"/>
      <c r="E1521"/>
      <c r="F1521"/>
      <c r="G1521"/>
      <c r="H1521"/>
      <c r="I1521"/>
      <c r="J1521"/>
      <c r="K1521"/>
      <c r="L1521"/>
      <c r="M1521" s="16"/>
      <c r="N1521"/>
      <c r="O1521"/>
      <c r="P1521"/>
    </row>
    <row r="1522" spans="1:16" ht="15" x14ac:dyDescent="0.2">
      <c r="A1522"/>
      <c r="B1522"/>
      <c r="C1522"/>
      <c r="D1522"/>
      <c r="E1522"/>
      <c r="F1522"/>
      <c r="G1522"/>
      <c r="H1522"/>
      <c r="I1522"/>
      <c r="J1522"/>
      <c r="K1522"/>
      <c r="L1522"/>
      <c r="M1522" s="16"/>
      <c r="N1522"/>
      <c r="O1522"/>
      <c r="P1522"/>
    </row>
    <row r="1523" spans="1:16" ht="15" x14ac:dyDescent="0.2">
      <c r="A1523"/>
      <c r="B1523"/>
      <c r="C1523"/>
      <c r="D1523"/>
      <c r="E1523"/>
      <c r="F1523"/>
      <c r="G1523"/>
      <c r="H1523"/>
      <c r="I1523"/>
      <c r="J1523"/>
      <c r="K1523"/>
      <c r="L1523"/>
      <c r="M1523" s="16"/>
      <c r="N1523"/>
      <c r="O1523"/>
      <c r="P1523"/>
    </row>
    <row r="1524" spans="1:16" ht="15" x14ac:dyDescent="0.2">
      <c r="A1524"/>
      <c r="B1524"/>
      <c r="C1524"/>
      <c r="D1524"/>
      <c r="E1524"/>
      <c r="F1524"/>
      <c r="G1524"/>
      <c r="H1524"/>
      <c r="I1524"/>
      <c r="J1524"/>
      <c r="K1524"/>
      <c r="L1524"/>
      <c r="M1524" s="16"/>
      <c r="N1524"/>
      <c r="O1524"/>
      <c r="P1524"/>
    </row>
    <row r="1525" spans="1:16" ht="15" x14ac:dyDescent="0.2">
      <c r="A1525"/>
      <c r="B1525"/>
      <c r="C1525"/>
      <c r="D1525"/>
      <c r="E1525"/>
      <c r="F1525"/>
      <c r="G1525"/>
      <c r="H1525"/>
      <c r="I1525"/>
      <c r="J1525"/>
      <c r="K1525"/>
      <c r="L1525"/>
      <c r="M1525" s="16"/>
      <c r="N1525"/>
      <c r="O1525"/>
      <c r="P1525"/>
    </row>
    <row r="1526" spans="1:16" ht="15" x14ac:dyDescent="0.2">
      <c r="A1526"/>
      <c r="B1526"/>
      <c r="C1526"/>
      <c r="D1526"/>
      <c r="E1526"/>
      <c r="F1526"/>
      <c r="G1526"/>
      <c r="H1526"/>
      <c r="I1526"/>
      <c r="J1526"/>
      <c r="K1526"/>
      <c r="L1526"/>
      <c r="M1526" s="16"/>
      <c r="N1526"/>
      <c r="O1526"/>
      <c r="P1526"/>
    </row>
    <row r="1527" spans="1:16" ht="15" x14ac:dyDescent="0.2">
      <c r="A1527"/>
      <c r="B1527"/>
      <c r="C1527"/>
      <c r="D1527"/>
      <c r="E1527"/>
      <c r="F1527"/>
      <c r="G1527"/>
      <c r="H1527"/>
      <c r="I1527"/>
      <c r="J1527"/>
      <c r="K1527"/>
      <c r="L1527"/>
      <c r="M1527" s="16"/>
      <c r="N1527"/>
      <c r="O1527"/>
      <c r="P1527"/>
    </row>
    <row r="1528" spans="1:16" ht="15" x14ac:dyDescent="0.2">
      <c r="A1528"/>
      <c r="B1528"/>
      <c r="C1528"/>
      <c r="D1528"/>
      <c r="E1528"/>
      <c r="F1528"/>
      <c r="G1528"/>
      <c r="H1528"/>
      <c r="I1528"/>
      <c r="J1528"/>
      <c r="K1528"/>
      <c r="L1528"/>
      <c r="M1528" s="16"/>
      <c r="N1528"/>
      <c r="O1528"/>
      <c r="P1528"/>
    </row>
    <row r="1529" spans="1:16" ht="15" x14ac:dyDescent="0.2">
      <c r="A1529"/>
      <c r="B1529"/>
      <c r="C1529"/>
      <c r="D1529"/>
      <c r="E1529"/>
      <c r="F1529"/>
      <c r="G1529"/>
      <c r="H1529"/>
      <c r="I1529"/>
      <c r="J1529"/>
      <c r="K1529"/>
      <c r="L1529"/>
      <c r="M1529" s="16"/>
      <c r="N1529"/>
      <c r="O1529"/>
      <c r="P1529"/>
    </row>
    <row r="1530" spans="1:16" ht="15" x14ac:dyDescent="0.2">
      <c r="A1530"/>
      <c r="B1530"/>
      <c r="C1530"/>
      <c r="D1530"/>
      <c r="E1530"/>
      <c r="F1530"/>
      <c r="G1530"/>
      <c r="H1530"/>
      <c r="I1530"/>
      <c r="J1530"/>
      <c r="K1530"/>
      <c r="L1530"/>
      <c r="M1530" s="16"/>
      <c r="N1530"/>
      <c r="O1530"/>
      <c r="P1530"/>
    </row>
    <row r="1531" spans="1:16" ht="15" x14ac:dyDescent="0.2">
      <c r="A1531"/>
      <c r="B1531"/>
      <c r="C1531"/>
      <c r="D1531"/>
      <c r="E1531"/>
      <c r="F1531"/>
      <c r="G1531"/>
      <c r="H1531"/>
      <c r="I1531"/>
      <c r="J1531"/>
      <c r="K1531"/>
      <c r="L1531"/>
      <c r="M1531" s="16"/>
      <c r="N1531"/>
      <c r="O1531"/>
      <c r="P1531"/>
    </row>
    <row r="1532" spans="1:16" ht="15" x14ac:dyDescent="0.2">
      <c r="A1532"/>
      <c r="B1532"/>
      <c r="C1532"/>
      <c r="D1532"/>
      <c r="E1532"/>
      <c r="F1532"/>
      <c r="G1532"/>
      <c r="H1532"/>
      <c r="I1532"/>
      <c r="J1532"/>
      <c r="K1532"/>
      <c r="L1532"/>
      <c r="M1532" s="16"/>
      <c r="N1532"/>
      <c r="O1532"/>
      <c r="P1532"/>
    </row>
    <row r="1533" spans="1:16" ht="15" x14ac:dyDescent="0.2">
      <c r="A1533"/>
      <c r="B1533"/>
      <c r="C1533"/>
      <c r="D1533"/>
      <c r="E1533"/>
      <c r="F1533"/>
      <c r="G1533"/>
      <c r="H1533"/>
      <c r="I1533"/>
      <c r="J1533"/>
      <c r="K1533"/>
      <c r="L1533"/>
      <c r="M1533" s="16"/>
      <c r="N1533"/>
      <c r="O1533"/>
      <c r="P1533"/>
    </row>
    <row r="1534" spans="1:16" ht="15" x14ac:dyDescent="0.2">
      <c r="A1534"/>
      <c r="B1534"/>
      <c r="C1534"/>
      <c r="D1534"/>
      <c r="E1534"/>
      <c r="F1534"/>
      <c r="G1534"/>
      <c r="H1534"/>
      <c r="I1534"/>
      <c r="J1534"/>
      <c r="K1534"/>
      <c r="L1534"/>
      <c r="M1534" s="16"/>
      <c r="N1534"/>
      <c r="O1534"/>
      <c r="P1534"/>
    </row>
    <row r="1535" spans="1:16" ht="15" x14ac:dyDescent="0.2">
      <c r="A1535"/>
      <c r="B1535"/>
      <c r="C1535"/>
      <c r="D1535"/>
      <c r="E1535"/>
      <c r="F1535"/>
      <c r="G1535"/>
      <c r="H1535"/>
      <c r="I1535"/>
      <c r="J1535"/>
      <c r="K1535"/>
      <c r="L1535"/>
      <c r="M1535" s="16"/>
      <c r="N1535"/>
      <c r="O1535"/>
      <c r="P1535"/>
    </row>
    <row r="1536" spans="1:16" ht="15" x14ac:dyDescent="0.2">
      <c r="A1536"/>
      <c r="B1536"/>
      <c r="C1536"/>
      <c r="D1536"/>
      <c r="E1536"/>
      <c r="F1536"/>
      <c r="G1536"/>
      <c r="H1536"/>
      <c r="I1536"/>
      <c r="J1536"/>
      <c r="K1536"/>
      <c r="L1536"/>
      <c r="M1536" s="16"/>
      <c r="N1536"/>
      <c r="O1536"/>
      <c r="P1536"/>
    </row>
    <row r="1537" spans="1:16" ht="15" x14ac:dyDescent="0.2">
      <c r="A1537"/>
      <c r="B1537"/>
      <c r="C1537"/>
      <c r="D1537"/>
      <c r="E1537"/>
      <c r="F1537"/>
      <c r="G1537"/>
      <c r="H1537"/>
      <c r="I1537"/>
      <c r="J1537"/>
      <c r="K1537"/>
      <c r="L1537"/>
      <c r="M1537" s="16"/>
      <c r="N1537"/>
      <c r="O1537"/>
      <c r="P1537"/>
    </row>
    <row r="1538" spans="1:16" ht="15" x14ac:dyDescent="0.2">
      <c r="A1538"/>
      <c r="B1538"/>
      <c r="C1538"/>
      <c r="D1538"/>
      <c r="E1538"/>
      <c r="F1538"/>
      <c r="G1538"/>
      <c r="H1538"/>
      <c r="I1538"/>
      <c r="J1538"/>
      <c r="K1538"/>
      <c r="L1538"/>
      <c r="M1538" s="16"/>
      <c r="N1538"/>
      <c r="O1538"/>
      <c r="P1538"/>
    </row>
    <row r="1539" spans="1:16" ht="15" x14ac:dyDescent="0.2">
      <c r="A1539"/>
      <c r="B1539"/>
      <c r="C1539"/>
      <c r="D1539"/>
      <c r="E1539"/>
      <c r="F1539"/>
      <c r="G1539"/>
      <c r="H1539"/>
      <c r="I1539"/>
      <c r="J1539"/>
      <c r="K1539"/>
      <c r="L1539"/>
      <c r="M1539" s="16"/>
      <c r="N1539"/>
      <c r="O1539"/>
      <c r="P1539"/>
    </row>
    <row r="1540" spans="1:16" ht="15" x14ac:dyDescent="0.2">
      <c r="A1540"/>
      <c r="B1540"/>
      <c r="C1540"/>
      <c r="D1540"/>
      <c r="E1540"/>
      <c r="F1540"/>
      <c r="G1540"/>
      <c r="H1540"/>
      <c r="I1540"/>
      <c r="J1540"/>
      <c r="K1540"/>
      <c r="L1540"/>
      <c r="M1540" s="16"/>
      <c r="N1540"/>
      <c r="O1540"/>
      <c r="P1540"/>
    </row>
    <row r="1541" spans="1:16" ht="15" x14ac:dyDescent="0.2">
      <c r="A1541"/>
      <c r="B1541"/>
      <c r="C1541"/>
      <c r="D1541"/>
      <c r="E1541"/>
      <c r="F1541"/>
      <c r="G1541"/>
      <c r="H1541"/>
      <c r="I1541"/>
      <c r="J1541"/>
      <c r="K1541"/>
      <c r="L1541"/>
      <c r="M1541" s="16"/>
      <c r="N1541"/>
      <c r="O1541"/>
      <c r="P1541"/>
    </row>
    <row r="1542" spans="1:16" ht="15" x14ac:dyDescent="0.2">
      <c r="A1542"/>
      <c r="B1542"/>
      <c r="C1542"/>
      <c r="D1542"/>
      <c r="E1542"/>
      <c r="F1542"/>
      <c r="G1542"/>
      <c r="H1542"/>
      <c r="I1542"/>
      <c r="J1542"/>
      <c r="K1542"/>
      <c r="L1542"/>
      <c r="M1542" s="16"/>
      <c r="N1542"/>
      <c r="O1542"/>
      <c r="P1542"/>
    </row>
    <row r="1543" spans="1:16" ht="15" x14ac:dyDescent="0.2">
      <c r="A1543"/>
      <c r="B1543"/>
      <c r="C1543"/>
      <c r="D1543"/>
      <c r="E1543"/>
      <c r="F1543"/>
      <c r="G1543"/>
      <c r="H1543"/>
      <c r="I1543"/>
      <c r="J1543"/>
      <c r="K1543"/>
      <c r="L1543"/>
      <c r="M1543" s="16"/>
      <c r="N1543"/>
      <c r="O1543"/>
      <c r="P1543"/>
    </row>
    <row r="1544" spans="1:16" ht="15" x14ac:dyDescent="0.2">
      <c r="A1544"/>
      <c r="B1544"/>
      <c r="C1544"/>
      <c r="D1544"/>
      <c r="E1544"/>
      <c r="F1544"/>
      <c r="G1544"/>
      <c r="H1544"/>
      <c r="I1544"/>
      <c r="J1544"/>
      <c r="K1544"/>
      <c r="L1544"/>
      <c r="M1544" s="16"/>
      <c r="N1544"/>
      <c r="O1544"/>
      <c r="P1544"/>
    </row>
    <row r="1545" spans="1:16" ht="15" x14ac:dyDescent="0.2">
      <c r="A1545"/>
      <c r="B1545"/>
      <c r="C1545"/>
      <c r="D1545"/>
      <c r="E1545"/>
      <c r="F1545"/>
      <c r="G1545"/>
      <c r="H1545"/>
      <c r="I1545"/>
      <c r="J1545"/>
      <c r="K1545"/>
      <c r="L1545"/>
      <c r="M1545" s="16"/>
      <c r="N1545"/>
      <c r="O1545"/>
      <c r="P1545"/>
    </row>
    <row r="1546" spans="1:16" ht="15" x14ac:dyDescent="0.2">
      <c r="A1546"/>
      <c r="B1546"/>
      <c r="C1546"/>
      <c r="D1546"/>
      <c r="E1546"/>
      <c r="F1546"/>
      <c r="G1546"/>
      <c r="H1546"/>
      <c r="I1546"/>
      <c r="J1546"/>
      <c r="K1546"/>
      <c r="L1546"/>
      <c r="M1546" s="16"/>
      <c r="N1546"/>
      <c r="O1546"/>
      <c r="P1546"/>
    </row>
    <row r="1547" spans="1:16" ht="15" x14ac:dyDescent="0.2">
      <c r="A1547"/>
      <c r="B1547"/>
      <c r="C1547"/>
      <c r="D1547"/>
      <c r="E1547"/>
      <c r="F1547"/>
      <c r="G1547"/>
      <c r="H1547"/>
      <c r="I1547"/>
      <c r="J1547"/>
      <c r="K1547"/>
      <c r="L1547"/>
      <c r="M1547" s="16"/>
      <c r="N1547"/>
      <c r="O1547"/>
      <c r="P1547"/>
    </row>
    <row r="1548" spans="1:16" ht="15" x14ac:dyDescent="0.2">
      <c r="A1548"/>
      <c r="B1548"/>
      <c r="C1548"/>
      <c r="D1548"/>
      <c r="E1548"/>
      <c r="F1548"/>
      <c r="G1548"/>
      <c r="H1548"/>
      <c r="I1548"/>
      <c r="J1548"/>
      <c r="K1548"/>
      <c r="L1548"/>
      <c r="M1548" s="16"/>
      <c r="N1548"/>
      <c r="O1548"/>
      <c r="P1548"/>
    </row>
    <row r="1549" spans="1:16" ht="15" x14ac:dyDescent="0.2">
      <c r="A1549"/>
      <c r="B1549"/>
      <c r="C1549"/>
      <c r="D1549"/>
      <c r="E1549"/>
      <c r="F1549"/>
      <c r="G1549"/>
      <c r="H1549"/>
      <c r="I1549"/>
      <c r="J1549"/>
      <c r="K1549"/>
      <c r="L1549"/>
      <c r="M1549" s="16"/>
      <c r="N1549"/>
      <c r="O1549"/>
      <c r="P1549"/>
    </row>
    <row r="1550" spans="1:16" ht="15" x14ac:dyDescent="0.2">
      <c r="A1550"/>
      <c r="B1550"/>
      <c r="C1550"/>
      <c r="D1550"/>
      <c r="E1550"/>
      <c r="F1550"/>
      <c r="G1550"/>
      <c r="H1550"/>
      <c r="I1550"/>
      <c r="J1550"/>
      <c r="K1550"/>
      <c r="L1550"/>
      <c r="M1550" s="16"/>
      <c r="N1550"/>
      <c r="O1550"/>
      <c r="P1550"/>
    </row>
    <row r="1551" spans="1:16" ht="15" x14ac:dyDescent="0.2">
      <c r="A1551"/>
      <c r="B1551"/>
      <c r="C1551"/>
      <c r="D1551"/>
      <c r="E1551"/>
      <c r="F1551"/>
      <c r="G1551"/>
      <c r="H1551"/>
      <c r="I1551"/>
      <c r="J1551"/>
      <c r="K1551"/>
      <c r="L1551"/>
      <c r="M1551" s="16"/>
      <c r="N1551"/>
      <c r="O1551"/>
      <c r="P1551"/>
    </row>
    <row r="1552" spans="1:16" ht="15" x14ac:dyDescent="0.2">
      <c r="A1552"/>
      <c r="B1552"/>
      <c r="C1552"/>
      <c r="D1552"/>
      <c r="E1552"/>
      <c r="F1552"/>
      <c r="G1552"/>
      <c r="H1552"/>
      <c r="I1552"/>
      <c r="J1552"/>
      <c r="K1552"/>
      <c r="L1552"/>
      <c r="M1552" s="16"/>
      <c r="N1552"/>
      <c r="O1552"/>
      <c r="P1552"/>
    </row>
    <row r="1553" spans="1:16" ht="15" x14ac:dyDescent="0.2">
      <c r="A1553"/>
      <c r="B1553"/>
      <c r="C1553"/>
      <c r="D1553"/>
      <c r="E1553"/>
      <c r="F1553"/>
      <c r="G1553"/>
      <c r="H1553"/>
      <c r="I1553"/>
      <c r="J1553"/>
      <c r="K1553"/>
      <c r="L1553"/>
      <c r="M1553" s="16"/>
      <c r="N1553"/>
      <c r="O1553"/>
      <c r="P1553"/>
    </row>
    <row r="1554" spans="1:16" ht="15" x14ac:dyDescent="0.2">
      <c r="A1554"/>
      <c r="B1554"/>
      <c r="C1554"/>
      <c r="D1554"/>
      <c r="E1554"/>
      <c r="F1554"/>
      <c r="G1554"/>
      <c r="H1554"/>
      <c r="I1554"/>
      <c r="J1554"/>
      <c r="K1554"/>
      <c r="L1554"/>
      <c r="M1554" s="16"/>
      <c r="N1554"/>
      <c r="O1554"/>
      <c r="P1554"/>
    </row>
    <row r="1555" spans="1:16" ht="15" x14ac:dyDescent="0.2">
      <c r="A1555"/>
      <c r="B1555"/>
      <c r="C1555"/>
      <c r="D1555"/>
      <c r="E1555"/>
      <c r="F1555"/>
      <c r="G1555"/>
      <c r="H1555"/>
      <c r="I1555"/>
      <c r="J1555"/>
      <c r="K1555"/>
      <c r="L1555"/>
      <c r="M1555" s="16"/>
      <c r="N1555"/>
      <c r="O1555"/>
      <c r="P1555"/>
    </row>
    <row r="1556" spans="1:16" ht="15" x14ac:dyDescent="0.2">
      <c r="A1556"/>
      <c r="B1556"/>
      <c r="C1556"/>
      <c r="D1556"/>
      <c r="E1556"/>
      <c r="F1556"/>
      <c r="G1556"/>
      <c r="H1556"/>
      <c r="I1556"/>
      <c r="J1556"/>
      <c r="K1556"/>
      <c r="L1556"/>
      <c r="M1556" s="16"/>
      <c r="N1556"/>
      <c r="O1556"/>
      <c r="P1556"/>
    </row>
    <row r="1557" spans="1:16" ht="15" x14ac:dyDescent="0.2">
      <c r="A1557"/>
      <c r="B1557"/>
      <c r="C1557"/>
      <c r="D1557"/>
      <c r="E1557"/>
      <c r="F1557"/>
      <c r="G1557"/>
      <c r="H1557"/>
      <c r="I1557"/>
      <c r="J1557"/>
      <c r="K1557"/>
      <c r="L1557"/>
      <c r="M1557" s="16"/>
      <c r="N1557"/>
      <c r="O1557"/>
      <c r="P1557"/>
    </row>
    <row r="1558" spans="1:16" ht="15" x14ac:dyDescent="0.2">
      <c r="A1558"/>
      <c r="B1558"/>
      <c r="C1558"/>
      <c r="D1558"/>
      <c r="E1558"/>
      <c r="F1558"/>
      <c r="G1558"/>
      <c r="H1558"/>
      <c r="I1558"/>
      <c r="J1558"/>
      <c r="K1558"/>
      <c r="L1558"/>
      <c r="M1558" s="16"/>
      <c r="N1558"/>
      <c r="O1558"/>
      <c r="P1558"/>
    </row>
    <row r="1559" spans="1:16" ht="15" x14ac:dyDescent="0.2">
      <c r="A1559"/>
      <c r="B1559"/>
      <c r="C1559"/>
      <c r="D1559"/>
      <c r="E1559"/>
      <c r="F1559"/>
      <c r="G1559"/>
      <c r="H1559"/>
      <c r="I1559"/>
      <c r="J1559"/>
      <c r="K1559"/>
      <c r="L1559"/>
      <c r="M1559" s="16"/>
      <c r="N1559"/>
      <c r="O1559"/>
      <c r="P1559"/>
    </row>
    <row r="1560" spans="1:16" ht="15" x14ac:dyDescent="0.2">
      <c r="A1560"/>
      <c r="B1560"/>
      <c r="C1560"/>
      <c r="D1560"/>
      <c r="E1560"/>
      <c r="F1560"/>
      <c r="G1560"/>
      <c r="H1560"/>
      <c r="I1560"/>
      <c r="J1560"/>
      <c r="K1560"/>
      <c r="L1560"/>
      <c r="M1560" s="16"/>
      <c r="N1560"/>
      <c r="O1560"/>
      <c r="P1560"/>
    </row>
    <row r="1561" spans="1:16" ht="15" x14ac:dyDescent="0.2">
      <c r="A1561"/>
      <c r="B1561"/>
      <c r="C1561"/>
      <c r="D1561"/>
      <c r="E1561"/>
      <c r="F1561"/>
      <c r="G1561"/>
      <c r="H1561"/>
      <c r="I1561"/>
      <c r="J1561"/>
      <c r="K1561"/>
      <c r="L1561"/>
      <c r="M1561" s="16"/>
      <c r="N1561"/>
      <c r="O1561"/>
      <c r="P1561"/>
    </row>
    <row r="1562" spans="1:16" ht="15" x14ac:dyDescent="0.2">
      <c r="A1562"/>
      <c r="B1562"/>
      <c r="C1562"/>
      <c r="D1562"/>
      <c r="E1562"/>
      <c r="F1562"/>
      <c r="G1562"/>
      <c r="H1562"/>
      <c r="I1562"/>
      <c r="J1562"/>
      <c r="K1562"/>
      <c r="L1562"/>
      <c r="M1562" s="16"/>
      <c r="N1562"/>
      <c r="O1562"/>
      <c r="P1562"/>
    </row>
    <row r="1563" spans="1:16" ht="15" x14ac:dyDescent="0.2">
      <c r="A1563"/>
      <c r="B1563"/>
      <c r="C1563"/>
      <c r="D1563"/>
      <c r="E1563"/>
      <c r="F1563"/>
      <c r="G1563"/>
      <c r="H1563"/>
      <c r="I1563"/>
      <c r="J1563"/>
      <c r="K1563"/>
      <c r="L1563"/>
      <c r="M1563" s="16"/>
      <c r="N1563"/>
      <c r="O1563"/>
      <c r="P1563"/>
    </row>
    <row r="1564" spans="1:16" ht="15" x14ac:dyDescent="0.2">
      <c r="A1564"/>
      <c r="B1564"/>
      <c r="C1564"/>
      <c r="D1564"/>
      <c r="E1564"/>
      <c r="F1564"/>
      <c r="G1564"/>
      <c r="H1564"/>
      <c r="I1564"/>
      <c r="J1564"/>
      <c r="K1564"/>
      <c r="L1564"/>
      <c r="M1564" s="16"/>
      <c r="N1564"/>
      <c r="O1564"/>
      <c r="P1564"/>
    </row>
    <row r="1565" spans="1:16" ht="15" x14ac:dyDescent="0.2">
      <c r="A1565"/>
      <c r="B1565"/>
      <c r="C1565"/>
      <c r="D1565"/>
      <c r="E1565"/>
      <c r="F1565"/>
      <c r="G1565"/>
      <c r="H1565"/>
      <c r="I1565"/>
      <c r="J1565"/>
      <c r="K1565"/>
      <c r="L1565"/>
      <c r="M1565" s="16"/>
      <c r="N1565"/>
      <c r="O1565"/>
      <c r="P1565"/>
    </row>
    <row r="1566" spans="1:16" ht="15" x14ac:dyDescent="0.2">
      <c r="A1566"/>
      <c r="B1566"/>
      <c r="C1566"/>
      <c r="D1566"/>
      <c r="E1566"/>
      <c r="F1566"/>
      <c r="G1566"/>
      <c r="H1566"/>
      <c r="I1566"/>
      <c r="J1566"/>
      <c r="K1566"/>
      <c r="L1566"/>
      <c r="M1566" s="16"/>
      <c r="N1566"/>
      <c r="O1566"/>
      <c r="P1566"/>
    </row>
    <row r="1567" spans="1:16" ht="15" x14ac:dyDescent="0.2">
      <c r="A1567"/>
      <c r="B1567"/>
      <c r="C1567"/>
      <c r="D1567"/>
      <c r="E1567"/>
      <c r="F1567"/>
      <c r="G1567"/>
      <c r="H1567"/>
      <c r="I1567"/>
      <c r="J1567"/>
      <c r="K1567"/>
      <c r="L1567"/>
      <c r="M1567" s="16"/>
      <c r="N1567"/>
      <c r="O1567"/>
      <c r="P1567"/>
    </row>
    <row r="1568" spans="1:16" ht="15" x14ac:dyDescent="0.2">
      <c r="A1568"/>
      <c r="B1568"/>
      <c r="C1568"/>
      <c r="D1568"/>
      <c r="E1568"/>
      <c r="F1568"/>
      <c r="G1568"/>
      <c r="H1568"/>
      <c r="I1568"/>
      <c r="J1568"/>
      <c r="K1568"/>
      <c r="L1568"/>
      <c r="M1568" s="16"/>
      <c r="N1568"/>
      <c r="O1568"/>
      <c r="P1568"/>
    </row>
    <row r="1569" spans="1:16" ht="15" x14ac:dyDescent="0.2">
      <c r="A1569"/>
      <c r="B1569"/>
      <c r="C1569"/>
      <c r="D1569"/>
      <c r="E1569"/>
      <c r="F1569"/>
      <c r="G1569"/>
      <c r="H1569"/>
      <c r="I1569"/>
      <c r="J1569"/>
      <c r="K1569"/>
      <c r="L1569"/>
      <c r="M1569" s="16"/>
      <c r="N1569"/>
      <c r="O1569"/>
      <c r="P1569"/>
    </row>
    <row r="1570" spans="1:16" ht="15" x14ac:dyDescent="0.2">
      <c r="A1570"/>
      <c r="B1570"/>
      <c r="C1570"/>
      <c r="D1570"/>
      <c r="E1570"/>
      <c r="F1570"/>
      <c r="G1570"/>
      <c r="H1570"/>
      <c r="I1570"/>
      <c r="J1570"/>
      <c r="K1570"/>
      <c r="L1570"/>
      <c r="M1570" s="16"/>
      <c r="N1570"/>
      <c r="O1570"/>
      <c r="P1570"/>
    </row>
    <row r="1571" spans="1:16" ht="15" x14ac:dyDescent="0.2">
      <c r="A1571"/>
      <c r="B1571"/>
      <c r="C1571"/>
      <c r="D1571"/>
      <c r="E1571"/>
      <c r="F1571"/>
      <c r="G1571"/>
      <c r="H1571"/>
      <c r="I1571"/>
      <c r="J1571"/>
      <c r="K1571"/>
      <c r="L1571"/>
      <c r="M1571" s="16"/>
      <c r="N1571"/>
      <c r="O1571"/>
      <c r="P1571"/>
    </row>
    <row r="1572" spans="1:16" ht="15" x14ac:dyDescent="0.2">
      <c r="A1572"/>
      <c r="B1572"/>
      <c r="C1572"/>
      <c r="D1572"/>
      <c r="E1572"/>
      <c r="F1572"/>
      <c r="G1572"/>
      <c r="H1572"/>
      <c r="I1572"/>
      <c r="J1572"/>
      <c r="K1572"/>
      <c r="L1572"/>
      <c r="M1572" s="16"/>
      <c r="N1572"/>
      <c r="O1572"/>
      <c r="P1572"/>
    </row>
    <row r="1573" spans="1:16" ht="15" x14ac:dyDescent="0.2">
      <c r="A1573"/>
      <c r="B1573"/>
      <c r="C1573"/>
      <c r="D1573"/>
      <c r="E1573"/>
      <c r="F1573"/>
      <c r="G1573"/>
      <c r="H1573"/>
      <c r="I1573"/>
      <c r="J1573"/>
      <c r="K1573"/>
      <c r="L1573"/>
      <c r="M1573" s="16"/>
      <c r="N1573"/>
      <c r="O1573"/>
      <c r="P1573"/>
    </row>
    <row r="1574" spans="1:16" ht="15" x14ac:dyDescent="0.2">
      <c r="A1574"/>
      <c r="B1574"/>
      <c r="C1574"/>
      <c r="D1574"/>
      <c r="E1574"/>
      <c r="F1574"/>
      <c r="G1574"/>
      <c r="H1574"/>
      <c r="I1574"/>
      <c r="J1574"/>
      <c r="K1574"/>
      <c r="L1574"/>
      <c r="M1574" s="16"/>
      <c r="N1574"/>
      <c r="O1574"/>
      <c r="P1574"/>
    </row>
    <row r="1575" spans="1:16" ht="15" x14ac:dyDescent="0.2">
      <c r="A1575"/>
      <c r="B1575"/>
      <c r="C1575"/>
      <c r="D1575"/>
      <c r="E1575"/>
      <c r="F1575"/>
      <c r="G1575"/>
      <c r="H1575"/>
      <c r="I1575"/>
      <c r="J1575"/>
      <c r="K1575"/>
      <c r="L1575"/>
      <c r="M1575" s="16"/>
      <c r="N1575"/>
      <c r="O1575"/>
      <c r="P1575"/>
    </row>
    <row r="1576" spans="1:16" ht="15" x14ac:dyDescent="0.2">
      <c r="A1576"/>
      <c r="B1576"/>
      <c r="C1576"/>
      <c r="D1576"/>
      <c r="E1576"/>
      <c r="F1576"/>
      <c r="G1576"/>
      <c r="H1576"/>
      <c r="I1576"/>
      <c r="J1576"/>
      <c r="K1576"/>
      <c r="L1576"/>
      <c r="M1576" s="16"/>
      <c r="N1576"/>
      <c r="O1576"/>
      <c r="P1576"/>
    </row>
    <row r="1577" spans="1:16" ht="15" x14ac:dyDescent="0.2">
      <c r="A1577"/>
      <c r="B1577"/>
      <c r="C1577"/>
      <c r="D1577"/>
      <c r="E1577"/>
      <c r="F1577"/>
      <c r="G1577"/>
      <c r="H1577"/>
      <c r="I1577"/>
      <c r="J1577"/>
      <c r="K1577"/>
      <c r="L1577"/>
      <c r="M1577" s="16"/>
      <c r="N1577"/>
      <c r="O1577"/>
      <c r="P1577"/>
    </row>
    <row r="1578" spans="1:16" ht="15" x14ac:dyDescent="0.2">
      <c r="A1578"/>
      <c r="B1578"/>
      <c r="C1578"/>
      <c r="D1578"/>
      <c r="E1578"/>
      <c r="F1578"/>
      <c r="G1578"/>
      <c r="H1578"/>
      <c r="I1578"/>
      <c r="J1578"/>
      <c r="K1578"/>
      <c r="L1578"/>
      <c r="M1578" s="16"/>
      <c r="N1578"/>
      <c r="O1578"/>
      <c r="P1578"/>
    </row>
    <row r="1579" spans="1:16" ht="15" x14ac:dyDescent="0.2">
      <c r="A1579"/>
      <c r="B1579"/>
      <c r="C1579"/>
      <c r="D1579"/>
      <c r="E1579"/>
      <c r="F1579"/>
      <c r="G1579"/>
      <c r="H1579"/>
      <c r="I1579"/>
      <c r="J1579"/>
      <c r="K1579"/>
      <c r="L1579"/>
      <c r="M1579" s="16"/>
      <c r="N1579"/>
      <c r="O1579"/>
      <c r="P1579"/>
    </row>
    <row r="1580" spans="1:16" ht="15" x14ac:dyDescent="0.2">
      <c r="A1580"/>
      <c r="B1580"/>
      <c r="C1580"/>
      <c r="D1580"/>
      <c r="E1580"/>
      <c r="F1580"/>
      <c r="G1580"/>
      <c r="H1580"/>
      <c r="I1580"/>
      <c r="J1580"/>
      <c r="K1580"/>
      <c r="L1580"/>
      <c r="M1580" s="16"/>
      <c r="N1580"/>
      <c r="O1580"/>
      <c r="P1580"/>
    </row>
    <row r="1581" spans="1:16" ht="15" x14ac:dyDescent="0.2">
      <c r="A1581"/>
      <c r="B1581"/>
      <c r="C1581"/>
      <c r="D1581"/>
      <c r="E1581"/>
      <c r="F1581"/>
      <c r="G1581"/>
      <c r="H1581"/>
      <c r="I1581"/>
      <c r="J1581"/>
      <c r="K1581"/>
      <c r="L1581"/>
      <c r="M1581" s="16"/>
      <c r="N1581"/>
      <c r="O1581"/>
      <c r="P1581"/>
    </row>
    <row r="1582" spans="1:16" ht="15" x14ac:dyDescent="0.2">
      <c r="A1582"/>
      <c r="B1582"/>
      <c r="C1582"/>
      <c r="D1582"/>
      <c r="E1582"/>
      <c r="F1582"/>
      <c r="G1582"/>
      <c r="H1582"/>
      <c r="I1582"/>
      <c r="J1582"/>
      <c r="K1582"/>
      <c r="L1582"/>
      <c r="M1582" s="16"/>
      <c r="N1582"/>
      <c r="O1582"/>
      <c r="P1582"/>
    </row>
    <row r="1583" spans="1:16" ht="15" x14ac:dyDescent="0.2">
      <c r="A1583"/>
      <c r="B1583"/>
      <c r="C1583"/>
      <c r="D1583"/>
      <c r="E1583"/>
      <c r="F1583"/>
      <c r="G1583"/>
      <c r="H1583"/>
      <c r="I1583"/>
      <c r="J1583"/>
      <c r="K1583"/>
      <c r="L1583"/>
      <c r="M1583" s="16"/>
      <c r="N1583"/>
      <c r="O1583"/>
      <c r="P1583"/>
    </row>
    <row r="1584" spans="1:16" ht="15" x14ac:dyDescent="0.2">
      <c r="A1584"/>
      <c r="B1584"/>
      <c r="C1584"/>
      <c r="D1584"/>
      <c r="E1584"/>
      <c r="F1584"/>
      <c r="G1584"/>
      <c r="H1584"/>
      <c r="I1584"/>
      <c r="J1584"/>
      <c r="K1584"/>
      <c r="L1584"/>
      <c r="M1584" s="16"/>
      <c r="N1584"/>
      <c r="O1584"/>
      <c r="P1584"/>
    </row>
    <row r="1585" spans="1:16" ht="15" x14ac:dyDescent="0.2">
      <c r="A1585"/>
      <c r="B1585"/>
      <c r="C1585"/>
      <c r="D1585"/>
      <c r="E1585"/>
      <c r="F1585"/>
      <c r="G1585"/>
      <c r="H1585"/>
      <c r="I1585"/>
      <c r="J1585"/>
      <c r="K1585"/>
      <c r="L1585"/>
      <c r="M1585" s="16"/>
      <c r="N1585"/>
      <c r="O1585"/>
      <c r="P1585"/>
    </row>
    <row r="1586" spans="1:16" ht="15" x14ac:dyDescent="0.2">
      <c r="A1586"/>
      <c r="B1586"/>
      <c r="C1586"/>
      <c r="D1586"/>
      <c r="E1586"/>
      <c r="F1586"/>
      <c r="G1586"/>
      <c r="H1586"/>
      <c r="I1586"/>
      <c r="J1586"/>
      <c r="K1586"/>
      <c r="L1586"/>
      <c r="M1586" s="16"/>
      <c r="N1586"/>
      <c r="O1586"/>
      <c r="P1586"/>
    </row>
    <row r="1587" spans="1:16" ht="15" x14ac:dyDescent="0.2">
      <c r="A1587"/>
      <c r="B1587"/>
      <c r="C1587"/>
      <c r="D1587"/>
      <c r="E1587"/>
      <c r="F1587"/>
      <c r="G1587"/>
      <c r="H1587"/>
      <c r="I1587"/>
      <c r="J1587"/>
      <c r="K1587"/>
      <c r="L1587"/>
      <c r="M1587" s="16"/>
      <c r="N1587"/>
      <c r="O1587"/>
      <c r="P1587"/>
    </row>
    <row r="1588" spans="1:16" ht="15" x14ac:dyDescent="0.2">
      <c r="A1588"/>
      <c r="B1588"/>
      <c r="C1588"/>
      <c r="D1588"/>
      <c r="E1588"/>
      <c r="F1588"/>
      <c r="G1588"/>
      <c r="H1588"/>
      <c r="I1588"/>
      <c r="J1588"/>
      <c r="K1588"/>
      <c r="L1588"/>
      <c r="M1588" s="16"/>
      <c r="N1588"/>
      <c r="O1588"/>
      <c r="P1588"/>
    </row>
    <row r="1589" spans="1:16" ht="15" x14ac:dyDescent="0.2">
      <c r="A1589"/>
      <c r="B1589"/>
      <c r="C1589"/>
      <c r="D1589"/>
      <c r="E1589"/>
      <c r="F1589"/>
      <c r="G1589"/>
      <c r="H1589"/>
      <c r="I1589"/>
      <c r="J1589"/>
      <c r="K1589"/>
      <c r="L1589"/>
      <c r="M1589" s="16"/>
      <c r="N1589"/>
      <c r="O1589"/>
      <c r="P1589"/>
    </row>
    <row r="1590" spans="1:16" ht="15" x14ac:dyDescent="0.2">
      <c r="A1590"/>
      <c r="B1590"/>
      <c r="C1590"/>
      <c r="D1590"/>
      <c r="E1590"/>
      <c r="F1590"/>
      <c r="G1590"/>
      <c r="H1590"/>
      <c r="I1590"/>
      <c r="J1590"/>
      <c r="K1590"/>
      <c r="L1590"/>
      <c r="M1590" s="16"/>
      <c r="N1590"/>
      <c r="O1590"/>
      <c r="P1590"/>
    </row>
    <row r="1591" spans="1:16" ht="15" x14ac:dyDescent="0.2">
      <c r="A1591"/>
      <c r="B1591"/>
      <c r="C1591"/>
      <c r="D1591"/>
      <c r="E1591"/>
      <c r="F1591"/>
      <c r="G1591"/>
      <c r="H1591"/>
      <c r="I1591"/>
      <c r="J1591"/>
      <c r="K1591"/>
      <c r="L1591"/>
      <c r="M1591" s="16"/>
      <c r="N1591"/>
      <c r="O1591"/>
      <c r="P1591"/>
    </row>
    <row r="1592" spans="1:16" ht="15" x14ac:dyDescent="0.2">
      <c r="A1592"/>
      <c r="B1592"/>
      <c r="C1592"/>
      <c r="D1592"/>
      <c r="E1592"/>
      <c r="F1592"/>
      <c r="G1592"/>
      <c r="H1592"/>
      <c r="I1592"/>
      <c r="J1592"/>
      <c r="K1592"/>
      <c r="L1592"/>
      <c r="M1592" s="16"/>
      <c r="N1592"/>
      <c r="O1592"/>
      <c r="P1592"/>
    </row>
    <row r="1593" spans="1:16" ht="15" x14ac:dyDescent="0.2">
      <c r="A1593"/>
      <c r="B1593"/>
      <c r="C1593"/>
      <c r="D1593"/>
      <c r="E1593"/>
      <c r="F1593"/>
      <c r="G1593"/>
      <c r="H1593"/>
      <c r="I1593"/>
      <c r="J1593"/>
      <c r="K1593"/>
      <c r="L1593"/>
      <c r="M1593" s="16"/>
      <c r="N1593"/>
      <c r="O1593"/>
      <c r="P1593"/>
    </row>
    <row r="1594" spans="1:16" ht="15" x14ac:dyDescent="0.2">
      <c r="A1594"/>
      <c r="B1594"/>
      <c r="C1594"/>
      <c r="D1594"/>
      <c r="E1594"/>
      <c r="F1594"/>
      <c r="G1594"/>
      <c r="H1594"/>
      <c r="I1594"/>
      <c r="J1594"/>
      <c r="K1594"/>
      <c r="L1594"/>
      <c r="M1594" s="16"/>
      <c r="N1594"/>
      <c r="O1594"/>
      <c r="P1594"/>
    </row>
    <row r="1595" spans="1:16" ht="15" x14ac:dyDescent="0.2">
      <c r="A1595"/>
      <c r="B1595"/>
      <c r="C1595"/>
      <c r="D1595"/>
      <c r="E1595"/>
      <c r="F1595"/>
      <c r="G1595"/>
      <c r="H1595"/>
      <c r="I1595"/>
      <c r="J1595"/>
      <c r="K1595"/>
      <c r="L1595"/>
      <c r="M1595" s="16"/>
      <c r="N1595"/>
      <c r="O1595"/>
      <c r="P1595"/>
    </row>
    <row r="1596" spans="1:16" ht="15" x14ac:dyDescent="0.2">
      <c r="A1596"/>
      <c r="B1596"/>
      <c r="C1596"/>
      <c r="D1596"/>
      <c r="E1596"/>
      <c r="F1596"/>
      <c r="G1596"/>
      <c r="H1596"/>
      <c r="I1596"/>
      <c r="J1596"/>
      <c r="K1596"/>
      <c r="L1596"/>
      <c r="M1596" s="16"/>
      <c r="N1596"/>
      <c r="O1596"/>
      <c r="P1596"/>
    </row>
    <row r="1597" spans="1:16" ht="15" x14ac:dyDescent="0.2">
      <c r="A1597"/>
      <c r="B1597"/>
      <c r="C1597"/>
      <c r="D1597"/>
      <c r="E1597"/>
      <c r="F1597"/>
      <c r="G1597"/>
      <c r="H1597"/>
      <c r="I1597"/>
      <c r="J1597"/>
      <c r="K1597"/>
      <c r="L1597"/>
      <c r="M1597" s="16"/>
      <c r="N1597"/>
      <c r="O1597"/>
      <c r="P1597"/>
    </row>
    <row r="1598" spans="1:16" ht="15" x14ac:dyDescent="0.2">
      <c r="A1598"/>
      <c r="B1598"/>
      <c r="C1598"/>
      <c r="D1598"/>
      <c r="E1598"/>
      <c r="F1598"/>
      <c r="G1598"/>
      <c r="H1598"/>
      <c r="I1598"/>
      <c r="J1598"/>
      <c r="K1598"/>
      <c r="L1598"/>
      <c r="M1598" s="16"/>
      <c r="N1598"/>
      <c r="O1598"/>
      <c r="P1598"/>
    </row>
    <row r="1599" spans="1:16" ht="15" x14ac:dyDescent="0.2">
      <c r="A1599"/>
      <c r="B1599"/>
      <c r="C1599"/>
      <c r="D1599"/>
      <c r="E1599"/>
      <c r="F1599"/>
      <c r="G1599"/>
      <c r="H1599"/>
      <c r="I1599"/>
      <c r="J1599"/>
      <c r="K1599"/>
      <c r="L1599"/>
      <c r="M1599" s="16"/>
      <c r="N1599"/>
      <c r="O1599"/>
      <c r="P1599"/>
    </row>
    <row r="1600" spans="1:16" ht="15" x14ac:dyDescent="0.2">
      <c r="A1600"/>
      <c r="B1600"/>
      <c r="C1600"/>
      <c r="D1600"/>
      <c r="E1600"/>
      <c r="F1600"/>
      <c r="G1600"/>
      <c r="H1600"/>
      <c r="I1600"/>
      <c r="J1600"/>
      <c r="K1600"/>
      <c r="L1600"/>
      <c r="M1600" s="16"/>
      <c r="N1600"/>
      <c r="O1600"/>
      <c r="P1600"/>
    </row>
    <row r="1601" spans="1:16" ht="15" x14ac:dyDescent="0.2">
      <c r="A1601"/>
      <c r="B1601"/>
      <c r="C1601"/>
      <c r="D1601"/>
      <c r="E1601"/>
      <c r="F1601"/>
      <c r="G1601"/>
      <c r="H1601"/>
      <c r="I1601"/>
      <c r="J1601"/>
      <c r="K1601"/>
      <c r="L1601"/>
      <c r="M1601" s="16"/>
      <c r="N1601"/>
      <c r="O1601"/>
      <c r="P1601"/>
    </row>
    <row r="1602" spans="1:16" ht="15" x14ac:dyDescent="0.2">
      <c r="A1602"/>
      <c r="B1602"/>
      <c r="C1602"/>
      <c r="D1602"/>
      <c r="E1602"/>
      <c r="F1602"/>
      <c r="G1602"/>
      <c r="H1602"/>
      <c r="I1602"/>
      <c r="J1602"/>
      <c r="K1602"/>
      <c r="L1602"/>
      <c r="M1602" s="16"/>
      <c r="N1602"/>
      <c r="O1602"/>
      <c r="P1602"/>
    </row>
    <row r="1603" spans="1:16" ht="15" x14ac:dyDescent="0.2">
      <c r="A1603"/>
      <c r="B1603"/>
      <c r="C1603"/>
      <c r="D1603"/>
      <c r="E1603"/>
      <c r="F1603"/>
      <c r="G1603"/>
      <c r="H1603"/>
      <c r="I1603"/>
      <c r="J1603"/>
      <c r="K1603"/>
      <c r="L1603"/>
      <c r="M1603" s="16"/>
      <c r="N1603"/>
      <c r="O1603"/>
      <c r="P1603"/>
    </row>
    <row r="1604" spans="1:16" ht="15" x14ac:dyDescent="0.2">
      <c r="A1604"/>
      <c r="B1604"/>
      <c r="C1604"/>
      <c r="D1604"/>
      <c r="E1604"/>
      <c r="F1604"/>
      <c r="G1604"/>
      <c r="H1604"/>
      <c r="I1604"/>
      <c r="J1604"/>
      <c r="K1604"/>
      <c r="L1604"/>
      <c r="M1604" s="16"/>
      <c r="N1604"/>
      <c r="O1604"/>
      <c r="P1604"/>
    </row>
    <row r="1605" spans="1:16" ht="15" x14ac:dyDescent="0.2">
      <c r="A1605"/>
      <c r="B1605"/>
      <c r="C1605"/>
      <c r="D1605"/>
      <c r="E1605"/>
      <c r="F1605"/>
      <c r="G1605"/>
      <c r="H1605"/>
      <c r="I1605"/>
      <c r="J1605"/>
      <c r="K1605"/>
      <c r="L1605"/>
      <c r="M1605" s="16"/>
      <c r="N1605"/>
      <c r="O1605"/>
      <c r="P1605"/>
    </row>
    <row r="1606" spans="1:16" ht="15" x14ac:dyDescent="0.2">
      <c r="A1606"/>
      <c r="B1606"/>
      <c r="C1606"/>
      <c r="D1606"/>
      <c r="E1606"/>
      <c r="F1606"/>
      <c r="G1606"/>
      <c r="H1606"/>
      <c r="I1606"/>
      <c r="J1606"/>
      <c r="K1606"/>
      <c r="L1606"/>
      <c r="M1606" s="16"/>
      <c r="N1606"/>
      <c r="O1606"/>
      <c r="P1606"/>
    </row>
    <row r="1607" spans="1:16" ht="15" x14ac:dyDescent="0.2">
      <c r="A1607"/>
      <c r="B1607"/>
      <c r="C1607"/>
      <c r="D1607"/>
      <c r="E1607"/>
      <c r="F1607"/>
      <c r="G1607"/>
      <c r="H1607"/>
      <c r="I1607"/>
      <c r="J1607"/>
      <c r="K1607"/>
      <c r="L1607"/>
      <c r="M1607" s="16"/>
      <c r="N1607"/>
      <c r="O1607"/>
      <c r="P1607"/>
    </row>
    <row r="1608" spans="1:16" ht="15" x14ac:dyDescent="0.2">
      <c r="A1608"/>
      <c r="B1608"/>
      <c r="C1608"/>
      <c r="D1608"/>
      <c r="E1608"/>
      <c r="F1608"/>
      <c r="G1608"/>
      <c r="H1608"/>
      <c r="I1608"/>
      <c r="J1608"/>
      <c r="K1608"/>
      <c r="L1608"/>
      <c r="M1608" s="16"/>
      <c r="N1608"/>
      <c r="O1608"/>
      <c r="P1608"/>
    </row>
    <row r="1609" spans="1:16" ht="15" x14ac:dyDescent="0.2">
      <c r="A1609"/>
      <c r="B1609"/>
      <c r="C1609"/>
      <c r="D1609"/>
      <c r="E1609"/>
      <c r="F1609"/>
      <c r="G1609"/>
      <c r="H1609"/>
      <c r="I1609"/>
      <c r="J1609"/>
      <c r="K1609"/>
      <c r="L1609"/>
      <c r="M1609" s="16"/>
      <c r="N1609"/>
      <c r="O1609"/>
      <c r="P1609"/>
    </row>
    <row r="1610" spans="1:16" ht="15" x14ac:dyDescent="0.2">
      <c r="A1610"/>
      <c r="B1610"/>
      <c r="C1610"/>
      <c r="D1610"/>
      <c r="E1610"/>
      <c r="F1610"/>
      <c r="G1610"/>
      <c r="H1610"/>
      <c r="I1610"/>
      <c r="J1610"/>
      <c r="K1610"/>
      <c r="L1610"/>
      <c r="M1610" s="16"/>
      <c r="N1610"/>
      <c r="O1610"/>
      <c r="P1610"/>
    </row>
    <row r="1611" spans="1:16" ht="15" x14ac:dyDescent="0.2">
      <c r="A1611"/>
      <c r="B1611"/>
      <c r="C1611"/>
      <c r="D1611"/>
      <c r="E1611"/>
      <c r="F1611"/>
      <c r="G1611"/>
      <c r="H1611"/>
      <c r="I1611"/>
      <c r="J1611"/>
      <c r="K1611"/>
      <c r="L1611"/>
      <c r="M1611" s="16"/>
      <c r="N1611"/>
      <c r="O1611"/>
      <c r="P1611"/>
    </row>
    <row r="1612" spans="1:16" ht="15" x14ac:dyDescent="0.2">
      <c r="A1612"/>
      <c r="B1612"/>
      <c r="C1612"/>
      <c r="D1612"/>
      <c r="E1612"/>
      <c r="F1612"/>
      <c r="G1612"/>
      <c r="H1612"/>
      <c r="I1612"/>
      <c r="J1612"/>
      <c r="K1612"/>
      <c r="L1612"/>
      <c r="M1612" s="16"/>
      <c r="N1612"/>
      <c r="O1612"/>
      <c r="P1612"/>
    </row>
    <row r="1613" spans="1:16" ht="15" x14ac:dyDescent="0.2">
      <c r="A1613"/>
      <c r="B1613"/>
      <c r="C1613"/>
      <c r="D1613"/>
      <c r="E1613"/>
      <c r="F1613"/>
      <c r="G1613"/>
      <c r="H1613"/>
      <c r="I1613"/>
      <c r="J1613"/>
      <c r="K1613"/>
      <c r="L1613"/>
      <c r="M1613" s="16"/>
      <c r="N1613"/>
      <c r="O1613"/>
      <c r="P1613"/>
    </row>
    <row r="1614" spans="1:16" ht="15" x14ac:dyDescent="0.2">
      <c r="A1614"/>
      <c r="B1614"/>
      <c r="C1614"/>
      <c r="D1614"/>
      <c r="E1614"/>
      <c r="F1614"/>
      <c r="G1614"/>
      <c r="H1614"/>
      <c r="I1614"/>
      <c r="J1614"/>
      <c r="K1614"/>
      <c r="L1614"/>
      <c r="M1614" s="16"/>
      <c r="N1614"/>
      <c r="O1614"/>
      <c r="P1614"/>
    </row>
    <row r="1615" spans="1:16" ht="15" x14ac:dyDescent="0.2">
      <c r="A1615"/>
      <c r="B1615"/>
      <c r="C1615"/>
      <c r="D1615"/>
      <c r="E1615"/>
      <c r="F1615"/>
      <c r="G1615"/>
      <c r="H1615"/>
      <c r="I1615"/>
      <c r="J1615"/>
      <c r="K1615"/>
      <c r="L1615"/>
      <c r="M1615" s="16"/>
      <c r="N1615"/>
      <c r="O1615"/>
      <c r="P1615"/>
    </row>
    <row r="1616" spans="1:16" ht="15" x14ac:dyDescent="0.2">
      <c r="A1616"/>
      <c r="B1616"/>
      <c r="C1616"/>
      <c r="D1616"/>
      <c r="E1616"/>
      <c r="F1616"/>
      <c r="G1616"/>
      <c r="H1616"/>
      <c r="I1616"/>
      <c r="J1616"/>
      <c r="K1616"/>
      <c r="L1616"/>
      <c r="M1616" s="16"/>
      <c r="N1616"/>
      <c r="O1616"/>
      <c r="P1616"/>
    </row>
    <row r="1617" spans="1:16" ht="15" x14ac:dyDescent="0.2">
      <c r="A1617"/>
      <c r="B1617"/>
      <c r="C1617"/>
      <c r="D1617"/>
      <c r="E1617"/>
      <c r="F1617"/>
      <c r="G1617"/>
      <c r="H1617"/>
      <c r="I1617"/>
      <c r="J1617"/>
      <c r="K1617"/>
      <c r="L1617"/>
      <c r="M1617" s="16"/>
      <c r="N1617"/>
      <c r="O1617"/>
      <c r="P1617"/>
    </row>
    <row r="1618" spans="1:16" ht="15" x14ac:dyDescent="0.2">
      <c r="A1618"/>
      <c r="B1618"/>
      <c r="C1618"/>
      <c r="D1618"/>
      <c r="E1618"/>
      <c r="F1618"/>
      <c r="G1618"/>
      <c r="H1618"/>
      <c r="I1618"/>
      <c r="J1618"/>
      <c r="K1618"/>
      <c r="L1618"/>
      <c r="M1618" s="16"/>
      <c r="N1618"/>
      <c r="O1618"/>
      <c r="P1618"/>
    </row>
    <row r="1619" spans="1:16" ht="15" x14ac:dyDescent="0.2">
      <c r="A1619"/>
      <c r="B1619"/>
      <c r="C1619"/>
      <c r="D1619"/>
      <c r="E1619"/>
      <c r="F1619"/>
      <c r="G1619"/>
      <c r="H1619"/>
      <c r="I1619"/>
      <c r="J1619"/>
      <c r="K1619"/>
      <c r="L1619"/>
      <c r="M1619" s="16"/>
      <c r="N1619"/>
      <c r="O1619"/>
      <c r="P1619"/>
    </row>
    <row r="1620" spans="1:16" ht="15" x14ac:dyDescent="0.2">
      <c r="A1620"/>
      <c r="B1620"/>
      <c r="C1620"/>
      <c r="D1620"/>
      <c r="E1620"/>
      <c r="F1620"/>
      <c r="G1620"/>
      <c r="H1620"/>
      <c r="I1620"/>
      <c r="J1620"/>
      <c r="K1620"/>
      <c r="L1620"/>
      <c r="M1620" s="16"/>
      <c r="N1620"/>
      <c r="O1620"/>
      <c r="P1620"/>
    </row>
    <row r="1621" spans="1:16" ht="15" x14ac:dyDescent="0.2">
      <c r="A1621"/>
      <c r="B1621"/>
      <c r="C1621"/>
      <c r="D1621"/>
      <c r="E1621"/>
      <c r="F1621"/>
      <c r="G1621"/>
      <c r="H1621"/>
      <c r="I1621"/>
      <c r="J1621"/>
      <c r="K1621"/>
      <c r="L1621"/>
      <c r="M1621" s="16"/>
      <c r="N1621"/>
      <c r="O1621"/>
      <c r="P1621"/>
    </row>
    <row r="1622" spans="1:16" ht="15" x14ac:dyDescent="0.2">
      <c r="A1622"/>
      <c r="B1622"/>
      <c r="C1622"/>
      <c r="D1622"/>
      <c r="E1622"/>
      <c r="F1622"/>
      <c r="G1622"/>
      <c r="H1622"/>
      <c r="I1622"/>
      <c r="J1622"/>
      <c r="K1622"/>
      <c r="L1622"/>
      <c r="M1622" s="16"/>
      <c r="N1622"/>
      <c r="O1622"/>
      <c r="P1622"/>
    </row>
    <row r="1623" spans="1:16" ht="15" x14ac:dyDescent="0.2">
      <c r="A1623"/>
      <c r="B1623"/>
      <c r="C1623"/>
      <c r="D1623"/>
      <c r="E1623"/>
      <c r="F1623"/>
      <c r="G1623"/>
      <c r="H1623"/>
      <c r="I1623"/>
      <c r="J1623"/>
      <c r="K1623"/>
      <c r="L1623"/>
      <c r="M1623" s="16"/>
      <c r="N1623"/>
      <c r="O1623"/>
      <c r="P1623"/>
    </row>
    <row r="1624" spans="1:16" ht="15" x14ac:dyDescent="0.2">
      <c r="A1624"/>
      <c r="B1624"/>
      <c r="C1624"/>
      <c r="D1624"/>
      <c r="E1624"/>
      <c r="F1624"/>
      <c r="G1624"/>
      <c r="H1624"/>
      <c r="I1624"/>
      <c r="J1624"/>
      <c r="K1624"/>
      <c r="L1624"/>
      <c r="M1624" s="16"/>
      <c r="N1624"/>
      <c r="O1624"/>
      <c r="P1624"/>
    </row>
    <row r="1625" spans="1:16" ht="15" x14ac:dyDescent="0.2">
      <c r="A1625"/>
      <c r="B1625"/>
      <c r="C1625"/>
      <c r="D1625"/>
      <c r="E1625"/>
      <c r="F1625"/>
      <c r="G1625"/>
      <c r="H1625"/>
      <c r="I1625"/>
      <c r="J1625"/>
      <c r="K1625"/>
      <c r="L1625"/>
      <c r="M1625" s="16"/>
      <c r="N1625"/>
      <c r="O1625"/>
      <c r="P1625"/>
    </row>
    <row r="1626" spans="1:16" ht="15" x14ac:dyDescent="0.2">
      <c r="A1626"/>
      <c r="B1626"/>
      <c r="C1626"/>
      <c r="D1626"/>
      <c r="E1626"/>
      <c r="F1626"/>
      <c r="G1626"/>
      <c r="H1626"/>
      <c r="I1626"/>
      <c r="J1626"/>
      <c r="K1626"/>
      <c r="L1626"/>
      <c r="M1626" s="16"/>
      <c r="N1626"/>
      <c r="O1626"/>
      <c r="P1626"/>
    </row>
    <row r="1627" spans="1:16" ht="15" x14ac:dyDescent="0.2">
      <c r="A1627"/>
      <c r="B1627"/>
      <c r="C1627"/>
      <c r="D1627"/>
      <c r="E1627"/>
      <c r="F1627"/>
      <c r="G1627"/>
      <c r="H1627"/>
      <c r="I1627"/>
      <c r="J1627"/>
      <c r="K1627"/>
      <c r="L1627"/>
      <c r="M1627" s="16"/>
      <c r="N1627"/>
      <c r="O1627"/>
      <c r="P1627"/>
    </row>
    <row r="1628" spans="1:16" ht="15" x14ac:dyDescent="0.2">
      <c r="A1628"/>
      <c r="B1628"/>
      <c r="C1628"/>
      <c r="D1628"/>
      <c r="E1628"/>
      <c r="F1628"/>
      <c r="G1628"/>
      <c r="H1628"/>
      <c r="I1628"/>
      <c r="J1628"/>
      <c r="K1628"/>
      <c r="L1628"/>
      <c r="M1628" s="16"/>
      <c r="N1628"/>
      <c r="O1628"/>
      <c r="P1628"/>
    </row>
    <row r="1629" spans="1:16" ht="15" x14ac:dyDescent="0.2">
      <c r="A1629"/>
      <c r="B1629"/>
      <c r="C1629"/>
      <c r="D1629"/>
      <c r="E1629"/>
      <c r="F1629"/>
      <c r="G1629"/>
      <c r="H1629"/>
      <c r="I1629"/>
      <c r="J1629"/>
      <c r="K1629"/>
      <c r="L1629"/>
      <c r="M1629" s="16"/>
      <c r="N1629"/>
      <c r="O1629"/>
      <c r="P1629"/>
    </row>
    <row r="1630" spans="1:16" ht="15" x14ac:dyDescent="0.2">
      <c r="A1630"/>
      <c r="B1630"/>
      <c r="C1630"/>
      <c r="D1630"/>
      <c r="E1630"/>
      <c r="F1630"/>
      <c r="G1630"/>
      <c r="H1630"/>
      <c r="I1630"/>
      <c r="J1630"/>
      <c r="K1630"/>
      <c r="L1630"/>
      <c r="M1630" s="16"/>
      <c r="N1630"/>
      <c r="O1630"/>
      <c r="P1630"/>
    </row>
    <row r="1631" spans="1:16" ht="15" x14ac:dyDescent="0.2">
      <c r="A1631"/>
      <c r="B1631"/>
      <c r="C1631"/>
      <c r="D1631"/>
      <c r="E1631"/>
      <c r="F1631"/>
      <c r="G1631"/>
      <c r="H1631"/>
      <c r="I1631"/>
      <c r="J1631"/>
      <c r="K1631"/>
      <c r="L1631"/>
      <c r="M1631" s="16"/>
      <c r="N1631"/>
      <c r="O1631"/>
      <c r="P1631"/>
    </row>
    <row r="1632" spans="1:16" ht="15" x14ac:dyDescent="0.2">
      <c r="A1632"/>
      <c r="B1632"/>
      <c r="C1632"/>
      <c r="D1632"/>
      <c r="E1632"/>
      <c r="F1632"/>
      <c r="G1632"/>
      <c r="H1632"/>
      <c r="I1632"/>
      <c r="J1632"/>
      <c r="K1632"/>
      <c r="L1632"/>
      <c r="M1632" s="16"/>
      <c r="N1632"/>
      <c r="O1632"/>
      <c r="P1632"/>
    </row>
    <row r="1633" spans="1:16" ht="15" x14ac:dyDescent="0.2">
      <c r="A1633"/>
      <c r="B1633"/>
      <c r="C1633"/>
      <c r="D1633"/>
      <c r="E1633"/>
      <c r="F1633"/>
      <c r="G1633"/>
      <c r="H1633"/>
      <c r="I1633"/>
      <c r="J1633"/>
      <c r="K1633"/>
      <c r="L1633"/>
      <c r="M1633" s="16"/>
      <c r="N1633"/>
      <c r="O1633"/>
      <c r="P1633"/>
    </row>
    <row r="1634" spans="1:16" ht="15" x14ac:dyDescent="0.2">
      <c r="A1634"/>
      <c r="B1634"/>
      <c r="C1634"/>
      <c r="D1634"/>
      <c r="E1634"/>
      <c r="F1634"/>
      <c r="G1634"/>
      <c r="H1634"/>
      <c r="I1634"/>
      <c r="J1634"/>
      <c r="K1634"/>
      <c r="L1634"/>
      <c r="M1634" s="16"/>
      <c r="N1634"/>
      <c r="O1634"/>
      <c r="P1634"/>
    </row>
    <row r="1635" spans="1:16" ht="15" x14ac:dyDescent="0.2">
      <c r="A1635"/>
      <c r="B1635"/>
      <c r="C1635"/>
      <c r="D1635"/>
      <c r="E1635"/>
      <c r="F1635"/>
      <c r="G1635"/>
      <c r="H1635"/>
      <c r="I1635"/>
      <c r="J1635"/>
      <c r="K1635"/>
      <c r="L1635"/>
      <c r="M1635" s="16"/>
      <c r="N1635"/>
      <c r="O1635"/>
      <c r="P1635"/>
    </row>
    <row r="1636" spans="1:16" ht="15" x14ac:dyDescent="0.2">
      <c r="A1636"/>
      <c r="B1636"/>
      <c r="C1636"/>
      <c r="D1636"/>
      <c r="E1636"/>
      <c r="F1636"/>
      <c r="G1636"/>
      <c r="H1636"/>
      <c r="I1636"/>
      <c r="J1636"/>
      <c r="K1636"/>
      <c r="L1636"/>
      <c r="M1636" s="16"/>
      <c r="N1636"/>
      <c r="O1636"/>
      <c r="P1636"/>
    </row>
    <row r="1637" spans="1:16" ht="15" x14ac:dyDescent="0.2">
      <c r="A1637"/>
      <c r="B1637"/>
      <c r="C1637"/>
      <c r="D1637"/>
      <c r="E1637"/>
      <c r="F1637"/>
      <c r="G1637"/>
      <c r="H1637"/>
      <c r="I1637"/>
      <c r="J1637"/>
      <c r="K1637"/>
      <c r="L1637"/>
      <c r="M1637" s="16"/>
      <c r="N1637"/>
      <c r="O1637"/>
      <c r="P1637"/>
    </row>
    <row r="1638" spans="1:16" ht="15" x14ac:dyDescent="0.2">
      <c r="A1638"/>
      <c r="B1638"/>
      <c r="C1638"/>
      <c r="D1638"/>
      <c r="E1638"/>
      <c r="F1638"/>
      <c r="G1638"/>
      <c r="H1638"/>
      <c r="I1638"/>
      <c r="J1638"/>
      <c r="K1638"/>
      <c r="L1638"/>
      <c r="M1638" s="16"/>
      <c r="N1638"/>
      <c r="O1638"/>
      <c r="P1638"/>
    </row>
    <row r="1639" spans="1:16" ht="15" x14ac:dyDescent="0.2">
      <c r="A1639"/>
      <c r="B1639"/>
      <c r="C1639"/>
      <c r="D1639"/>
      <c r="E1639"/>
      <c r="F1639"/>
      <c r="G1639"/>
      <c r="H1639"/>
      <c r="I1639"/>
      <c r="J1639"/>
      <c r="K1639"/>
      <c r="L1639"/>
      <c r="M1639" s="16"/>
      <c r="N1639"/>
      <c r="O1639"/>
      <c r="P1639"/>
    </row>
    <row r="1640" spans="1:16" ht="15" x14ac:dyDescent="0.2">
      <c r="A1640"/>
      <c r="B1640"/>
      <c r="C1640"/>
      <c r="D1640"/>
      <c r="E1640"/>
      <c r="F1640"/>
      <c r="G1640"/>
      <c r="H1640"/>
      <c r="I1640"/>
      <c r="J1640"/>
      <c r="K1640"/>
      <c r="L1640"/>
      <c r="M1640" s="16"/>
      <c r="N1640"/>
      <c r="O1640"/>
      <c r="P1640"/>
    </row>
    <row r="1641" spans="1:16" ht="15" x14ac:dyDescent="0.2">
      <c r="A1641"/>
      <c r="B1641"/>
      <c r="C1641"/>
      <c r="D1641"/>
      <c r="E1641"/>
      <c r="F1641"/>
      <c r="G1641"/>
      <c r="H1641"/>
      <c r="I1641"/>
      <c r="J1641"/>
      <c r="K1641"/>
      <c r="L1641"/>
      <c r="M1641" s="16"/>
      <c r="N1641"/>
      <c r="O1641"/>
      <c r="P1641"/>
    </row>
    <row r="1642" spans="1:16" ht="15" x14ac:dyDescent="0.2">
      <c r="A1642"/>
      <c r="B1642"/>
      <c r="C1642"/>
      <c r="D1642"/>
      <c r="E1642"/>
      <c r="F1642"/>
      <c r="G1642"/>
      <c r="H1642"/>
      <c r="I1642"/>
      <c r="J1642"/>
      <c r="K1642"/>
      <c r="L1642"/>
      <c r="M1642" s="16"/>
      <c r="N1642"/>
      <c r="O1642"/>
      <c r="P1642"/>
    </row>
    <row r="1643" spans="1:16" ht="15" x14ac:dyDescent="0.2">
      <c r="A1643"/>
      <c r="B1643"/>
      <c r="C1643"/>
      <c r="D1643"/>
      <c r="E1643"/>
      <c r="F1643"/>
      <c r="G1643"/>
      <c r="H1643"/>
      <c r="I1643"/>
      <c r="J1643"/>
      <c r="K1643"/>
      <c r="L1643"/>
      <c r="M1643" s="16"/>
      <c r="N1643"/>
      <c r="O1643"/>
      <c r="P1643"/>
    </row>
    <row r="1644" spans="1:16" ht="15" x14ac:dyDescent="0.2">
      <c r="A1644"/>
      <c r="B1644"/>
      <c r="C1644"/>
      <c r="D1644"/>
      <c r="E1644"/>
      <c r="F1644"/>
      <c r="G1644"/>
      <c r="H1644"/>
      <c r="I1644"/>
      <c r="J1644"/>
      <c r="K1644"/>
      <c r="L1644"/>
      <c r="M1644" s="16"/>
      <c r="N1644"/>
      <c r="O1644"/>
      <c r="P1644"/>
    </row>
    <row r="1645" spans="1:16" ht="15" x14ac:dyDescent="0.2">
      <c r="A1645"/>
      <c r="B1645"/>
      <c r="C1645"/>
      <c r="D1645"/>
      <c r="E1645"/>
      <c r="F1645"/>
      <c r="G1645"/>
      <c r="H1645"/>
      <c r="I1645"/>
      <c r="J1645"/>
      <c r="K1645"/>
      <c r="L1645"/>
      <c r="M1645" s="16"/>
      <c r="N1645"/>
      <c r="O1645"/>
      <c r="P1645"/>
    </row>
    <row r="1646" spans="1:16" ht="15" x14ac:dyDescent="0.2">
      <c r="A1646"/>
      <c r="B1646"/>
      <c r="C1646"/>
      <c r="D1646"/>
      <c r="E1646"/>
      <c r="F1646"/>
      <c r="G1646"/>
      <c r="H1646"/>
      <c r="I1646"/>
      <c r="J1646"/>
      <c r="K1646"/>
      <c r="L1646"/>
      <c r="M1646" s="16"/>
      <c r="N1646"/>
      <c r="O1646"/>
      <c r="P1646"/>
    </row>
    <row r="1647" spans="1:16" ht="15" x14ac:dyDescent="0.2">
      <c r="A1647"/>
      <c r="B1647"/>
      <c r="C1647"/>
      <c r="D1647"/>
      <c r="E1647"/>
      <c r="F1647"/>
      <c r="G1647"/>
      <c r="H1647"/>
      <c r="I1647"/>
      <c r="J1647"/>
      <c r="K1647"/>
      <c r="L1647"/>
      <c r="M1647" s="16"/>
      <c r="N1647"/>
      <c r="O1647"/>
      <c r="P1647"/>
    </row>
    <row r="1648" spans="1:16" ht="15" x14ac:dyDescent="0.2">
      <c r="A1648"/>
      <c r="B1648"/>
      <c r="C1648"/>
      <c r="D1648"/>
      <c r="E1648"/>
      <c r="F1648"/>
      <c r="G1648"/>
      <c r="H1648"/>
      <c r="I1648"/>
      <c r="J1648"/>
      <c r="K1648"/>
      <c r="L1648"/>
      <c r="M1648" s="16"/>
      <c r="N1648"/>
      <c r="O1648"/>
      <c r="P1648"/>
    </row>
    <row r="1649" spans="1:16" ht="15" x14ac:dyDescent="0.2">
      <c r="A1649"/>
      <c r="B1649"/>
      <c r="C1649"/>
      <c r="D1649"/>
      <c r="E1649"/>
      <c r="F1649"/>
      <c r="G1649"/>
      <c r="H1649"/>
      <c r="I1649"/>
      <c r="J1649"/>
      <c r="K1649"/>
      <c r="L1649"/>
      <c r="M1649" s="16"/>
      <c r="N1649"/>
      <c r="O1649"/>
      <c r="P1649"/>
    </row>
    <row r="1650" spans="1:16" ht="15" x14ac:dyDescent="0.2">
      <c r="A1650"/>
      <c r="B1650"/>
      <c r="C1650"/>
      <c r="D1650"/>
      <c r="E1650"/>
      <c r="F1650"/>
      <c r="G1650"/>
      <c r="H1650"/>
      <c r="I1650"/>
      <c r="J1650"/>
      <c r="K1650"/>
      <c r="L1650"/>
      <c r="M1650" s="16"/>
      <c r="N1650"/>
      <c r="O1650"/>
      <c r="P1650"/>
    </row>
    <row r="1651" spans="1:16" ht="15" x14ac:dyDescent="0.2">
      <c r="A1651"/>
      <c r="B1651"/>
      <c r="C1651"/>
      <c r="D1651"/>
      <c r="E1651"/>
      <c r="F1651"/>
      <c r="G1651"/>
      <c r="H1651"/>
      <c r="I1651"/>
      <c r="J1651"/>
      <c r="K1651"/>
      <c r="L1651"/>
      <c r="M1651" s="16"/>
      <c r="N1651"/>
      <c r="O1651"/>
      <c r="P1651"/>
    </row>
    <row r="1652" spans="1:16" ht="15" x14ac:dyDescent="0.2">
      <c r="A1652"/>
      <c r="B1652"/>
      <c r="C1652"/>
      <c r="D1652"/>
      <c r="E1652"/>
      <c r="F1652"/>
      <c r="G1652"/>
      <c r="H1652"/>
      <c r="I1652"/>
      <c r="J1652"/>
      <c r="K1652"/>
      <c r="L1652"/>
      <c r="M1652" s="16"/>
      <c r="N1652"/>
      <c r="O1652"/>
      <c r="P1652"/>
    </row>
    <row r="1653" spans="1:16" ht="15" x14ac:dyDescent="0.2">
      <c r="A1653"/>
      <c r="B1653"/>
      <c r="C1653"/>
      <c r="D1653"/>
      <c r="E1653"/>
      <c r="F1653"/>
      <c r="G1653"/>
      <c r="H1653"/>
      <c r="I1653"/>
      <c r="J1653"/>
      <c r="K1653"/>
      <c r="L1653"/>
      <c r="M1653" s="16"/>
      <c r="N1653"/>
      <c r="O1653"/>
      <c r="P1653"/>
    </row>
    <row r="1654" spans="1:16" ht="15" x14ac:dyDescent="0.2">
      <c r="A1654"/>
      <c r="B1654"/>
      <c r="C1654"/>
      <c r="D1654"/>
      <c r="E1654"/>
      <c r="F1654"/>
      <c r="G1654"/>
      <c r="H1654"/>
      <c r="I1654"/>
      <c r="J1654"/>
      <c r="K1654"/>
      <c r="L1654"/>
      <c r="M1654" s="16"/>
      <c r="N1654"/>
      <c r="O1654"/>
      <c r="P1654"/>
    </row>
    <row r="1655" spans="1:16" ht="15" x14ac:dyDescent="0.2">
      <c r="A1655"/>
      <c r="B1655"/>
      <c r="C1655"/>
      <c r="D1655"/>
      <c r="E1655"/>
      <c r="F1655"/>
      <c r="G1655"/>
      <c r="H1655"/>
      <c r="I1655"/>
      <c r="J1655"/>
      <c r="K1655"/>
      <c r="L1655"/>
      <c r="M1655" s="16"/>
      <c r="N1655"/>
      <c r="O1655"/>
      <c r="P1655"/>
    </row>
    <row r="1656" spans="1:16" ht="15" x14ac:dyDescent="0.2">
      <c r="A1656"/>
      <c r="B1656"/>
      <c r="C1656"/>
      <c r="D1656"/>
      <c r="E1656"/>
      <c r="F1656"/>
      <c r="G1656"/>
      <c r="H1656"/>
      <c r="I1656"/>
      <c r="J1656"/>
      <c r="K1656"/>
      <c r="L1656"/>
      <c r="M1656" s="16"/>
      <c r="N1656"/>
      <c r="O1656"/>
      <c r="P1656"/>
    </row>
    <row r="1657" spans="1:16" ht="15" x14ac:dyDescent="0.2">
      <c r="A1657"/>
      <c r="B1657"/>
      <c r="C1657"/>
      <c r="D1657"/>
      <c r="E1657"/>
      <c r="F1657"/>
      <c r="G1657"/>
      <c r="H1657"/>
      <c r="I1657"/>
      <c r="J1657"/>
      <c r="K1657"/>
      <c r="L1657"/>
      <c r="M1657" s="16"/>
      <c r="N1657"/>
      <c r="O1657"/>
      <c r="P1657"/>
    </row>
    <row r="1658" spans="1:16" ht="15" x14ac:dyDescent="0.2">
      <c r="A1658"/>
      <c r="B1658"/>
      <c r="C1658"/>
      <c r="D1658"/>
      <c r="E1658"/>
      <c r="F1658"/>
      <c r="G1658"/>
      <c r="H1658"/>
      <c r="I1658"/>
      <c r="J1658"/>
      <c r="K1658"/>
      <c r="L1658"/>
      <c r="M1658" s="16"/>
      <c r="N1658"/>
      <c r="O1658"/>
      <c r="P1658"/>
    </row>
    <row r="1659" spans="1:16" ht="15" x14ac:dyDescent="0.2">
      <c r="A1659"/>
      <c r="B1659"/>
      <c r="C1659"/>
      <c r="D1659"/>
      <c r="E1659"/>
      <c r="F1659"/>
      <c r="G1659"/>
      <c r="H1659"/>
      <c r="I1659"/>
      <c r="J1659"/>
      <c r="K1659"/>
      <c r="L1659"/>
      <c r="M1659" s="16"/>
      <c r="N1659"/>
      <c r="O1659"/>
      <c r="P1659"/>
    </row>
    <row r="1660" spans="1:16" ht="15" x14ac:dyDescent="0.2">
      <c r="A1660"/>
      <c r="B1660"/>
      <c r="C1660"/>
      <c r="D1660"/>
      <c r="E1660"/>
      <c r="F1660"/>
      <c r="G1660"/>
      <c r="H1660"/>
      <c r="I1660"/>
      <c r="J1660"/>
      <c r="K1660"/>
      <c r="L1660"/>
      <c r="M1660" s="16"/>
      <c r="N1660"/>
      <c r="O1660"/>
      <c r="P1660"/>
    </row>
    <row r="1661" spans="1:16" ht="15" x14ac:dyDescent="0.2">
      <c r="A1661"/>
      <c r="B1661"/>
      <c r="C1661"/>
      <c r="D1661"/>
      <c r="E1661"/>
      <c r="F1661"/>
      <c r="G1661"/>
      <c r="H1661"/>
      <c r="I1661"/>
      <c r="J1661"/>
      <c r="K1661"/>
      <c r="L1661"/>
      <c r="M1661" s="16"/>
      <c r="N1661"/>
      <c r="O1661"/>
      <c r="P1661"/>
    </row>
    <row r="1662" spans="1:16" ht="15" x14ac:dyDescent="0.2">
      <c r="A1662"/>
      <c r="B1662"/>
      <c r="C1662"/>
      <c r="D1662"/>
      <c r="E1662"/>
      <c r="F1662"/>
      <c r="G1662"/>
      <c r="H1662"/>
      <c r="I1662"/>
      <c r="J1662"/>
      <c r="K1662"/>
      <c r="L1662"/>
      <c r="M1662" s="16"/>
      <c r="N1662"/>
      <c r="O1662"/>
      <c r="P1662"/>
    </row>
    <row r="1663" spans="1:16" ht="15" x14ac:dyDescent="0.2">
      <c r="A1663"/>
      <c r="B1663"/>
      <c r="C1663"/>
      <c r="D1663"/>
      <c r="E1663"/>
      <c r="F1663"/>
      <c r="G1663"/>
      <c r="H1663"/>
      <c r="I1663"/>
      <c r="J1663"/>
      <c r="K1663"/>
      <c r="L1663"/>
      <c r="M1663" s="16"/>
      <c r="N1663"/>
      <c r="O1663"/>
      <c r="P1663"/>
    </row>
    <row r="1664" spans="1:16" ht="15" x14ac:dyDescent="0.2">
      <c r="A1664"/>
      <c r="B1664"/>
      <c r="C1664"/>
      <c r="D1664"/>
      <c r="E1664"/>
      <c r="F1664"/>
      <c r="G1664"/>
      <c r="H1664"/>
      <c r="I1664"/>
      <c r="J1664"/>
      <c r="K1664"/>
      <c r="L1664"/>
      <c r="M1664" s="16"/>
      <c r="N1664"/>
      <c r="O1664"/>
      <c r="P1664"/>
    </row>
    <row r="1665" spans="1:16" ht="15" x14ac:dyDescent="0.2">
      <c r="A1665"/>
      <c r="B1665"/>
      <c r="C1665"/>
      <c r="D1665"/>
      <c r="E1665"/>
      <c r="F1665"/>
      <c r="G1665"/>
      <c r="H1665"/>
      <c r="I1665"/>
      <c r="J1665"/>
      <c r="K1665"/>
      <c r="L1665"/>
      <c r="M1665" s="16"/>
      <c r="N1665"/>
      <c r="O1665"/>
      <c r="P1665"/>
    </row>
    <row r="1666" spans="1:16" ht="15" x14ac:dyDescent="0.2">
      <c r="A1666"/>
      <c r="B1666"/>
      <c r="C1666"/>
      <c r="D1666"/>
      <c r="E1666"/>
      <c r="F1666"/>
      <c r="G1666"/>
      <c r="H1666"/>
      <c r="I1666"/>
      <c r="J1666"/>
      <c r="K1666"/>
      <c r="L1666"/>
      <c r="M1666" s="16"/>
      <c r="N1666"/>
      <c r="O1666"/>
      <c r="P1666"/>
    </row>
    <row r="1667" spans="1:16" ht="15" x14ac:dyDescent="0.2">
      <c r="A1667"/>
      <c r="B1667"/>
      <c r="C1667"/>
      <c r="D1667"/>
      <c r="E1667"/>
      <c r="F1667"/>
      <c r="G1667"/>
      <c r="H1667"/>
      <c r="I1667"/>
      <c r="J1667"/>
      <c r="K1667"/>
      <c r="L1667"/>
      <c r="M1667" s="16"/>
      <c r="N1667"/>
      <c r="O1667"/>
      <c r="P1667"/>
    </row>
    <row r="1668" spans="1:16" ht="15" x14ac:dyDescent="0.2">
      <c r="A1668"/>
      <c r="B1668"/>
      <c r="C1668"/>
      <c r="D1668"/>
      <c r="E1668"/>
      <c r="F1668"/>
      <c r="G1668"/>
      <c r="H1668"/>
      <c r="I1668"/>
      <c r="J1668"/>
      <c r="K1668"/>
      <c r="L1668"/>
      <c r="M1668" s="16"/>
      <c r="N1668"/>
      <c r="O1668"/>
      <c r="P1668"/>
    </row>
    <row r="1669" spans="1:16" ht="15" x14ac:dyDescent="0.2">
      <c r="A1669"/>
      <c r="B1669"/>
      <c r="C1669"/>
      <c r="D1669"/>
      <c r="E1669"/>
      <c r="F1669"/>
      <c r="G1669"/>
      <c r="H1669"/>
      <c r="I1669"/>
      <c r="J1669"/>
      <c r="K1669"/>
      <c r="L1669"/>
      <c r="M1669" s="16"/>
      <c r="N1669"/>
      <c r="O1669"/>
      <c r="P1669"/>
    </row>
    <row r="1670" spans="1:16" ht="15" x14ac:dyDescent="0.2">
      <c r="A1670"/>
      <c r="B1670"/>
      <c r="C1670"/>
      <c r="D1670"/>
      <c r="E1670"/>
      <c r="F1670"/>
      <c r="G1670"/>
      <c r="H1670"/>
      <c r="I1670"/>
      <c r="J1670"/>
      <c r="K1670"/>
      <c r="L1670"/>
      <c r="M1670" s="16"/>
      <c r="N1670"/>
      <c r="O1670"/>
      <c r="P1670"/>
    </row>
    <row r="1671" spans="1:16" ht="15" x14ac:dyDescent="0.2">
      <c r="A1671"/>
      <c r="B1671"/>
      <c r="C1671"/>
      <c r="D1671"/>
      <c r="E1671"/>
      <c r="F1671"/>
      <c r="G1671"/>
      <c r="H1671"/>
      <c r="I1671"/>
      <c r="J1671"/>
      <c r="K1671"/>
      <c r="L1671"/>
      <c r="M1671" s="16"/>
      <c r="N1671"/>
      <c r="O1671"/>
      <c r="P1671"/>
    </row>
    <row r="1672" spans="1:16" ht="15" x14ac:dyDescent="0.2">
      <c r="A1672"/>
      <c r="B1672"/>
      <c r="C1672"/>
      <c r="D1672"/>
      <c r="E1672"/>
      <c r="F1672"/>
      <c r="G1672"/>
      <c r="H1672"/>
      <c r="I1672"/>
      <c r="J1672"/>
      <c r="K1672"/>
      <c r="L1672"/>
      <c r="M1672" s="16"/>
      <c r="N1672"/>
      <c r="O1672"/>
      <c r="P1672"/>
    </row>
    <row r="1673" spans="1:16" ht="15" x14ac:dyDescent="0.2">
      <c r="A1673"/>
      <c r="B1673"/>
      <c r="C1673"/>
      <c r="D1673"/>
      <c r="E1673"/>
      <c r="F1673"/>
      <c r="G1673"/>
      <c r="H1673"/>
      <c r="I1673"/>
      <c r="J1673"/>
      <c r="K1673"/>
      <c r="L1673"/>
      <c r="M1673" s="16"/>
      <c r="N1673"/>
      <c r="O1673"/>
      <c r="P1673"/>
    </row>
    <row r="1674" spans="1:16" ht="15" x14ac:dyDescent="0.2">
      <c r="A1674"/>
      <c r="B1674"/>
      <c r="C1674"/>
      <c r="D1674"/>
      <c r="E1674"/>
      <c r="F1674"/>
      <c r="G1674"/>
      <c r="H1674"/>
      <c r="I1674"/>
      <c r="J1674"/>
      <c r="K1674"/>
      <c r="L1674"/>
      <c r="M1674" s="16"/>
      <c r="N1674"/>
      <c r="O1674"/>
      <c r="P1674"/>
    </row>
    <row r="1675" spans="1:16" ht="15" x14ac:dyDescent="0.2">
      <c r="A1675"/>
      <c r="B1675"/>
      <c r="C1675"/>
      <c r="D1675"/>
      <c r="E1675"/>
      <c r="F1675"/>
      <c r="G1675"/>
      <c r="H1675"/>
      <c r="I1675"/>
      <c r="J1675"/>
      <c r="K1675"/>
      <c r="L1675"/>
      <c r="M1675" s="16"/>
      <c r="N1675"/>
      <c r="O1675"/>
      <c r="P1675"/>
    </row>
    <row r="1676" spans="1:16" ht="15" x14ac:dyDescent="0.2">
      <c r="A1676"/>
      <c r="B1676"/>
      <c r="C1676"/>
      <c r="D1676"/>
      <c r="E1676"/>
      <c r="F1676"/>
      <c r="G1676"/>
      <c r="H1676"/>
      <c r="I1676"/>
      <c r="J1676"/>
      <c r="K1676"/>
      <c r="L1676"/>
      <c r="M1676" s="16"/>
      <c r="N1676"/>
      <c r="O1676"/>
      <c r="P1676"/>
    </row>
    <row r="1677" spans="1:16" ht="15" x14ac:dyDescent="0.2">
      <c r="A1677"/>
      <c r="B1677"/>
      <c r="C1677"/>
      <c r="D1677"/>
      <c r="E1677"/>
      <c r="F1677"/>
      <c r="G1677"/>
      <c r="H1677"/>
      <c r="I1677"/>
      <c r="J1677"/>
      <c r="K1677"/>
      <c r="L1677"/>
      <c r="M1677" s="16"/>
      <c r="N1677"/>
      <c r="O1677"/>
      <c r="P1677"/>
    </row>
    <row r="1678" spans="1:16" ht="15" x14ac:dyDescent="0.2">
      <c r="A1678"/>
      <c r="B1678"/>
      <c r="C1678"/>
      <c r="D1678"/>
      <c r="E1678"/>
      <c r="F1678"/>
      <c r="G1678"/>
      <c r="H1678"/>
      <c r="I1678"/>
      <c r="J1678"/>
      <c r="K1678"/>
      <c r="L1678"/>
      <c r="M1678" s="16"/>
      <c r="N1678"/>
      <c r="O1678"/>
      <c r="P1678"/>
    </row>
    <row r="1679" spans="1:16" ht="15" x14ac:dyDescent="0.2">
      <c r="A1679"/>
      <c r="B1679"/>
      <c r="C1679"/>
      <c r="D1679"/>
      <c r="E1679"/>
      <c r="F1679"/>
      <c r="G1679"/>
      <c r="H1679"/>
      <c r="I1679"/>
      <c r="J1679"/>
      <c r="K1679"/>
      <c r="L1679"/>
      <c r="M1679" s="16"/>
      <c r="N1679"/>
      <c r="O1679"/>
      <c r="P1679"/>
    </row>
    <row r="1680" spans="1:16" ht="15" x14ac:dyDescent="0.2">
      <c r="A1680"/>
      <c r="B1680"/>
      <c r="C1680"/>
      <c r="D1680"/>
      <c r="E1680"/>
      <c r="F1680"/>
      <c r="G1680"/>
      <c r="H1680"/>
      <c r="I1680"/>
      <c r="J1680"/>
      <c r="K1680"/>
      <c r="L1680"/>
      <c r="M1680" s="16"/>
      <c r="N1680"/>
      <c r="O1680"/>
      <c r="P1680"/>
    </row>
    <row r="1681" spans="1:16" ht="15" x14ac:dyDescent="0.2">
      <c r="A1681"/>
      <c r="B1681"/>
      <c r="C1681"/>
      <c r="D1681"/>
      <c r="E1681"/>
      <c r="F1681"/>
      <c r="G1681"/>
      <c r="H1681"/>
      <c r="I1681"/>
      <c r="J1681"/>
      <c r="K1681"/>
      <c r="L1681"/>
      <c r="M1681" s="16"/>
      <c r="N1681"/>
      <c r="O1681"/>
      <c r="P1681"/>
    </row>
    <row r="1682" spans="1:16" ht="15" x14ac:dyDescent="0.2">
      <c r="A1682"/>
      <c r="B1682"/>
      <c r="C1682"/>
      <c r="D1682"/>
      <c r="E1682"/>
      <c r="F1682"/>
      <c r="G1682"/>
      <c r="H1682"/>
      <c r="I1682"/>
      <c r="J1682"/>
      <c r="K1682"/>
      <c r="L1682"/>
      <c r="M1682" s="16"/>
      <c r="N1682"/>
      <c r="O1682"/>
      <c r="P1682"/>
    </row>
    <row r="1683" spans="1:16" ht="15" x14ac:dyDescent="0.2">
      <c r="A1683"/>
      <c r="B1683"/>
      <c r="C1683"/>
      <c r="D1683"/>
      <c r="E1683"/>
      <c r="F1683"/>
      <c r="G1683"/>
      <c r="H1683"/>
      <c r="I1683"/>
      <c r="J1683"/>
      <c r="K1683"/>
      <c r="L1683"/>
      <c r="M1683" s="16"/>
      <c r="N1683"/>
      <c r="O1683"/>
      <c r="P1683"/>
    </row>
    <row r="1684" spans="1:16" ht="15" x14ac:dyDescent="0.2">
      <c r="A1684"/>
      <c r="B1684"/>
      <c r="C1684"/>
      <c r="D1684"/>
      <c r="E1684"/>
      <c r="F1684"/>
      <c r="G1684"/>
      <c r="H1684"/>
      <c r="I1684"/>
      <c r="J1684"/>
      <c r="K1684"/>
      <c r="L1684"/>
      <c r="M1684" s="16"/>
      <c r="N1684"/>
      <c r="O1684"/>
      <c r="P1684"/>
    </row>
    <row r="1685" spans="1:16" ht="15" x14ac:dyDescent="0.2">
      <c r="A1685"/>
      <c r="B1685"/>
      <c r="C1685"/>
      <c r="D1685"/>
      <c r="E1685"/>
      <c r="F1685"/>
      <c r="G1685"/>
      <c r="H1685"/>
      <c r="I1685"/>
      <c r="J1685"/>
      <c r="K1685"/>
      <c r="L1685"/>
      <c r="M1685" s="16"/>
      <c r="N1685"/>
      <c r="O1685"/>
      <c r="P1685"/>
    </row>
    <row r="1686" spans="1:16" ht="15" x14ac:dyDescent="0.2">
      <c r="A1686"/>
      <c r="B1686"/>
      <c r="C1686"/>
      <c r="D1686"/>
      <c r="E1686"/>
      <c r="F1686"/>
      <c r="G1686"/>
      <c r="H1686"/>
      <c r="I1686"/>
      <c r="J1686"/>
      <c r="K1686"/>
      <c r="L1686"/>
      <c r="M1686" s="16"/>
      <c r="N1686"/>
      <c r="O1686"/>
      <c r="P1686"/>
    </row>
    <row r="1687" spans="1:16" ht="15" x14ac:dyDescent="0.2">
      <c r="A1687"/>
      <c r="B1687"/>
      <c r="C1687"/>
      <c r="D1687"/>
      <c r="E1687"/>
      <c r="F1687"/>
      <c r="G1687"/>
      <c r="H1687"/>
      <c r="I1687"/>
      <c r="J1687"/>
      <c r="K1687"/>
      <c r="L1687"/>
      <c r="M1687" s="16"/>
      <c r="N1687"/>
      <c r="O1687"/>
      <c r="P1687"/>
    </row>
    <row r="1688" spans="1:16" ht="15" x14ac:dyDescent="0.2">
      <c r="A1688"/>
      <c r="B1688"/>
      <c r="C1688"/>
      <c r="D1688"/>
      <c r="E1688"/>
      <c r="F1688"/>
      <c r="G1688"/>
      <c r="H1688"/>
      <c r="I1688"/>
      <c r="J1688"/>
      <c r="K1688"/>
      <c r="L1688"/>
      <c r="M1688" s="16"/>
      <c r="N1688"/>
      <c r="O1688"/>
      <c r="P1688"/>
    </row>
    <row r="1689" spans="1:16" ht="15" x14ac:dyDescent="0.2">
      <c r="A1689"/>
      <c r="B1689"/>
      <c r="C1689"/>
      <c r="D1689"/>
      <c r="E1689"/>
      <c r="F1689"/>
      <c r="G1689"/>
      <c r="H1689"/>
      <c r="I1689"/>
      <c r="J1689"/>
      <c r="K1689"/>
      <c r="L1689"/>
      <c r="M1689" s="16"/>
      <c r="N1689"/>
      <c r="O1689"/>
      <c r="P1689"/>
    </row>
    <row r="1690" spans="1:16" ht="15" x14ac:dyDescent="0.2">
      <c r="A1690"/>
      <c r="B1690"/>
      <c r="C1690"/>
      <c r="D1690"/>
      <c r="E1690"/>
      <c r="F1690"/>
      <c r="G1690"/>
      <c r="H1690"/>
      <c r="I1690"/>
      <c r="J1690"/>
      <c r="K1690"/>
      <c r="L1690"/>
      <c r="M1690" s="16"/>
      <c r="N1690"/>
      <c r="O1690"/>
      <c r="P1690"/>
    </row>
    <row r="1691" spans="1:16" ht="15" x14ac:dyDescent="0.2">
      <c r="A1691"/>
      <c r="B1691"/>
      <c r="C1691"/>
      <c r="D1691"/>
      <c r="E1691"/>
      <c r="F1691"/>
      <c r="G1691"/>
      <c r="H1691"/>
      <c r="I1691"/>
      <c r="J1691"/>
      <c r="K1691"/>
      <c r="L1691"/>
      <c r="M1691" s="16"/>
      <c r="N1691"/>
      <c r="O1691"/>
      <c r="P1691"/>
    </row>
    <row r="1692" spans="1:16" ht="15" x14ac:dyDescent="0.2">
      <c r="A1692"/>
      <c r="B1692"/>
      <c r="C1692"/>
      <c r="D1692"/>
      <c r="E1692"/>
      <c r="F1692"/>
      <c r="G1692"/>
      <c r="H1692"/>
      <c r="I1692"/>
      <c r="J1692"/>
      <c r="K1692"/>
      <c r="L1692"/>
      <c r="M1692" s="16"/>
      <c r="N1692"/>
      <c r="O1692"/>
      <c r="P1692"/>
    </row>
    <row r="1693" spans="1:16" ht="15" x14ac:dyDescent="0.2">
      <c r="A1693"/>
      <c r="B1693"/>
      <c r="C1693"/>
      <c r="D1693"/>
      <c r="E1693"/>
      <c r="F1693"/>
      <c r="G1693"/>
      <c r="H1693"/>
      <c r="I1693"/>
      <c r="J1693"/>
      <c r="K1693"/>
      <c r="L1693"/>
      <c r="M1693" s="16"/>
      <c r="N1693"/>
      <c r="O1693"/>
      <c r="P1693"/>
    </row>
    <row r="1694" spans="1:16" ht="15" x14ac:dyDescent="0.2">
      <c r="A1694"/>
      <c r="B1694"/>
      <c r="C1694"/>
      <c r="D1694"/>
      <c r="E1694"/>
      <c r="F1694"/>
      <c r="G1694"/>
      <c r="H1694"/>
      <c r="I1694"/>
      <c r="J1694"/>
      <c r="K1694"/>
      <c r="L1694"/>
      <c r="M1694" s="16"/>
      <c r="N1694"/>
      <c r="O1694"/>
      <c r="P1694"/>
    </row>
    <row r="1695" spans="1:16" ht="15" x14ac:dyDescent="0.2">
      <c r="A1695"/>
      <c r="B1695"/>
      <c r="C1695"/>
      <c r="D1695"/>
      <c r="E1695"/>
      <c r="F1695"/>
      <c r="G1695"/>
      <c r="H1695"/>
      <c r="I1695"/>
      <c r="J1695"/>
      <c r="K1695"/>
      <c r="L1695"/>
      <c r="M1695" s="16"/>
      <c r="N1695"/>
      <c r="O1695"/>
      <c r="P1695"/>
    </row>
    <row r="1696" spans="1:16" ht="15" x14ac:dyDescent="0.2">
      <c r="A1696"/>
      <c r="B1696"/>
      <c r="C1696"/>
      <c r="D1696"/>
      <c r="E1696"/>
      <c r="F1696"/>
      <c r="G1696"/>
      <c r="H1696"/>
      <c r="I1696"/>
      <c r="J1696"/>
      <c r="K1696"/>
      <c r="L1696"/>
      <c r="M1696" s="16"/>
      <c r="N1696"/>
      <c r="O1696"/>
      <c r="P1696"/>
    </row>
    <row r="1697" spans="1:16" ht="15" x14ac:dyDescent="0.2">
      <c r="A1697"/>
      <c r="B1697"/>
      <c r="C1697"/>
      <c r="D1697"/>
      <c r="E1697"/>
      <c r="F1697"/>
      <c r="G1697"/>
      <c r="H1697"/>
      <c r="I1697"/>
      <c r="J1697"/>
      <c r="K1697"/>
      <c r="L1697"/>
      <c r="M1697" s="16"/>
      <c r="N1697"/>
      <c r="O1697"/>
      <c r="P1697"/>
    </row>
    <row r="1698" spans="1:16" ht="15" x14ac:dyDescent="0.2">
      <c r="A1698"/>
      <c r="B1698"/>
      <c r="C1698"/>
      <c r="D1698"/>
      <c r="E1698"/>
      <c r="F1698"/>
      <c r="G1698"/>
      <c r="H1698"/>
      <c r="I1698"/>
      <c r="J1698"/>
      <c r="K1698"/>
      <c r="L1698"/>
      <c r="M1698" s="16"/>
      <c r="N1698"/>
      <c r="O1698"/>
      <c r="P1698"/>
    </row>
    <row r="1699" spans="1:16" ht="15" x14ac:dyDescent="0.2">
      <c r="A1699"/>
      <c r="B1699"/>
      <c r="C1699"/>
      <c r="D1699"/>
      <c r="E1699"/>
      <c r="F1699"/>
      <c r="G1699"/>
      <c r="H1699"/>
      <c r="I1699"/>
      <c r="J1699"/>
      <c r="K1699"/>
      <c r="L1699"/>
      <c r="M1699" s="16"/>
      <c r="N1699"/>
      <c r="O1699"/>
      <c r="P1699"/>
    </row>
    <row r="1700" spans="1:16" ht="15" x14ac:dyDescent="0.2">
      <c r="A1700"/>
      <c r="B1700"/>
      <c r="C1700"/>
      <c r="D1700"/>
      <c r="E1700"/>
      <c r="F1700"/>
      <c r="G1700"/>
      <c r="H1700"/>
      <c r="I1700"/>
      <c r="J1700"/>
      <c r="K1700"/>
      <c r="L1700"/>
      <c r="M1700" s="16"/>
      <c r="N1700"/>
      <c r="O1700"/>
      <c r="P1700"/>
    </row>
    <row r="1701" spans="1:16" ht="15" x14ac:dyDescent="0.2">
      <c r="A1701"/>
      <c r="B1701"/>
      <c r="C1701"/>
      <c r="D1701"/>
      <c r="E1701"/>
      <c r="F1701"/>
      <c r="G1701"/>
      <c r="H1701"/>
      <c r="I1701"/>
      <c r="J1701"/>
      <c r="K1701"/>
      <c r="L1701"/>
      <c r="M1701" s="16"/>
      <c r="N1701"/>
      <c r="O1701"/>
      <c r="P1701"/>
    </row>
    <row r="1702" spans="1:16" ht="15" x14ac:dyDescent="0.2">
      <c r="A1702"/>
      <c r="B1702"/>
      <c r="C1702"/>
      <c r="D1702"/>
      <c r="E1702"/>
      <c r="F1702"/>
      <c r="G1702"/>
      <c r="H1702"/>
      <c r="I1702"/>
      <c r="J1702"/>
      <c r="K1702"/>
      <c r="L1702"/>
      <c r="M1702" s="16"/>
      <c r="N1702"/>
      <c r="O1702"/>
      <c r="P1702"/>
    </row>
    <row r="1703" spans="1:16" ht="15" x14ac:dyDescent="0.2">
      <c r="A1703"/>
      <c r="B1703"/>
      <c r="C1703"/>
      <c r="D1703"/>
      <c r="E1703"/>
      <c r="F1703"/>
      <c r="G1703"/>
      <c r="H1703"/>
      <c r="I1703"/>
      <c r="J1703"/>
      <c r="K1703"/>
      <c r="L1703"/>
      <c r="M1703" s="16"/>
      <c r="N1703"/>
      <c r="O1703"/>
      <c r="P1703"/>
    </row>
    <row r="1704" spans="1:16" ht="15" x14ac:dyDescent="0.2">
      <c r="A1704"/>
      <c r="B1704"/>
      <c r="C1704"/>
      <c r="D1704"/>
      <c r="E1704"/>
      <c r="F1704"/>
      <c r="G1704"/>
      <c r="H1704"/>
      <c r="I1704"/>
      <c r="J1704"/>
      <c r="K1704"/>
      <c r="L1704"/>
      <c r="M1704" s="16"/>
      <c r="N1704"/>
      <c r="O1704"/>
      <c r="P1704"/>
    </row>
    <row r="1705" spans="1:16" ht="15" x14ac:dyDescent="0.2">
      <c r="A1705"/>
      <c r="B1705"/>
      <c r="C1705"/>
      <c r="D1705"/>
      <c r="E1705"/>
      <c r="F1705"/>
      <c r="G1705"/>
      <c r="H1705"/>
      <c r="I1705"/>
      <c r="J1705"/>
      <c r="K1705"/>
      <c r="L1705"/>
      <c r="M1705" s="16"/>
      <c r="N1705"/>
      <c r="O1705"/>
      <c r="P1705"/>
    </row>
    <row r="1706" spans="1:16" ht="15" x14ac:dyDescent="0.2">
      <c r="A1706"/>
      <c r="B1706"/>
      <c r="C1706"/>
      <c r="D1706"/>
      <c r="E1706"/>
      <c r="F1706"/>
      <c r="G1706"/>
      <c r="H1706"/>
      <c r="I1706"/>
      <c r="J1706"/>
      <c r="K1706"/>
      <c r="L1706"/>
      <c r="M1706" s="16"/>
      <c r="N1706"/>
      <c r="O1706"/>
      <c r="P1706"/>
    </row>
    <row r="1707" spans="1:16" ht="15" x14ac:dyDescent="0.2">
      <c r="A1707"/>
      <c r="B1707"/>
      <c r="C1707"/>
      <c r="D1707"/>
      <c r="E1707"/>
      <c r="F1707"/>
      <c r="G1707"/>
      <c r="H1707"/>
      <c r="I1707"/>
      <c r="J1707"/>
      <c r="K1707"/>
      <c r="L1707"/>
      <c r="M1707" s="16"/>
      <c r="N1707"/>
      <c r="O1707"/>
      <c r="P1707"/>
    </row>
    <row r="1708" spans="1:16" ht="15" x14ac:dyDescent="0.2">
      <c r="A1708"/>
      <c r="B1708"/>
      <c r="C1708"/>
      <c r="D1708"/>
      <c r="E1708"/>
      <c r="F1708"/>
      <c r="G1708"/>
      <c r="H1708"/>
      <c r="I1708"/>
      <c r="J1708"/>
      <c r="K1708"/>
      <c r="L1708"/>
      <c r="M1708" s="16"/>
      <c r="N1708"/>
      <c r="O1708"/>
      <c r="P1708"/>
    </row>
    <row r="1709" spans="1:16" ht="15" x14ac:dyDescent="0.2">
      <c r="A1709"/>
      <c r="B1709"/>
      <c r="C1709"/>
      <c r="D1709"/>
      <c r="E1709"/>
      <c r="F1709"/>
      <c r="G1709"/>
      <c r="H1709"/>
      <c r="I1709"/>
      <c r="J1709"/>
      <c r="K1709"/>
      <c r="L1709"/>
      <c r="M1709" s="16"/>
      <c r="N1709"/>
      <c r="O1709"/>
      <c r="P1709"/>
    </row>
    <row r="1710" spans="1:16" ht="15" x14ac:dyDescent="0.2">
      <c r="A1710"/>
      <c r="B1710"/>
      <c r="C1710"/>
      <c r="D1710"/>
      <c r="E1710"/>
      <c r="F1710"/>
      <c r="G1710"/>
      <c r="H1710"/>
      <c r="I1710"/>
      <c r="J1710"/>
      <c r="K1710"/>
      <c r="L1710"/>
      <c r="M1710" s="16"/>
      <c r="N1710"/>
      <c r="O1710"/>
      <c r="P1710"/>
    </row>
    <row r="1711" spans="1:16" ht="15" x14ac:dyDescent="0.2">
      <c r="A1711"/>
      <c r="B1711"/>
      <c r="C1711"/>
      <c r="D1711"/>
      <c r="E1711"/>
      <c r="F1711"/>
      <c r="G1711"/>
      <c r="H1711"/>
      <c r="I1711"/>
      <c r="J1711"/>
      <c r="K1711"/>
      <c r="L1711"/>
      <c r="M1711" s="16"/>
      <c r="N1711"/>
      <c r="O1711"/>
      <c r="P1711"/>
    </row>
    <row r="1712" spans="1:16" ht="15" x14ac:dyDescent="0.2">
      <c r="A1712"/>
      <c r="B1712"/>
      <c r="C1712"/>
      <c r="D1712"/>
      <c r="E1712"/>
      <c r="F1712"/>
      <c r="G1712"/>
      <c r="H1712"/>
      <c r="I1712"/>
      <c r="J1712"/>
      <c r="K1712"/>
      <c r="L1712"/>
      <c r="M1712" s="16"/>
      <c r="N1712"/>
      <c r="O1712"/>
      <c r="P1712"/>
    </row>
    <row r="1713" spans="1:16" ht="15" x14ac:dyDescent="0.2">
      <c r="A1713"/>
      <c r="B1713"/>
      <c r="C1713"/>
      <c r="D1713"/>
      <c r="E1713"/>
      <c r="F1713"/>
      <c r="G1713"/>
      <c r="H1713"/>
      <c r="I1713"/>
      <c r="J1713"/>
      <c r="K1713"/>
      <c r="L1713"/>
      <c r="M1713" s="16"/>
      <c r="N1713"/>
      <c r="O1713"/>
      <c r="P1713"/>
    </row>
    <row r="1714" spans="1:16" ht="15" x14ac:dyDescent="0.2">
      <c r="A1714"/>
      <c r="B1714"/>
      <c r="C1714"/>
      <c r="D1714"/>
      <c r="E1714"/>
      <c r="F1714"/>
      <c r="G1714"/>
      <c r="H1714"/>
      <c r="I1714"/>
      <c r="J1714"/>
      <c r="K1714"/>
      <c r="L1714"/>
      <c r="M1714" s="16"/>
      <c r="N1714"/>
      <c r="O1714"/>
      <c r="P1714"/>
    </row>
    <row r="1715" spans="1:16" ht="15" x14ac:dyDescent="0.2">
      <c r="A1715"/>
      <c r="B1715"/>
      <c r="C1715"/>
      <c r="D1715"/>
      <c r="E1715"/>
      <c r="F1715"/>
      <c r="G1715"/>
      <c r="H1715"/>
      <c r="I1715"/>
      <c r="J1715"/>
      <c r="K1715"/>
      <c r="L1715"/>
      <c r="M1715" s="16"/>
      <c r="N1715"/>
      <c r="O1715"/>
      <c r="P1715"/>
    </row>
    <row r="1716" spans="1:16" ht="15" x14ac:dyDescent="0.2">
      <c r="A1716"/>
      <c r="B1716"/>
      <c r="C1716"/>
      <c r="D1716"/>
      <c r="E1716"/>
      <c r="F1716"/>
      <c r="G1716"/>
      <c r="H1716"/>
      <c r="I1716"/>
      <c r="J1716"/>
      <c r="K1716"/>
      <c r="L1716"/>
      <c r="M1716" s="16"/>
      <c r="N1716"/>
      <c r="O1716"/>
      <c r="P1716"/>
    </row>
    <row r="1717" spans="1:16" ht="15" x14ac:dyDescent="0.2">
      <c r="A1717"/>
      <c r="B1717"/>
      <c r="C1717"/>
      <c r="D1717"/>
      <c r="E1717"/>
      <c r="F1717"/>
      <c r="G1717"/>
      <c r="H1717"/>
      <c r="I1717"/>
      <c r="J1717"/>
      <c r="K1717"/>
      <c r="L1717"/>
      <c r="M1717" s="16"/>
      <c r="N1717"/>
      <c r="O1717"/>
      <c r="P1717"/>
    </row>
    <row r="1718" spans="1:16" ht="15" x14ac:dyDescent="0.2">
      <c r="A1718"/>
      <c r="B1718"/>
      <c r="C1718"/>
      <c r="D1718"/>
      <c r="E1718"/>
      <c r="F1718"/>
      <c r="G1718"/>
      <c r="H1718"/>
      <c r="I1718"/>
      <c r="J1718"/>
      <c r="K1718"/>
      <c r="L1718"/>
      <c r="M1718" s="16"/>
      <c r="N1718"/>
      <c r="O1718"/>
      <c r="P1718"/>
    </row>
    <row r="1719" spans="1:16" ht="15" x14ac:dyDescent="0.2">
      <c r="A1719"/>
      <c r="B1719"/>
      <c r="C1719"/>
      <c r="D1719"/>
      <c r="E1719"/>
      <c r="F1719"/>
      <c r="G1719"/>
      <c r="H1719"/>
      <c r="I1719"/>
      <c r="J1719"/>
      <c r="K1719"/>
      <c r="L1719"/>
      <c r="M1719" s="16"/>
      <c r="N1719"/>
      <c r="O1719"/>
      <c r="P1719"/>
    </row>
    <row r="1720" spans="1:16" ht="15" x14ac:dyDescent="0.2">
      <c r="A1720"/>
      <c r="B1720"/>
      <c r="C1720"/>
      <c r="D1720"/>
      <c r="E1720"/>
      <c r="F1720"/>
      <c r="G1720"/>
      <c r="H1720"/>
      <c r="I1720"/>
      <c r="J1720"/>
      <c r="K1720"/>
      <c r="L1720"/>
      <c r="M1720" s="16"/>
      <c r="N1720"/>
      <c r="O1720"/>
      <c r="P1720"/>
    </row>
    <row r="1721" spans="1:16" ht="15" x14ac:dyDescent="0.2">
      <c r="A1721"/>
      <c r="B1721"/>
      <c r="C1721"/>
      <c r="D1721"/>
      <c r="E1721"/>
      <c r="F1721"/>
      <c r="G1721"/>
      <c r="H1721"/>
      <c r="I1721"/>
      <c r="J1721"/>
      <c r="K1721"/>
      <c r="L1721"/>
      <c r="M1721" s="16"/>
      <c r="N1721"/>
      <c r="O1721"/>
      <c r="P1721"/>
    </row>
    <row r="1722" spans="1:16" ht="15" x14ac:dyDescent="0.2">
      <c r="A1722"/>
      <c r="B1722"/>
      <c r="C1722"/>
      <c r="D1722"/>
      <c r="E1722"/>
      <c r="F1722"/>
      <c r="G1722"/>
      <c r="H1722"/>
      <c r="I1722"/>
      <c r="J1722"/>
      <c r="K1722"/>
      <c r="L1722"/>
      <c r="M1722" s="16"/>
      <c r="N1722"/>
      <c r="O1722"/>
      <c r="P1722"/>
    </row>
    <row r="1723" spans="1:16" ht="15" x14ac:dyDescent="0.2">
      <c r="A1723"/>
      <c r="B1723"/>
      <c r="C1723"/>
      <c r="D1723"/>
      <c r="E1723"/>
      <c r="F1723"/>
      <c r="G1723"/>
      <c r="H1723"/>
      <c r="I1723"/>
      <c r="J1723"/>
      <c r="K1723"/>
      <c r="L1723"/>
      <c r="M1723" s="16"/>
      <c r="N1723"/>
      <c r="O1723"/>
      <c r="P1723"/>
    </row>
    <row r="1724" spans="1:16" ht="15" x14ac:dyDescent="0.2">
      <c r="A1724"/>
      <c r="B1724"/>
      <c r="C1724"/>
      <c r="D1724"/>
      <c r="E1724"/>
      <c r="F1724"/>
      <c r="G1724"/>
      <c r="H1724"/>
      <c r="I1724"/>
      <c r="J1724"/>
      <c r="K1724"/>
      <c r="L1724"/>
      <c r="M1724" s="16"/>
      <c r="N1724"/>
      <c r="O1724"/>
      <c r="P1724"/>
    </row>
    <row r="1725" spans="1:16" ht="15" x14ac:dyDescent="0.2">
      <c r="A1725"/>
      <c r="B1725"/>
      <c r="C1725"/>
      <c r="D1725"/>
      <c r="E1725"/>
      <c r="F1725"/>
      <c r="G1725"/>
      <c r="H1725"/>
      <c r="I1725"/>
      <c r="J1725"/>
      <c r="K1725"/>
      <c r="L1725"/>
      <c r="M1725" s="16"/>
      <c r="N1725"/>
      <c r="O1725"/>
      <c r="P1725"/>
    </row>
    <row r="1726" spans="1:16" ht="15" x14ac:dyDescent="0.2">
      <c r="A1726"/>
      <c r="B1726"/>
      <c r="C1726"/>
      <c r="D1726"/>
      <c r="E1726"/>
      <c r="F1726"/>
      <c r="G1726"/>
      <c r="H1726"/>
      <c r="I1726"/>
      <c r="J1726"/>
      <c r="K1726"/>
      <c r="L1726"/>
      <c r="M1726" s="16"/>
      <c r="N1726"/>
      <c r="O1726"/>
      <c r="P1726"/>
    </row>
    <row r="1727" spans="1:16" ht="15" x14ac:dyDescent="0.2">
      <c r="A1727"/>
      <c r="B1727"/>
      <c r="C1727"/>
      <c r="D1727"/>
      <c r="E1727"/>
      <c r="F1727"/>
      <c r="G1727"/>
      <c r="H1727"/>
      <c r="I1727"/>
      <c r="J1727"/>
      <c r="K1727"/>
      <c r="L1727"/>
      <c r="M1727" s="16"/>
      <c r="N1727"/>
      <c r="O1727"/>
      <c r="P1727"/>
    </row>
    <row r="1728" spans="1:16" ht="15" x14ac:dyDescent="0.2">
      <c r="A1728"/>
      <c r="B1728"/>
      <c r="C1728"/>
      <c r="D1728"/>
      <c r="E1728"/>
      <c r="F1728"/>
      <c r="G1728"/>
      <c r="H1728"/>
      <c r="I1728"/>
      <c r="J1728"/>
      <c r="K1728"/>
      <c r="L1728"/>
      <c r="M1728" s="16"/>
      <c r="N1728"/>
      <c r="O1728"/>
      <c r="P1728"/>
    </row>
    <row r="1729" spans="1:16" ht="15" x14ac:dyDescent="0.2">
      <c r="A1729"/>
      <c r="B1729"/>
      <c r="C1729"/>
      <c r="D1729"/>
      <c r="E1729"/>
      <c r="F1729"/>
      <c r="G1729"/>
      <c r="H1729"/>
      <c r="I1729"/>
      <c r="J1729"/>
      <c r="K1729"/>
      <c r="L1729"/>
      <c r="M1729" s="16"/>
      <c r="N1729"/>
      <c r="O1729"/>
      <c r="P1729"/>
    </row>
    <row r="1730" spans="1:16" ht="15" x14ac:dyDescent="0.2">
      <c r="A1730"/>
      <c r="B1730"/>
      <c r="C1730"/>
      <c r="D1730"/>
      <c r="E1730"/>
      <c r="F1730"/>
      <c r="G1730"/>
      <c r="H1730"/>
      <c r="I1730"/>
      <c r="J1730"/>
      <c r="K1730"/>
      <c r="L1730"/>
      <c r="M1730" s="16"/>
      <c r="N1730"/>
      <c r="O1730"/>
      <c r="P1730"/>
    </row>
    <row r="1731" spans="1:16" ht="15" x14ac:dyDescent="0.2">
      <c r="A1731"/>
      <c r="B1731"/>
      <c r="C1731"/>
      <c r="D1731"/>
      <c r="E1731"/>
      <c r="F1731"/>
      <c r="G1731"/>
      <c r="H1731"/>
      <c r="I1731"/>
      <c r="J1731"/>
      <c r="K1731"/>
      <c r="L1731"/>
      <c r="M1731" s="16"/>
      <c r="N1731"/>
      <c r="O1731"/>
      <c r="P1731"/>
    </row>
    <row r="1732" spans="1:16" ht="15" x14ac:dyDescent="0.2">
      <c r="A1732"/>
      <c r="B1732"/>
      <c r="C1732"/>
      <c r="D1732"/>
      <c r="E1732"/>
      <c r="F1732"/>
      <c r="G1732"/>
      <c r="H1732"/>
      <c r="I1732"/>
      <c r="J1732"/>
      <c r="K1732"/>
      <c r="L1732"/>
      <c r="M1732" s="16"/>
      <c r="N1732"/>
      <c r="O1732"/>
      <c r="P1732"/>
    </row>
    <row r="1733" spans="1:16" ht="15" x14ac:dyDescent="0.2">
      <c r="A1733"/>
      <c r="B1733"/>
      <c r="C1733"/>
      <c r="D1733"/>
      <c r="E1733"/>
      <c r="F1733"/>
      <c r="G1733"/>
      <c r="H1733"/>
      <c r="I1733"/>
      <c r="J1733"/>
      <c r="K1733"/>
      <c r="L1733"/>
      <c r="M1733" s="16"/>
      <c r="N1733"/>
      <c r="O1733"/>
      <c r="P1733"/>
    </row>
    <row r="1734" spans="1:16" ht="15" x14ac:dyDescent="0.2">
      <c r="A1734"/>
      <c r="B1734"/>
      <c r="C1734"/>
      <c r="D1734"/>
      <c r="E1734"/>
      <c r="F1734"/>
      <c r="G1734"/>
      <c r="H1734"/>
      <c r="I1734"/>
      <c r="J1734"/>
      <c r="K1734"/>
      <c r="L1734"/>
      <c r="M1734" s="16"/>
      <c r="N1734"/>
      <c r="O1734"/>
      <c r="P1734"/>
    </row>
    <row r="1735" spans="1:16" ht="15" x14ac:dyDescent="0.2">
      <c r="A1735"/>
      <c r="B1735"/>
      <c r="C1735"/>
      <c r="D1735"/>
      <c r="E1735"/>
      <c r="F1735"/>
      <c r="G1735"/>
      <c r="H1735"/>
      <c r="I1735"/>
      <c r="J1735"/>
      <c r="K1735"/>
      <c r="L1735"/>
      <c r="M1735" s="16"/>
      <c r="N1735"/>
      <c r="O1735"/>
      <c r="P1735"/>
    </row>
    <row r="1736" spans="1:16" ht="15" x14ac:dyDescent="0.2">
      <c r="A1736"/>
      <c r="B1736"/>
      <c r="C1736"/>
      <c r="D1736"/>
      <c r="E1736"/>
      <c r="F1736"/>
      <c r="G1736"/>
      <c r="H1736"/>
      <c r="I1736"/>
      <c r="J1736"/>
      <c r="K1736"/>
      <c r="L1736"/>
      <c r="M1736" s="16"/>
      <c r="N1736"/>
      <c r="O1736"/>
      <c r="P1736"/>
    </row>
    <row r="1737" spans="1:16" ht="15" x14ac:dyDescent="0.2">
      <c r="A1737"/>
      <c r="B1737"/>
      <c r="C1737"/>
      <c r="D1737"/>
      <c r="E1737"/>
      <c r="F1737"/>
      <c r="G1737"/>
      <c r="H1737"/>
      <c r="I1737"/>
      <c r="J1737"/>
      <c r="K1737"/>
      <c r="L1737"/>
      <c r="M1737" s="16"/>
      <c r="N1737"/>
      <c r="O1737"/>
      <c r="P1737"/>
    </row>
    <row r="1738" spans="1:16" ht="15" x14ac:dyDescent="0.2">
      <c r="A1738"/>
      <c r="B1738"/>
      <c r="C1738"/>
      <c r="D1738"/>
      <c r="E1738"/>
      <c r="F1738"/>
      <c r="G1738"/>
      <c r="H1738"/>
      <c r="I1738"/>
      <c r="J1738"/>
      <c r="K1738"/>
      <c r="L1738"/>
      <c r="M1738" s="16"/>
      <c r="N1738"/>
      <c r="O1738"/>
      <c r="P1738"/>
    </row>
    <row r="1739" spans="1:16" ht="15" x14ac:dyDescent="0.2">
      <c r="A1739"/>
      <c r="B1739"/>
      <c r="C1739"/>
      <c r="D1739"/>
      <c r="E1739"/>
      <c r="F1739"/>
      <c r="G1739"/>
      <c r="H1739"/>
      <c r="I1739"/>
      <c r="J1739"/>
      <c r="K1739"/>
      <c r="L1739"/>
      <c r="M1739" s="16"/>
      <c r="N1739"/>
      <c r="O1739"/>
      <c r="P1739"/>
    </row>
    <row r="1740" spans="1:16" ht="15" x14ac:dyDescent="0.2">
      <c r="A1740"/>
      <c r="B1740"/>
      <c r="C1740"/>
      <c r="D1740"/>
      <c r="E1740"/>
      <c r="F1740"/>
      <c r="G1740"/>
      <c r="H1740"/>
      <c r="I1740"/>
      <c r="J1740"/>
      <c r="K1740"/>
      <c r="L1740"/>
      <c r="M1740" s="16"/>
      <c r="N1740"/>
      <c r="O1740"/>
      <c r="P1740"/>
    </row>
    <row r="1741" spans="1:16" ht="15" x14ac:dyDescent="0.2">
      <c r="A1741"/>
      <c r="B1741"/>
      <c r="C1741"/>
      <c r="D1741"/>
      <c r="E1741"/>
      <c r="F1741"/>
      <c r="G1741"/>
      <c r="H1741"/>
      <c r="I1741"/>
      <c r="J1741"/>
      <c r="K1741"/>
      <c r="L1741"/>
      <c r="M1741" s="16"/>
      <c r="N1741"/>
      <c r="O1741"/>
      <c r="P1741"/>
    </row>
    <row r="1742" spans="1:16" ht="15" x14ac:dyDescent="0.2">
      <c r="A1742"/>
      <c r="B1742"/>
      <c r="C1742"/>
      <c r="D1742"/>
      <c r="E1742"/>
      <c r="F1742"/>
      <c r="G1742"/>
      <c r="H1742"/>
      <c r="I1742"/>
      <c r="J1742"/>
      <c r="K1742"/>
      <c r="L1742"/>
      <c r="M1742" s="16"/>
      <c r="N1742"/>
      <c r="O1742"/>
      <c r="P1742"/>
    </row>
    <row r="1743" spans="1:16" ht="15" x14ac:dyDescent="0.2">
      <c r="A1743"/>
      <c r="B1743"/>
      <c r="C1743"/>
      <c r="D1743"/>
      <c r="E1743"/>
      <c r="F1743"/>
      <c r="G1743"/>
      <c r="H1743"/>
      <c r="I1743"/>
      <c r="J1743"/>
      <c r="K1743"/>
      <c r="L1743"/>
      <c r="M1743" s="16"/>
      <c r="N1743"/>
      <c r="O1743"/>
      <c r="P1743"/>
    </row>
    <row r="1744" spans="1:16" ht="15" x14ac:dyDescent="0.2">
      <c r="A1744"/>
      <c r="B1744"/>
      <c r="C1744"/>
      <c r="D1744"/>
      <c r="E1744"/>
      <c r="F1744"/>
      <c r="G1744"/>
      <c r="H1744"/>
      <c r="I1744"/>
      <c r="J1744"/>
      <c r="K1744"/>
      <c r="L1744"/>
      <c r="M1744" s="16"/>
      <c r="N1744"/>
      <c r="O1744"/>
      <c r="P1744"/>
    </row>
    <row r="1745" spans="1:16" ht="15" x14ac:dyDescent="0.2">
      <c r="A1745"/>
      <c r="B1745"/>
      <c r="C1745"/>
      <c r="D1745"/>
      <c r="E1745"/>
      <c r="F1745"/>
      <c r="G1745"/>
      <c r="H1745"/>
      <c r="I1745"/>
      <c r="J1745"/>
      <c r="K1745"/>
      <c r="L1745"/>
      <c r="M1745" s="16"/>
      <c r="N1745"/>
      <c r="O1745"/>
      <c r="P1745"/>
    </row>
    <row r="1746" spans="1:16" ht="15" x14ac:dyDescent="0.2">
      <c r="A1746"/>
      <c r="B1746"/>
      <c r="C1746"/>
      <c r="D1746"/>
      <c r="E1746"/>
      <c r="F1746"/>
      <c r="G1746"/>
      <c r="H1746"/>
      <c r="I1746"/>
      <c r="J1746"/>
      <c r="K1746"/>
      <c r="L1746"/>
      <c r="M1746" s="16"/>
      <c r="N1746"/>
      <c r="O1746"/>
      <c r="P1746"/>
    </row>
    <row r="1747" spans="1:16" ht="15" x14ac:dyDescent="0.2">
      <c r="A1747"/>
      <c r="B1747"/>
      <c r="C1747"/>
      <c r="D1747"/>
      <c r="E1747"/>
      <c r="F1747"/>
      <c r="G1747"/>
      <c r="H1747"/>
      <c r="I1747"/>
      <c r="J1747"/>
      <c r="K1747"/>
      <c r="L1747"/>
      <c r="M1747" s="16"/>
      <c r="N1747"/>
      <c r="O1747"/>
      <c r="P1747"/>
    </row>
    <row r="1748" spans="1:16" ht="15" x14ac:dyDescent="0.2">
      <c r="A1748"/>
      <c r="B1748"/>
      <c r="C1748"/>
      <c r="D1748"/>
      <c r="E1748"/>
      <c r="F1748"/>
      <c r="G1748"/>
      <c r="H1748"/>
      <c r="I1748"/>
      <c r="J1748"/>
      <c r="K1748"/>
      <c r="L1748"/>
      <c r="M1748" s="16"/>
      <c r="N1748"/>
      <c r="O1748"/>
      <c r="P1748"/>
    </row>
    <row r="1749" spans="1:16" ht="15" x14ac:dyDescent="0.2">
      <c r="A1749"/>
      <c r="B1749"/>
      <c r="C1749"/>
      <c r="D1749"/>
      <c r="E1749"/>
      <c r="F1749"/>
      <c r="G1749"/>
      <c r="H1749"/>
      <c r="I1749"/>
      <c r="J1749"/>
      <c r="K1749"/>
      <c r="L1749"/>
      <c r="M1749" s="16"/>
      <c r="N1749"/>
      <c r="O1749"/>
      <c r="P1749"/>
    </row>
    <row r="1750" spans="1:16" ht="15" x14ac:dyDescent="0.2">
      <c r="A1750"/>
      <c r="B1750"/>
      <c r="C1750"/>
      <c r="D1750"/>
      <c r="E1750"/>
      <c r="F1750"/>
      <c r="G1750"/>
      <c r="H1750"/>
      <c r="I1750"/>
      <c r="J1750"/>
      <c r="K1750"/>
      <c r="L1750"/>
      <c r="M1750" s="16"/>
      <c r="N1750"/>
      <c r="O1750"/>
      <c r="P1750"/>
    </row>
    <row r="1751" spans="1:16" ht="15" x14ac:dyDescent="0.2">
      <c r="A1751"/>
      <c r="B1751"/>
      <c r="C1751"/>
      <c r="D1751"/>
      <c r="E1751"/>
      <c r="F1751"/>
      <c r="G1751"/>
      <c r="H1751"/>
      <c r="I1751"/>
      <c r="J1751"/>
      <c r="K1751"/>
      <c r="L1751"/>
      <c r="M1751" s="16"/>
      <c r="N1751"/>
      <c r="O1751"/>
      <c r="P1751"/>
    </row>
    <row r="1752" spans="1:16" ht="15" x14ac:dyDescent="0.2">
      <c r="A1752"/>
      <c r="B1752"/>
      <c r="C1752"/>
      <c r="D1752"/>
      <c r="E1752"/>
      <c r="F1752"/>
      <c r="G1752"/>
      <c r="H1752"/>
      <c r="I1752"/>
      <c r="J1752"/>
      <c r="K1752"/>
      <c r="L1752"/>
      <c r="M1752" s="16"/>
      <c r="N1752"/>
      <c r="O1752"/>
      <c r="P1752"/>
    </row>
    <row r="1753" spans="1:16" ht="15" x14ac:dyDescent="0.2">
      <c r="A1753"/>
      <c r="B1753"/>
      <c r="C1753"/>
      <c r="D1753"/>
      <c r="E1753"/>
      <c r="F1753"/>
      <c r="G1753"/>
      <c r="H1753"/>
      <c r="I1753"/>
      <c r="J1753"/>
      <c r="K1753"/>
      <c r="L1753"/>
      <c r="M1753" s="16"/>
      <c r="N1753"/>
      <c r="O1753"/>
      <c r="P1753"/>
    </row>
    <row r="1754" spans="1:16" ht="15" x14ac:dyDescent="0.2">
      <c r="A1754"/>
      <c r="B1754"/>
      <c r="C1754"/>
      <c r="D1754"/>
      <c r="E1754"/>
      <c r="F1754"/>
      <c r="G1754"/>
      <c r="H1754"/>
      <c r="I1754"/>
      <c r="J1754"/>
      <c r="K1754"/>
      <c r="L1754"/>
      <c r="M1754" s="16"/>
      <c r="N1754"/>
      <c r="O1754"/>
      <c r="P1754"/>
    </row>
    <row r="1755" spans="1:16" ht="15" x14ac:dyDescent="0.2">
      <c r="A1755"/>
      <c r="B1755"/>
      <c r="C1755"/>
      <c r="D1755"/>
      <c r="E1755"/>
      <c r="F1755"/>
      <c r="G1755"/>
      <c r="H1755"/>
      <c r="I1755"/>
      <c r="J1755"/>
      <c r="K1755"/>
      <c r="L1755"/>
      <c r="M1755" s="16"/>
      <c r="N1755"/>
      <c r="O1755"/>
      <c r="P1755"/>
    </row>
    <row r="1756" spans="1:16" ht="15" x14ac:dyDescent="0.2">
      <c r="A1756"/>
      <c r="B1756"/>
      <c r="C1756"/>
      <c r="D1756"/>
      <c r="E1756"/>
      <c r="F1756"/>
      <c r="G1756"/>
      <c r="H1756"/>
      <c r="I1756"/>
      <c r="J1756"/>
      <c r="K1756"/>
      <c r="L1756"/>
      <c r="M1756" s="16"/>
      <c r="N1756"/>
      <c r="O1756"/>
      <c r="P1756"/>
    </row>
    <row r="1757" spans="1:16" ht="15" x14ac:dyDescent="0.2">
      <c r="A1757"/>
      <c r="B1757"/>
      <c r="C1757"/>
      <c r="D1757"/>
      <c r="E1757"/>
      <c r="F1757"/>
      <c r="G1757"/>
      <c r="H1757"/>
      <c r="I1757"/>
      <c r="J1757"/>
      <c r="K1757"/>
      <c r="L1757"/>
      <c r="M1757" s="16"/>
      <c r="N1757"/>
      <c r="O1757"/>
      <c r="P1757"/>
    </row>
    <row r="1758" spans="1:16" ht="15" x14ac:dyDescent="0.2">
      <c r="A1758"/>
      <c r="B1758"/>
      <c r="C1758"/>
      <c r="D1758"/>
      <c r="E1758"/>
      <c r="F1758"/>
      <c r="G1758"/>
      <c r="H1758"/>
      <c r="I1758"/>
      <c r="J1758"/>
      <c r="K1758"/>
      <c r="L1758"/>
      <c r="M1758" s="16"/>
      <c r="N1758"/>
      <c r="O1758"/>
      <c r="P1758"/>
    </row>
    <row r="1759" spans="1:16" ht="15" x14ac:dyDescent="0.2">
      <c r="A1759"/>
      <c r="B1759"/>
      <c r="C1759"/>
      <c r="D1759"/>
      <c r="E1759"/>
      <c r="F1759"/>
      <c r="G1759"/>
      <c r="H1759"/>
      <c r="I1759"/>
      <c r="J1759"/>
      <c r="K1759"/>
      <c r="L1759"/>
      <c r="M1759" s="16"/>
      <c r="N1759"/>
      <c r="O1759"/>
      <c r="P1759"/>
    </row>
    <row r="1760" spans="1:16" ht="15" x14ac:dyDescent="0.2">
      <c r="A1760"/>
      <c r="B1760"/>
      <c r="C1760"/>
      <c r="D1760"/>
      <c r="E1760"/>
      <c r="F1760"/>
      <c r="G1760"/>
      <c r="H1760"/>
      <c r="I1760"/>
      <c r="J1760"/>
      <c r="K1760"/>
      <c r="L1760"/>
      <c r="M1760" s="16"/>
      <c r="N1760"/>
      <c r="O1760"/>
      <c r="P1760"/>
    </row>
    <row r="1761" spans="1:16" ht="15" x14ac:dyDescent="0.2">
      <c r="A1761"/>
      <c r="B1761"/>
      <c r="C1761"/>
      <c r="D1761"/>
      <c r="E1761"/>
      <c r="F1761"/>
      <c r="G1761"/>
      <c r="H1761"/>
      <c r="I1761"/>
      <c r="J1761"/>
      <c r="K1761"/>
      <c r="L1761"/>
      <c r="M1761" s="16"/>
      <c r="N1761"/>
      <c r="O1761"/>
      <c r="P1761"/>
    </row>
    <row r="1762" spans="1:16" ht="15" x14ac:dyDescent="0.2">
      <c r="A1762"/>
      <c r="B1762"/>
      <c r="C1762"/>
      <c r="D1762"/>
      <c r="E1762"/>
      <c r="F1762"/>
      <c r="G1762"/>
      <c r="H1762"/>
      <c r="I1762"/>
      <c r="J1762"/>
      <c r="K1762"/>
      <c r="L1762"/>
      <c r="M1762" s="16"/>
      <c r="N1762"/>
      <c r="O1762"/>
      <c r="P1762"/>
    </row>
    <row r="1763" spans="1:16" ht="15" x14ac:dyDescent="0.2">
      <c r="A1763"/>
      <c r="B1763"/>
      <c r="C1763"/>
      <c r="D1763"/>
      <c r="E1763"/>
      <c r="F1763"/>
      <c r="G1763"/>
      <c r="H1763"/>
      <c r="I1763"/>
      <c r="J1763"/>
      <c r="K1763"/>
      <c r="L1763"/>
      <c r="M1763" s="16"/>
      <c r="N1763"/>
      <c r="O1763"/>
      <c r="P1763"/>
    </row>
    <row r="1764" spans="1:16" ht="15" x14ac:dyDescent="0.2">
      <c r="A1764"/>
      <c r="B1764"/>
      <c r="C1764"/>
      <c r="D1764"/>
      <c r="E1764"/>
      <c r="F1764"/>
      <c r="G1764"/>
      <c r="H1764"/>
      <c r="I1764"/>
      <c r="J1764"/>
      <c r="K1764"/>
      <c r="L1764"/>
      <c r="M1764" s="16"/>
      <c r="N1764"/>
      <c r="O1764"/>
      <c r="P1764"/>
    </row>
    <row r="1765" spans="1:16" ht="15" x14ac:dyDescent="0.2">
      <c r="A1765"/>
      <c r="B1765"/>
      <c r="C1765"/>
      <c r="D1765"/>
      <c r="E1765"/>
      <c r="F1765"/>
      <c r="G1765"/>
      <c r="H1765"/>
      <c r="I1765"/>
      <c r="J1765"/>
      <c r="K1765"/>
      <c r="L1765"/>
      <c r="M1765" s="16"/>
      <c r="N1765"/>
      <c r="O1765"/>
      <c r="P1765"/>
    </row>
    <row r="1766" spans="1:16" ht="15" x14ac:dyDescent="0.2">
      <c r="A1766"/>
      <c r="B1766"/>
      <c r="C1766"/>
      <c r="D1766"/>
      <c r="E1766"/>
      <c r="F1766"/>
      <c r="G1766"/>
      <c r="H1766"/>
      <c r="I1766"/>
      <c r="J1766"/>
      <c r="K1766"/>
      <c r="L1766"/>
      <c r="M1766" s="16"/>
      <c r="N1766"/>
      <c r="O1766"/>
      <c r="P1766"/>
    </row>
    <row r="1767" spans="1:16" ht="15" x14ac:dyDescent="0.2">
      <c r="A1767"/>
      <c r="B1767"/>
      <c r="C1767"/>
      <c r="D1767"/>
      <c r="E1767"/>
      <c r="F1767"/>
      <c r="G1767"/>
      <c r="H1767"/>
      <c r="I1767"/>
      <c r="J1767"/>
      <c r="K1767"/>
      <c r="L1767"/>
      <c r="M1767" s="16"/>
      <c r="N1767"/>
      <c r="O1767"/>
      <c r="P1767"/>
    </row>
    <row r="1768" spans="1:16" ht="15" x14ac:dyDescent="0.2">
      <c r="A1768"/>
      <c r="B1768"/>
      <c r="C1768"/>
      <c r="D1768"/>
      <c r="E1768"/>
      <c r="F1768"/>
      <c r="G1768"/>
      <c r="H1768"/>
      <c r="I1768"/>
      <c r="J1768"/>
      <c r="K1768"/>
      <c r="L1768"/>
      <c r="M1768" s="16"/>
      <c r="N1768"/>
      <c r="O1768"/>
      <c r="P1768"/>
    </row>
    <row r="1769" spans="1:16" ht="15" x14ac:dyDescent="0.2">
      <c r="A1769"/>
      <c r="B1769"/>
      <c r="C1769"/>
      <c r="D1769"/>
      <c r="E1769"/>
      <c r="F1769"/>
      <c r="G1769"/>
      <c r="H1769"/>
      <c r="I1769"/>
      <c r="J1769"/>
      <c r="K1769"/>
      <c r="L1769"/>
      <c r="M1769" s="16"/>
      <c r="N1769"/>
      <c r="O1769"/>
      <c r="P1769"/>
    </row>
    <row r="1770" spans="1:16" ht="15" x14ac:dyDescent="0.2">
      <c r="A1770"/>
      <c r="B1770"/>
      <c r="C1770"/>
      <c r="D1770"/>
      <c r="E1770"/>
      <c r="F1770"/>
      <c r="G1770"/>
      <c r="H1770"/>
      <c r="I1770"/>
      <c r="J1770"/>
      <c r="K1770"/>
      <c r="L1770"/>
      <c r="M1770" s="16"/>
      <c r="N1770"/>
      <c r="O1770"/>
      <c r="P1770"/>
    </row>
    <row r="1771" spans="1:16" ht="15" x14ac:dyDescent="0.2">
      <c r="A1771"/>
      <c r="B1771"/>
      <c r="C1771"/>
      <c r="D1771"/>
      <c r="E1771"/>
      <c r="F1771"/>
      <c r="G1771"/>
      <c r="H1771"/>
      <c r="I1771"/>
      <c r="J1771"/>
      <c r="K1771"/>
      <c r="L1771"/>
      <c r="M1771" s="16"/>
      <c r="N1771"/>
      <c r="O1771"/>
      <c r="P1771"/>
    </row>
    <row r="1772" spans="1:16" ht="15" x14ac:dyDescent="0.2">
      <c r="A1772"/>
      <c r="B1772"/>
      <c r="C1772"/>
      <c r="D1772"/>
      <c r="E1772"/>
      <c r="F1772"/>
      <c r="G1772"/>
      <c r="H1772"/>
      <c r="I1772"/>
      <c r="J1772"/>
      <c r="K1772"/>
      <c r="L1772"/>
      <c r="M1772" s="16"/>
      <c r="N1772"/>
      <c r="O1772"/>
      <c r="P1772"/>
    </row>
    <row r="1773" spans="1:16" ht="15" x14ac:dyDescent="0.2">
      <c r="A1773"/>
      <c r="B1773"/>
      <c r="C1773"/>
      <c r="D1773"/>
      <c r="E1773"/>
      <c r="F1773"/>
      <c r="G1773"/>
      <c r="H1773"/>
      <c r="I1773"/>
      <c r="J1773"/>
      <c r="K1773"/>
      <c r="L1773"/>
      <c r="M1773" s="16"/>
      <c r="N1773"/>
      <c r="O1773"/>
      <c r="P1773"/>
    </row>
    <row r="1774" spans="1:16" ht="15" x14ac:dyDescent="0.2">
      <c r="A1774"/>
      <c r="B1774"/>
      <c r="C1774"/>
      <c r="D1774"/>
      <c r="E1774"/>
      <c r="F1774"/>
      <c r="G1774"/>
      <c r="H1774"/>
      <c r="I1774"/>
      <c r="J1774"/>
      <c r="K1774"/>
      <c r="L1774"/>
      <c r="M1774" s="16"/>
      <c r="N1774"/>
      <c r="O1774"/>
      <c r="P1774"/>
    </row>
    <row r="1775" spans="1:16" ht="15" x14ac:dyDescent="0.2">
      <c r="A1775"/>
      <c r="B1775"/>
      <c r="C1775"/>
      <c r="D1775"/>
      <c r="E1775"/>
      <c r="F1775"/>
      <c r="G1775"/>
      <c r="H1775"/>
      <c r="I1775"/>
      <c r="J1775"/>
      <c r="K1775"/>
      <c r="L1775"/>
      <c r="M1775" s="16"/>
      <c r="N1775"/>
      <c r="O1775"/>
      <c r="P1775"/>
    </row>
    <row r="1776" spans="1:16" ht="15" x14ac:dyDescent="0.2">
      <c r="A1776"/>
      <c r="B1776"/>
      <c r="C1776"/>
      <c r="D1776"/>
      <c r="E1776"/>
      <c r="F1776"/>
      <c r="G1776"/>
      <c r="H1776"/>
      <c r="I1776"/>
      <c r="J1776"/>
      <c r="K1776"/>
      <c r="L1776"/>
      <c r="M1776" s="16"/>
      <c r="N1776"/>
      <c r="O1776"/>
      <c r="P1776"/>
    </row>
    <row r="1777" spans="1:16" ht="15" x14ac:dyDescent="0.2">
      <c r="A1777"/>
      <c r="B1777"/>
      <c r="C1777"/>
      <c r="D1777"/>
      <c r="E1777"/>
      <c r="F1777"/>
      <c r="G1777"/>
      <c r="H1777"/>
      <c r="I1777"/>
      <c r="J1777"/>
      <c r="K1777"/>
      <c r="L1777"/>
      <c r="M1777" s="16"/>
      <c r="N1777"/>
      <c r="O1777"/>
      <c r="P1777"/>
    </row>
    <row r="1778" spans="1:16" ht="15" x14ac:dyDescent="0.2">
      <c r="A1778"/>
      <c r="B1778"/>
      <c r="C1778"/>
      <c r="D1778"/>
      <c r="E1778"/>
      <c r="F1778"/>
      <c r="G1778"/>
      <c r="H1778"/>
      <c r="I1778"/>
      <c r="J1778"/>
      <c r="K1778"/>
      <c r="L1778"/>
      <c r="M1778" s="16"/>
      <c r="N1778"/>
      <c r="O1778"/>
      <c r="P1778"/>
    </row>
    <row r="1779" spans="1:16" ht="15" x14ac:dyDescent="0.2">
      <c r="A1779"/>
      <c r="B1779"/>
      <c r="C1779"/>
      <c r="D1779"/>
      <c r="E1779"/>
      <c r="F1779"/>
      <c r="G1779"/>
      <c r="H1779"/>
      <c r="I1779"/>
      <c r="J1779"/>
      <c r="K1779"/>
      <c r="L1779"/>
      <c r="M1779" s="16"/>
      <c r="N1779"/>
      <c r="O1779"/>
      <c r="P1779"/>
    </row>
    <row r="1780" spans="1:16" ht="15" x14ac:dyDescent="0.2">
      <c r="A1780"/>
      <c r="B1780"/>
      <c r="C1780"/>
      <c r="D1780"/>
      <c r="E1780"/>
      <c r="F1780"/>
      <c r="G1780"/>
      <c r="H1780"/>
      <c r="I1780"/>
      <c r="J1780"/>
      <c r="K1780"/>
      <c r="L1780"/>
      <c r="M1780" s="16"/>
      <c r="N1780"/>
      <c r="O1780"/>
      <c r="P1780"/>
    </row>
    <row r="1781" spans="1:16" ht="15" x14ac:dyDescent="0.2">
      <c r="A1781"/>
      <c r="B1781"/>
      <c r="C1781"/>
      <c r="D1781"/>
      <c r="E1781"/>
      <c r="F1781"/>
      <c r="G1781"/>
      <c r="H1781"/>
      <c r="I1781"/>
      <c r="J1781"/>
      <c r="K1781"/>
      <c r="L1781"/>
      <c r="M1781" s="16"/>
      <c r="N1781"/>
      <c r="O1781"/>
      <c r="P1781"/>
    </row>
    <row r="1782" spans="1:16" ht="15" x14ac:dyDescent="0.2">
      <c r="A1782"/>
      <c r="B1782"/>
      <c r="C1782"/>
      <c r="D1782"/>
      <c r="E1782"/>
      <c r="F1782"/>
      <c r="G1782"/>
      <c r="H1782"/>
      <c r="I1782"/>
      <c r="J1782"/>
      <c r="K1782"/>
      <c r="L1782"/>
      <c r="M1782" s="16"/>
      <c r="N1782"/>
      <c r="O1782"/>
      <c r="P1782"/>
    </row>
    <row r="1783" spans="1:16" ht="15" x14ac:dyDescent="0.2">
      <c r="A1783"/>
      <c r="B1783"/>
      <c r="C1783"/>
      <c r="D1783"/>
      <c r="E1783"/>
      <c r="F1783"/>
      <c r="G1783"/>
      <c r="H1783"/>
      <c r="I1783"/>
      <c r="J1783"/>
      <c r="K1783"/>
      <c r="L1783"/>
      <c r="M1783" s="16"/>
      <c r="N1783"/>
      <c r="O1783"/>
      <c r="P1783"/>
    </row>
    <row r="1784" spans="1:16" ht="15" x14ac:dyDescent="0.2">
      <c r="A1784"/>
      <c r="B1784"/>
      <c r="C1784"/>
      <c r="D1784"/>
      <c r="E1784"/>
      <c r="F1784"/>
      <c r="G1784"/>
      <c r="H1784"/>
      <c r="I1784"/>
      <c r="J1784"/>
      <c r="K1784"/>
      <c r="L1784"/>
      <c r="M1784" s="16"/>
      <c r="N1784"/>
      <c r="O1784"/>
      <c r="P1784"/>
    </row>
    <row r="1785" spans="1:16" ht="15" x14ac:dyDescent="0.2">
      <c r="A1785"/>
      <c r="B1785"/>
      <c r="C1785"/>
      <c r="D1785"/>
      <c r="E1785"/>
      <c r="F1785"/>
      <c r="G1785"/>
      <c r="H1785"/>
      <c r="I1785"/>
      <c r="J1785"/>
      <c r="K1785"/>
      <c r="L1785"/>
      <c r="M1785" s="16"/>
      <c r="N1785"/>
      <c r="O1785"/>
      <c r="P1785"/>
    </row>
    <row r="1786" spans="1:16" ht="15" x14ac:dyDescent="0.2">
      <c r="A1786"/>
      <c r="B1786"/>
      <c r="C1786"/>
      <c r="D1786"/>
      <c r="E1786"/>
      <c r="F1786"/>
      <c r="G1786"/>
      <c r="H1786"/>
      <c r="I1786"/>
      <c r="J1786"/>
      <c r="K1786"/>
      <c r="L1786"/>
      <c r="M1786" s="16"/>
      <c r="N1786"/>
      <c r="O1786"/>
      <c r="P1786"/>
    </row>
    <row r="1787" spans="1:16" ht="15" x14ac:dyDescent="0.2">
      <c r="A1787"/>
      <c r="B1787"/>
      <c r="C1787"/>
      <c r="D1787"/>
      <c r="E1787"/>
      <c r="F1787"/>
      <c r="G1787"/>
      <c r="H1787"/>
      <c r="I1787"/>
      <c r="J1787"/>
      <c r="K1787"/>
      <c r="L1787"/>
      <c r="M1787" s="16"/>
      <c r="N1787"/>
      <c r="O1787"/>
      <c r="P1787"/>
    </row>
    <row r="1788" spans="1:16" ht="15" x14ac:dyDescent="0.2">
      <c r="A1788"/>
      <c r="B1788"/>
      <c r="C1788"/>
      <c r="D1788"/>
      <c r="E1788"/>
      <c r="F1788"/>
      <c r="G1788"/>
      <c r="H1788"/>
      <c r="I1788"/>
      <c r="J1788"/>
      <c r="K1788"/>
      <c r="L1788"/>
      <c r="M1788" s="16"/>
      <c r="N1788"/>
      <c r="O1788"/>
      <c r="P1788"/>
    </row>
    <row r="1789" spans="1:16" ht="15" x14ac:dyDescent="0.2">
      <c r="A1789"/>
      <c r="B1789"/>
      <c r="C1789"/>
      <c r="D1789"/>
      <c r="E1789"/>
      <c r="F1789"/>
      <c r="G1789"/>
      <c r="H1789"/>
      <c r="I1789"/>
      <c r="J1789"/>
      <c r="K1789"/>
      <c r="L1789"/>
      <c r="M1789" s="16"/>
      <c r="N1789"/>
      <c r="O1789"/>
      <c r="P1789"/>
    </row>
    <row r="1790" spans="1:16" ht="15" x14ac:dyDescent="0.2">
      <c r="A1790"/>
      <c r="B1790"/>
      <c r="C1790"/>
      <c r="D1790"/>
      <c r="E1790"/>
      <c r="F1790"/>
      <c r="G1790"/>
      <c r="H1790"/>
      <c r="I1790"/>
      <c r="J1790"/>
      <c r="K1790"/>
      <c r="L1790"/>
      <c r="M1790" s="16"/>
      <c r="N1790"/>
      <c r="O1790"/>
      <c r="P1790"/>
    </row>
    <row r="1791" spans="1:16" ht="15" x14ac:dyDescent="0.2">
      <c r="A1791"/>
      <c r="B1791"/>
      <c r="C1791"/>
      <c r="D1791"/>
      <c r="E1791"/>
      <c r="F1791"/>
      <c r="G1791"/>
      <c r="H1791"/>
      <c r="I1791"/>
      <c r="J1791"/>
      <c r="K1791"/>
      <c r="L1791"/>
      <c r="M1791" s="16"/>
      <c r="N1791"/>
      <c r="O1791"/>
      <c r="P1791"/>
    </row>
    <row r="1792" spans="1:16" ht="15" x14ac:dyDescent="0.2">
      <c r="A1792"/>
      <c r="B1792"/>
      <c r="C1792"/>
      <c r="D1792"/>
      <c r="E1792"/>
      <c r="F1792"/>
      <c r="G1792"/>
      <c r="H1792"/>
      <c r="I1792"/>
      <c r="J1792"/>
      <c r="K1792"/>
      <c r="L1792"/>
      <c r="M1792" s="16"/>
      <c r="N1792"/>
      <c r="O1792"/>
      <c r="P1792"/>
    </row>
    <row r="1793" spans="1:16" ht="15" x14ac:dyDescent="0.2">
      <c r="A1793"/>
      <c r="B1793"/>
      <c r="C1793"/>
      <c r="D1793"/>
      <c r="E1793"/>
      <c r="F1793"/>
      <c r="G1793"/>
      <c r="H1793"/>
      <c r="I1793"/>
      <c r="J1793"/>
      <c r="K1793"/>
      <c r="L1793"/>
      <c r="M1793" s="16"/>
      <c r="N1793"/>
      <c r="O1793"/>
      <c r="P1793"/>
    </row>
    <row r="1794" spans="1:16" ht="15" x14ac:dyDescent="0.2">
      <c r="A1794"/>
      <c r="B1794"/>
      <c r="C1794"/>
      <c r="D1794"/>
      <c r="E1794"/>
      <c r="F1794"/>
      <c r="G1794"/>
      <c r="H1794"/>
      <c r="I1794"/>
      <c r="J1794"/>
      <c r="K1794"/>
      <c r="L1794"/>
      <c r="M1794" s="16"/>
      <c r="N1794"/>
      <c r="O1794"/>
      <c r="P1794"/>
    </row>
    <row r="1795" spans="1:16" ht="15" x14ac:dyDescent="0.2">
      <c r="A1795"/>
      <c r="B1795"/>
      <c r="C1795"/>
      <c r="D1795"/>
      <c r="E1795"/>
      <c r="F1795"/>
      <c r="G1795"/>
      <c r="H1795"/>
      <c r="I1795"/>
      <c r="J1795"/>
      <c r="K1795"/>
      <c r="L1795"/>
      <c r="M1795" s="16"/>
      <c r="N1795"/>
      <c r="O1795"/>
      <c r="P1795"/>
    </row>
    <row r="1796" spans="1:16" ht="15" x14ac:dyDescent="0.2">
      <c r="A1796"/>
      <c r="B1796"/>
      <c r="C1796"/>
      <c r="D1796"/>
      <c r="E1796"/>
      <c r="F1796"/>
      <c r="G1796"/>
      <c r="H1796"/>
      <c r="I1796"/>
      <c r="J1796"/>
      <c r="K1796"/>
      <c r="L1796"/>
      <c r="M1796" s="16"/>
      <c r="N1796"/>
      <c r="O1796"/>
      <c r="P1796"/>
    </row>
    <row r="1797" spans="1:16" ht="15" x14ac:dyDescent="0.2">
      <c r="A1797"/>
      <c r="B1797"/>
      <c r="C1797"/>
      <c r="D1797"/>
      <c r="E1797"/>
      <c r="F1797"/>
      <c r="G1797"/>
      <c r="H1797"/>
      <c r="I1797"/>
      <c r="J1797"/>
      <c r="K1797"/>
      <c r="L1797"/>
      <c r="M1797" s="16"/>
      <c r="N1797"/>
      <c r="O1797"/>
      <c r="P1797"/>
    </row>
    <row r="1798" spans="1:16" ht="15" x14ac:dyDescent="0.2">
      <c r="A1798"/>
      <c r="B1798"/>
      <c r="C1798"/>
      <c r="D1798"/>
      <c r="E1798"/>
      <c r="F1798"/>
      <c r="G1798"/>
      <c r="H1798"/>
      <c r="I1798"/>
      <c r="J1798"/>
      <c r="K1798"/>
      <c r="L1798"/>
      <c r="M1798" s="16"/>
      <c r="N1798"/>
      <c r="O1798"/>
      <c r="P1798"/>
    </row>
    <row r="1799" spans="1:16" ht="15" x14ac:dyDescent="0.2">
      <c r="A1799"/>
      <c r="B1799"/>
      <c r="C1799"/>
      <c r="D1799"/>
      <c r="E1799"/>
      <c r="F1799"/>
      <c r="G1799"/>
      <c r="H1799"/>
      <c r="I1799"/>
      <c r="J1799"/>
      <c r="K1799"/>
      <c r="L1799"/>
      <c r="M1799" s="16"/>
      <c r="N1799"/>
      <c r="O1799"/>
      <c r="P1799"/>
    </row>
    <row r="1800" spans="1:16" ht="15" x14ac:dyDescent="0.2">
      <c r="A1800"/>
      <c r="B1800"/>
      <c r="C1800"/>
      <c r="D1800"/>
      <c r="E1800"/>
      <c r="F1800"/>
      <c r="G1800"/>
      <c r="H1800"/>
      <c r="I1800"/>
      <c r="J1800"/>
      <c r="K1800"/>
      <c r="L1800"/>
      <c r="M1800" s="16"/>
      <c r="N1800"/>
      <c r="O1800"/>
      <c r="P1800"/>
    </row>
    <row r="1801" spans="1:16" ht="15" x14ac:dyDescent="0.2">
      <c r="A1801"/>
      <c r="B1801"/>
      <c r="C1801"/>
      <c r="D1801"/>
      <c r="E1801"/>
      <c r="F1801"/>
      <c r="G1801"/>
      <c r="H1801"/>
      <c r="I1801"/>
      <c r="J1801"/>
      <c r="K1801"/>
      <c r="L1801"/>
      <c r="M1801" s="16"/>
      <c r="N1801"/>
      <c r="O1801"/>
      <c r="P1801"/>
    </row>
    <row r="1802" spans="1:16" ht="15" x14ac:dyDescent="0.2">
      <c r="A1802"/>
      <c r="B1802"/>
      <c r="C1802"/>
      <c r="D1802"/>
      <c r="E1802"/>
      <c r="F1802"/>
      <c r="G1802"/>
      <c r="H1802"/>
      <c r="I1802"/>
      <c r="J1802"/>
      <c r="K1802"/>
      <c r="L1802"/>
      <c r="M1802" s="16"/>
      <c r="N1802"/>
      <c r="O1802"/>
      <c r="P1802"/>
    </row>
    <row r="1803" spans="1:16" ht="15" x14ac:dyDescent="0.2">
      <c r="A1803"/>
      <c r="B1803"/>
      <c r="C1803"/>
      <c r="D1803"/>
      <c r="E1803"/>
      <c r="F1803"/>
      <c r="G1803"/>
      <c r="H1803"/>
      <c r="I1803"/>
      <c r="J1803"/>
      <c r="K1803"/>
      <c r="L1803"/>
      <c r="M1803" s="16"/>
      <c r="N1803"/>
      <c r="O1803"/>
      <c r="P1803"/>
    </row>
    <row r="1804" spans="1:16" ht="15" x14ac:dyDescent="0.2">
      <c r="A1804"/>
      <c r="B1804"/>
      <c r="C1804"/>
      <c r="D1804"/>
      <c r="E1804"/>
      <c r="F1804"/>
      <c r="G1804"/>
      <c r="H1804"/>
      <c r="I1804"/>
      <c r="J1804"/>
      <c r="K1804"/>
      <c r="L1804"/>
      <c r="M1804" s="16"/>
      <c r="N1804"/>
      <c r="O1804"/>
      <c r="P1804"/>
    </row>
    <row r="1805" spans="1:16" ht="15" x14ac:dyDescent="0.2">
      <c r="A1805"/>
      <c r="B1805"/>
      <c r="C1805"/>
      <c r="D1805"/>
      <c r="E1805"/>
      <c r="F1805"/>
      <c r="G1805"/>
      <c r="H1805"/>
      <c r="I1805"/>
      <c r="J1805"/>
      <c r="K1805"/>
      <c r="L1805"/>
      <c r="M1805" s="16"/>
      <c r="N1805"/>
      <c r="O1805"/>
      <c r="P1805"/>
    </row>
    <row r="1806" spans="1:16" ht="15" x14ac:dyDescent="0.2">
      <c r="A1806"/>
      <c r="B1806"/>
      <c r="C1806"/>
      <c r="D1806"/>
      <c r="E1806"/>
      <c r="F1806"/>
      <c r="G1806"/>
      <c r="H1806"/>
      <c r="I1806"/>
      <c r="J1806"/>
      <c r="K1806"/>
      <c r="L1806"/>
      <c r="M1806" s="16"/>
      <c r="N1806"/>
      <c r="O1806"/>
      <c r="P1806"/>
    </row>
    <row r="1807" spans="1:16" ht="15" x14ac:dyDescent="0.2">
      <c r="A1807"/>
      <c r="B1807"/>
      <c r="C1807"/>
      <c r="D1807"/>
      <c r="E1807"/>
      <c r="F1807"/>
      <c r="G1807"/>
      <c r="H1807"/>
      <c r="I1807"/>
      <c r="J1807"/>
      <c r="K1807"/>
      <c r="L1807"/>
      <c r="M1807" s="16"/>
      <c r="N1807"/>
      <c r="O1807"/>
      <c r="P1807"/>
    </row>
    <row r="1808" spans="1:16" ht="15" x14ac:dyDescent="0.2">
      <c r="A1808"/>
      <c r="B1808"/>
      <c r="C1808"/>
      <c r="D1808"/>
      <c r="E1808"/>
      <c r="F1808"/>
      <c r="G1808"/>
      <c r="H1808"/>
      <c r="I1808"/>
      <c r="J1808"/>
      <c r="K1808"/>
      <c r="L1808"/>
      <c r="M1808" s="16"/>
      <c r="N1808"/>
      <c r="O1808"/>
      <c r="P1808"/>
    </row>
    <row r="1809" spans="1:16" ht="15" x14ac:dyDescent="0.2">
      <c r="A1809"/>
      <c r="B1809"/>
      <c r="C1809"/>
      <c r="D1809"/>
      <c r="E1809"/>
      <c r="F1809"/>
      <c r="G1809"/>
      <c r="H1809"/>
      <c r="I1809"/>
      <c r="J1809"/>
      <c r="K1809"/>
      <c r="L1809"/>
      <c r="M1809" s="16"/>
      <c r="N1809"/>
      <c r="O1809"/>
      <c r="P1809"/>
    </row>
    <row r="1810" spans="1:16" ht="15" x14ac:dyDescent="0.2">
      <c r="A1810"/>
      <c r="B1810"/>
      <c r="C1810"/>
      <c r="D1810"/>
      <c r="E1810"/>
      <c r="F1810"/>
      <c r="G1810"/>
      <c r="H1810"/>
      <c r="I1810"/>
      <c r="J1810"/>
      <c r="K1810"/>
      <c r="L1810"/>
      <c r="M1810" s="16"/>
      <c r="N1810"/>
      <c r="O1810"/>
      <c r="P1810"/>
    </row>
    <row r="1811" spans="1:16" ht="15" x14ac:dyDescent="0.2">
      <c r="A1811"/>
      <c r="B1811"/>
      <c r="C1811"/>
      <c r="D1811"/>
      <c r="E1811"/>
      <c r="F1811"/>
      <c r="G1811"/>
      <c r="H1811"/>
      <c r="I1811"/>
      <c r="J1811"/>
      <c r="K1811"/>
      <c r="L1811"/>
      <c r="M1811" s="16"/>
      <c r="N1811"/>
      <c r="O1811"/>
      <c r="P1811"/>
    </row>
    <row r="1812" spans="1:16" ht="15" x14ac:dyDescent="0.2">
      <c r="A1812"/>
      <c r="B1812"/>
      <c r="C1812"/>
      <c r="D1812"/>
      <c r="E1812"/>
      <c r="F1812"/>
      <c r="G1812"/>
      <c r="H1812"/>
      <c r="I1812"/>
      <c r="J1812"/>
      <c r="K1812"/>
      <c r="L1812"/>
      <c r="M1812" s="16"/>
      <c r="N1812"/>
      <c r="O1812"/>
      <c r="P1812"/>
    </row>
    <row r="1813" spans="1:16" ht="15" x14ac:dyDescent="0.2">
      <c r="A1813"/>
      <c r="B1813"/>
      <c r="C1813"/>
      <c r="D1813"/>
      <c r="E1813"/>
      <c r="F1813"/>
      <c r="G1813"/>
      <c r="H1813"/>
      <c r="I1813"/>
      <c r="J1813"/>
      <c r="K1813"/>
      <c r="L1813"/>
      <c r="M1813" s="16"/>
      <c r="N1813"/>
      <c r="O1813"/>
      <c r="P1813"/>
    </row>
    <row r="1814" spans="1:16" ht="15" x14ac:dyDescent="0.2">
      <c r="A1814"/>
      <c r="B1814"/>
      <c r="C1814"/>
      <c r="D1814"/>
      <c r="E1814"/>
      <c r="F1814"/>
      <c r="G1814"/>
      <c r="H1814"/>
      <c r="I1814"/>
      <c r="J1814"/>
      <c r="K1814"/>
      <c r="L1814"/>
      <c r="M1814" s="16"/>
      <c r="N1814"/>
      <c r="O1814"/>
      <c r="P1814"/>
    </row>
    <row r="1815" spans="1:16" ht="15" x14ac:dyDescent="0.2">
      <c r="A1815"/>
      <c r="B1815"/>
      <c r="C1815"/>
      <c r="D1815"/>
      <c r="E1815"/>
      <c r="F1815"/>
      <c r="G1815"/>
      <c r="H1815"/>
      <c r="I1815"/>
      <c r="J1815"/>
      <c r="K1815"/>
      <c r="L1815"/>
      <c r="M1815" s="16"/>
      <c r="N1815"/>
      <c r="O1815"/>
      <c r="P1815"/>
    </row>
    <row r="1816" spans="1:16" ht="15" x14ac:dyDescent="0.2">
      <c r="A1816"/>
      <c r="B1816"/>
      <c r="C1816"/>
      <c r="D1816"/>
      <c r="E1816"/>
      <c r="F1816"/>
      <c r="G1816"/>
      <c r="H1816"/>
      <c r="I1816"/>
      <c r="J1816"/>
      <c r="K1816"/>
      <c r="L1816"/>
      <c r="M1816" s="16"/>
      <c r="N1816"/>
      <c r="O1816"/>
      <c r="P1816"/>
    </row>
    <row r="1817" spans="1:16" ht="15" x14ac:dyDescent="0.2">
      <c r="A1817"/>
      <c r="B1817"/>
      <c r="C1817"/>
      <c r="D1817"/>
      <c r="E1817"/>
      <c r="F1817"/>
      <c r="G1817"/>
      <c r="H1817"/>
      <c r="I1817"/>
      <c r="J1817"/>
      <c r="K1817"/>
      <c r="L1817"/>
      <c r="M1817" s="16"/>
      <c r="N1817"/>
      <c r="O1817"/>
      <c r="P1817"/>
    </row>
    <row r="1818" spans="1:16" ht="15" x14ac:dyDescent="0.2">
      <c r="A1818"/>
      <c r="B1818"/>
      <c r="C1818"/>
      <c r="D1818"/>
      <c r="E1818"/>
      <c r="F1818"/>
      <c r="G1818"/>
      <c r="H1818"/>
      <c r="I1818"/>
      <c r="J1818"/>
      <c r="K1818"/>
      <c r="L1818"/>
      <c r="M1818" s="16"/>
      <c r="N1818"/>
      <c r="O1818"/>
      <c r="P1818"/>
    </row>
    <row r="1819" spans="1:16" ht="15" x14ac:dyDescent="0.2">
      <c r="A1819"/>
      <c r="B1819"/>
      <c r="C1819"/>
      <c r="D1819"/>
      <c r="E1819"/>
      <c r="F1819"/>
      <c r="G1819"/>
      <c r="H1819"/>
      <c r="I1819"/>
      <c r="J1819"/>
      <c r="K1819"/>
      <c r="L1819"/>
      <c r="M1819" s="16"/>
      <c r="N1819"/>
      <c r="O1819"/>
      <c r="P1819"/>
    </row>
    <row r="1820" spans="1:16" ht="15" x14ac:dyDescent="0.2">
      <c r="A1820"/>
      <c r="B1820"/>
      <c r="C1820"/>
      <c r="D1820"/>
      <c r="E1820"/>
      <c r="F1820"/>
      <c r="G1820"/>
      <c r="H1820"/>
      <c r="I1820"/>
      <c r="J1820"/>
      <c r="K1820"/>
      <c r="L1820"/>
      <c r="M1820" s="16"/>
      <c r="N1820"/>
      <c r="O1820"/>
      <c r="P1820"/>
    </row>
    <row r="1821" spans="1:16" ht="15" x14ac:dyDescent="0.2">
      <c r="A1821"/>
      <c r="B1821"/>
      <c r="C1821"/>
      <c r="D1821"/>
      <c r="E1821"/>
      <c r="F1821"/>
      <c r="G1821"/>
      <c r="H1821"/>
      <c r="I1821"/>
      <c r="J1821"/>
      <c r="K1821"/>
      <c r="L1821"/>
      <c r="M1821" s="16"/>
      <c r="N1821"/>
      <c r="O1821"/>
      <c r="P1821"/>
    </row>
    <row r="1822" spans="1:16" ht="15" x14ac:dyDescent="0.2">
      <c r="A1822"/>
      <c r="B1822"/>
      <c r="C1822"/>
      <c r="D1822"/>
      <c r="E1822"/>
      <c r="F1822"/>
      <c r="G1822"/>
      <c r="H1822"/>
      <c r="I1822"/>
      <c r="J1822"/>
      <c r="K1822"/>
      <c r="L1822"/>
      <c r="M1822" s="16"/>
      <c r="N1822"/>
      <c r="O1822"/>
      <c r="P1822"/>
    </row>
    <row r="1823" spans="1:16" ht="15" x14ac:dyDescent="0.2">
      <c r="A1823"/>
      <c r="B1823"/>
      <c r="C1823"/>
      <c r="D1823"/>
      <c r="E1823"/>
      <c r="F1823"/>
      <c r="G1823"/>
      <c r="H1823"/>
      <c r="I1823"/>
      <c r="J1823"/>
      <c r="K1823"/>
      <c r="L1823"/>
      <c r="M1823" s="16"/>
      <c r="N1823"/>
      <c r="O1823"/>
      <c r="P1823"/>
    </row>
    <row r="1824" spans="1:16" ht="15" x14ac:dyDescent="0.2">
      <c r="A1824"/>
      <c r="B1824"/>
      <c r="C1824"/>
      <c r="D1824"/>
      <c r="E1824"/>
      <c r="F1824"/>
      <c r="G1824"/>
      <c r="H1824"/>
      <c r="I1824"/>
      <c r="J1824"/>
      <c r="K1824"/>
      <c r="L1824"/>
      <c r="M1824" s="16"/>
      <c r="N1824"/>
      <c r="O1824"/>
      <c r="P1824"/>
    </row>
    <row r="1825" spans="1:16" ht="15" x14ac:dyDescent="0.2">
      <c r="A1825"/>
      <c r="B1825"/>
      <c r="C1825"/>
      <c r="D1825"/>
      <c r="E1825"/>
      <c r="F1825"/>
      <c r="G1825"/>
      <c r="H1825"/>
      <c r="I1825"/>
      <c r="J1825"/>
      <c r="K1825"/>
      <c r="L1825"/>
      <c r="M1825" s="16"/>
      <c r="N1825"/>
      <c r="O1825"/>
      <c r="P1825"/>
    </row>
    <row r="1826" spans="1:16" ht="15" x14ac:dyDescent="0.2">
      <c r="A1826"/>
      <c r="B1826"/>
      <c r="C1826"/>
      <c r="D1826"/>
      <c r="E1826"/>
      <c r="F1826"/>
      <c r="G1826"/>
      <c r="H1826"/>
      <c r="I1826"/>
      <c r="J1826"/>
      <c r="K1826"/>
      <c r="L1826"/>
      <c r="M1826" s="16"/>
      <c r="N1826"/>
      <c r="O1826"/>
      <c r="P1826"/>
    </row>
    <row r="1827" spans="1:16" ht="15" x14ac:dyDescent="0.2">
      <c r="A1827"/>
      <c r="B1827"/>
      <c r="C1827"/>
      <c r="D1827"/>
      <c r="E1827"/>
      <c r="F1827"/>
      <c r="G1827"/>
      <c r="H1827"/>
      <c r="I1827"/>
      <c r="J1827"/>
      <c r="K1827"/>
      <c r="L1827"/>
      <c r="M1827" s="16"/>
      <c r="N1827"/>
      <c r="O1827"/>
      <c r="P1827"/>
    </row>
    <row r="1828" spans="1:16" ht="15" x14ac:dyDescent="0.2">
      <c r="A1828"/>
      <c r="B1828"/>
      <c r="C1828"/>
      <c r="D1828"/>
      <c r="E1828"/>
      <c r="F1828"/>
      <c r="G1828"/>
      <c r="H1828"/>
      <c r="I1828"/>
      <c r="J1828"/>
      <c r="K1828"/>
      <c r="L1828"/>
      <c r="M1828" s="16"/>
      <c r="N1828"/>
      <c r="O1828"/>
      <c r="P1828"/>
    </row>
    <row r="1829" spans="1:16" ht="15" x14ac:dyDescent="0.2">
      <c r="A1829"/>
      <c r="B1829"/>
      <c r="C1829"/>
      <c r="D1829"/>
      <c r="E1829"/>
      <c r="F1829"/>
      <c r="G1829"/>
      <c r="H1829"/>
      <c r="I1829"/>
      <c r="J1829"/>
      <c r="K1829"/>
      <c r="L1829"/>
      <c r="M1829" s="16"/>
      <c r="N1829"/>
      <c r="O1829"/>
      <c r="P1829"/>
    </row>
    <row r="1830" spans="1:16" ht="15" x14ac:dyDescent="0.2">
      <c r="A1830"/>
      <c r="B1830"/>
      <c r="C1830"/>
      <c r="D1830"/>
      <c r="E1830"/>
      <c r="F1830"/>
      <c r="G1830"/>
      <c r="H1830"/>
      <c r="I1830"/>
      <c r="J1830"/>
      <c r="K1830"/>
      <c r="L1830"/>
      <c r="M1830" s="16"/>
      <c r="N1830"/>
      <c r="O1830"/>
      <c r="P1830"/>
    </row>
    <row r="1831" spans="1:16" ht="15" x14ac:dyDescent="0.2">
      <c r="A1831"/>
      <c r="B1831"/>
      <c r="C1831"/>
      <c r="D1831"/>
      <c r="E1831"/>
      <c r="F1831"/>
      <c r="G1831"/>
      <c r="H1831"/>
      <c r="I1831"/>
      <c r="J1831"/>
      <c r="K1831"/>
      <c r="L1831"/>
      <c r="M1831" s="16"/>
      <c r="N1831"/>
      <c r="O1831"/>
      <c r="P1831"/>
    </row>
    <row r="1832" spans="1:16" ht="15" x14ac:dyDescent="0.2">
      <c r="A1832"/>
      <c r="B1832"/>
      <c r="C1832"/>
      <c r="D1832"/>
      <c r="E1832"/>
      <c r="F1832"/>
      <c r="G1832"/>
      <c r="H1832"/>
      <c r="I1832"/>
      <c r="J1832"/>
      <c r="K1832"/>
      <c r="L1832"/>
      <c r="M1832" s="16"/>
      <c r="N1832"/>
      <c r="O1832"/>
      <c r="P1832"/>
    </row>
    <row r="1833" spans="1:16" ht="15" x14ac:dyDescent="0.2">
      <c r="A1833"/>
      <c r="B1833"/>
      <c r="C1833"/>
      <c r="D1833"/>
      <c r="E1833"/>
      <c r="F1833"/>
      <c r="G1833"/>
      <c r="H1833"/>
      <c r="I1833"/>
      <c r="J1833"/>
      <c r="K1833"/>
      <c r="L1833"/>
      <c r="M1833" s="16"/>
      <c r="N1833"/>
      <c r="O1833"/>
      <c r="P1833"/>
    </row>
    <row r="1834" spans="1:16" ht="15" x14ac:dyDescent="0.2">
      <c r="A1834"/>
      <c r="B1834"/>
      <c r="C1834"/>
      <c r="D1834"/>
      <c r="E1834"/>
      <c r="F1834"/>
      <c r="G1834"/>
      <c r="H1834"/>
      <c r="I1834"/>
      <c r="J1834"/>
      <c r="K1834"/>
      <c r="L1834"/>
      <c r="M1834" s="16"/>
      <c r="N1834"/>
      <c r="O1834"/>
      <c r="P1834"/>
    </row>
    <row r="1835" spans="1:16" ht="15" x14ac:dyDescent="0.2">
      <c r="A1835"/>
      <c r="B1835"/>
      <c r="C1835"/>
      <c r="D1835"/>
      <c r="E1835"/>
      <c r="F1835"/>
      <c r="G1835"/>
      <c r="H1835"/>
      <c r="I1835"/>
      <c r="J1835"/>
      <c r="K1835"/>
      <c r="L1835"/>
      <c r="M1835" s="16"/>
      <c r="N1835"/>
      <c r="O1835"/>
      <c r="P1835"/>
    </row>
    <row r="1836" spans="1:16" ht="15" x14ac:dyDescent="0.2">
      <c r="A1836"/>
      <c r="B1836"/>
      <c r="C1836"/>
      <c r="D1836"/>
      <c r="E1836"/>
      <c r="F1836"/>
      <c r="G1836"/>
      <c r="H1836"/>
      <c r="I1836"/>
      <c r="J1836"/>
      <c r="K1836"/>
      <c r="L1836"/>
      <c r="M1836" s="16"/>
      <c r="N1836"/>
      <c r="O1836"/>
      <c r="P1836"/>
    </row>
    <row r="1837" spans="1:16" ht="15" x14ac:dyDescent="0.2">
      <c r="A1837"/>
      <c r="B1837"/>
      <c r="C1837"/>
      <c r="D1837"/>
      <c r="E1837"/>
      <c r="F1837"/>
      <c r="G1837"/>
      <c r="H1837"/>
      <c r="I1837"/>
      <c r="J1837"/>
      <c r="K1837"/>
      <c r="L1837"/>
      <c r="M1837" s="16"/>
      <c r="N1837"/>
      <c r="O1837"/>
      <c r="P1837"/>
    </row>
    <row r="1838" spans="1:16" ht="15" x14ac:dyDescent="0.2">
      <c r="A1838"/>
      <c r="B1838"/>
      <c r="C1838"/>
      <c r="D1838"/>
      <c r="E1838"/>
      <c r="F1838"/>
      <c r="G1838"/>
      <c r="H1838"/>
      <c r="I1838"/>
      <c r="J1838"/>
      <c r="K1838"/>
      <c r="L1838"/>
      <c r="M1838" s="16"/>
      <c r="N1838"/>
      <c r="O1838"/>
      <c r="P1838"/>
    </row>
    <row r="1839" spans="1:16" ht="15" x14ac:dyDescent="0.2">
      <c r="A1839"/>
      <c r="B1839"/>
      <c r="C1839"/>
      <c r="D1839"/>
      <c r="E1839"/>
      <c r="F1839"/>
      <c r="G1839"/>
      <c r="H1839"/>
      <c r="I1839"/>
      <c r="J1839"/>
      <c r="K1839"/>
      <c r="L1839"/>
      <c r="M1839" s="16"/>
      <c r="N1839"/>
      <c r="O1839"/>
      <c r="P1839"/>
    </row>
    <row r="1840" spans="1:16" ht="15" x14ac:dyDescent="0.2">
      <c r="A1840"/>
      <c r="B1840"/>
      <c r="C1840"/>
      <c r="D1840"/>
      <c r="E1840"/>
      <c r="F1840"/>
      <c r="G1840"/>
      <c r="H1840"/>
      <c r="I1840"/>
      <c r="J1840"/>
      <c r="K1840"/>
      <c r="L1840"/>
      <c r="M1840" s="16"/>
      <c r="N1840"/>
      <c r="O1840"/>
      <c r="P1840"/>
    </row>
    <row r="1841" spans="1:16" ht="15" x14ac:dyDescent="0.2">
      <c r="A1841"/>
      <c r="B1841"/>
      <c r="C1841"/>
      <c r="D1841"/>
      <c r="E1841"/>
      <c r="F1841"/>
      <c r="G1841"/>
      <c r="H1841"/>
      <c r="I1841"/>
      <c r="J1841"/>
      <c r="K1841"/>
      <c r="L1841"/>
      <c r="M1841" s="16"/>
      <c r="N1841"/>
      <c r="O1841"/>
      <c r="P1841"/>
    </row>
    <row r="1842" spans="1:16" ht="15" x14ac:dyDescent="0.2">
      <c r="A1842"/>
      <c r="B1842"/>
      <c r="C1842"/>
      <c r="D1842"/>
      <c r="E1842"/>
      <c r="F1842"/>
      <c r="G1842"/>
      <c r="H1842"/>
      <c r="I1842"/>
      <c r="J1842"/>
      <c r="K1842"/>
      <c r="L1842"/>
      <c r="M1842" s="16"/>
      <c r="N1842"/>
      <c r="O1842"/>
      <c r="P1842"/>
    </row>
    <row r="1843" spans="1:16" ht="15" x14ac:dyDescent="0.2">
      <c r="A1843"/>
      <c r="B1843"/>
      <c r="C1843"/>
      <c r="D1843"/>
      <c r="E1843"/>
      <c r="F1843"/>
      <c r="G1843"/>
      <c r="H1843"/>
      <c r="I1843"/>
      <c r="J1843"/>
      <c r="K1843"/>
      <c r="L1843"/>
      <c r="M1843" s="16"/>
      <c r="N1843"/>
      <c r="O1843"/>
      <c r="P1843"/>
    </row>
    <row r="1844" spans="1:16" ht="15" x14ac:dyDescent="0.2">
      <c r="A1844"/>
      <c r="B1844"/>
      <c r="C1844"/>
      <c r="D1844"/>
      <c r="E1844"/>
      <c r="F1844"/>
      <c r="G1844"/>
      <c r="H1844"/>
      <c r="I1844"/>
      <c r="J1844"/>
      <c r="K1844"/>
      <c r="L1844"/>
      <c r="M1844" s="16"/>
      <c r="N1844"/>
      <c r="O1844"/>
      <c r="P1844"/>
    </row>
    <row r="1845" spans="1:16" ht="15" x14ac:dyDescent="0.2">
      <c r="A1845"/>
      <c r="B1845"/>
      <c r="C1845"/>
      <c r="D1845"/>
      <c r="E1845"/>
      <c r="F1845"/>
      <c r="G1845"/>
      <c r="H1845"/>
      <c r="I1845"/>
      <c r="J1845"/>
      <c r="K1845"/>
      <c r="L1845"/>
      <c r="M1845" s="16"/>
      <c r="N1845"/>
      <c r="O1845"/>
      <c r="P1845"/>
    </row>
    <row r="1846" spans="1:16" ht="15" x14ac:dyDescent="0.2">
      <c r="A1846"/>
      <c r="B1846"/>
      <c r="C1846"/>
      <c r="D1846"/>
      <c r="E1846"/>
      <c r="F1846"/>
      <c r="G1846"/>
      <c r="H1846"/>
      <c r="I1846"/>
      <c r="J1846"/>
      <c r="K1846"/>
      <c r="L1846"/>
      <c r="M1846" s="16"/>
      <c r="N1846"/>
      <c r="O1846"/>
      <c r="P1846"/>
    </row>
    <row r="1847" spans="1:16" ht="15" x14ac:dyDescent="0.2">
      <c r="A1847"/>
      <c r="B1847"/>
      <c r="C1847"/>
      <c r="D1847"/>
      <c r="E1847"/>
      <c r="F1847"/>
      <c r="G1847"/>
      <c r="H1847"/>
      <c r="I1847"/>
      <c r="J1847"/>
      <c r="K1847"/>
      <c r="L1847"/>
      <c r="M1847" s="16"/>
      <c r="N1847"/>
      <c r="O1847"/>
      <c r="P1847"/>
    </row>
    <row r="1848" spans="1:16" ht="15" x14ac:dyDescent="0.2">
      <c r="A1848"/>
      <c r="B1848"/>
      <c r="C1848"/>
      <c r="D1848"/>
      <c r="E1848"/>
      <c r="F1848"/>
      <c r="G1848"/>
      <c r="H1848"/>
      <c r="I1848"/>
      <c r="J1848"/>
      <c r="K1848"/>
      <c r="L1848"/>
      <c r="M1848" s="16"/>
      <c r="N1848"/>
      <c r="O1848"/>
      <c r="P1848"/>
    </row>
    <row r="1849" spans="1:16" ht="15" x14ac:dyDescent="0.2">
      <c r="A1849"/>
      <c r="B1849"/>
      <c r="C1849"/>
      <c r="D1849"/>
      <c r="E1849"/>
      <c r="F1849"/>
      <c r="G1849"/>
      <c r="H1849"/>
      <c r="I1849"/>
      <c r="J1849"/>
      <c r="K1849"/>
      <c r="L1849"/>
      <c r="M1849" s="16"/>
      <c r="N1849"/>
      <c r="O1849"/>
      <c r="P1849"/>
    </row>
    <row r="1850" spans="1:16" ht="15" x14ac:dyDescent="0.2">
      <c r="A1850"/>
      <c r="B1850"/>
      <c r="C1850"/>
      <c r="D1850"/>
      <c r="E1850"/>
      <c r="F1850"/>
      <c r="G1850"/>
      <c r="H1850"/>
      <c r="I1850"/>
      <c r="J1850"/>
      <c r="K1850"/>
      <c r="L1850"/>
      <c r="M1850" s="16"/>
      <c r="N1850"/>
      <c r="O1850"/>
      <c r="P1850"/>
    </row>
    <row r="1851" spans="1:16" ht="15" x14ac:dyDescent="0.2">
      <c r="A1851"/>
      <c r="B1851"/>
      <c r="C1851"/>
      <c r="D1851"/>
      <c r="E1851"/>
      <c r="F1851"/>
      <c r="G1851"/>
      <c r="H1851"/>
      <c r="I1851"/>
      <c r="J1851"/>
      <c r="K1851"/>
      <c r="L1851"/>
      <c r="M1851" s="16"/>
      <c r="N1851"/>
      <c r="O1851"/>
      <c r="P1851"/>
    </row>
    <row r="1852" spans="1:16" ht="15" x14ac:dyDescent="0.2">
      <c r="A1852"/>
      <c r="B1852"/>
      <c r="C1852"/>
      <c r="D1852"/>
      <c r="E1852"/>
      <c r="F1852"/>
      <c r="G1852"/>
      <c r="H1852"/>
      <c r="I1852"/>
      <c r="J1852"/>
      <c r="K1852"/>
      <c r="L1852"/>
      <c r="M1852" s="16"/>
      <c r="N1852"/>
      <c r="O1852"/>
      <c r="P1852"/>
    </row>
    <row r="1853" spans="1:16" ht="15" x14ac:dyDescent="0.2">
      <c r="A1853"/>
      <c r="B1853"/>
      <c r="C1853"/>
      <c r="D1853"/>
      <c r="E1853"/>
      <c r="F1853"/>
      <c r="G1853"/>
      <c r="H1853"/>
      <c r="I1853"/>
      <c r="J1853"/>
      <c r="K1853"/>
      <c r="L1853"/>
      <c r="M1853" s="16"/>
      <c r="N1853"/>
      <c r="O1853"/>
      <c r="P1853"/>
    </row>
    <row r="1854" spans="1:16" ht="15" x14ac:dyDescent="0.2">
      <c r="A1854"/>
      <c r="B1854"/>
      <c r="C1854"/>
      <c r="D1854"/>
      <c r="E1854"/>
      <c r="F1854"/>
      <c r="G1854"/>
      <c r="H1854"/>
      <c r="I1854"/>
      <c r="J1854"/>
      <c r="K1854"/>
      <c r="L1854"/>
      <c r="M1854" s="16"/>
      <c r="N1854"/>
      <c r="O1854"/>
      <c r="P1854"/>
    </row>
    <row r="1855" spans="1:16" ht="15" x14ac:dyDescent="0.2">
      <c r="A1855"/>
      <c r="B1855"/>
      <c r="C1855"/>
      <c r="D1855"/>
      <c r="E1855"/>
      <c r="F1855"/>
      <c r="G1855"/>
      <c r="H1855"/>
      <c r="I1855"/>
      <c r="J1855"/>
      <c r="K1855"/>
      <c r="L1855"/>
      <c r="M1855" s="16"/>
      <c r="N1855"/>
      <c r="O1855"/>
      <c r="P1855"/>
    </row>
    <row r="1856" spans="1:16" ht="15" x14ac:dyDescent="0.2">
      <c r="A1856"/>
      <c r="B1856"/>
      <c r="C1856"/>
      <c r="D1856"/>
      <c r="E1856"/>
      <c r="F1856"/>
      <c r="G1856"/>
      <c r="H1856"/>
      <c r="I1856"/>
      <c r="J1856"/>
      <c r="K1856"/>
      <c r="L1856"/>
      <c r="M1856" s="16"/>
      <c r="N1856"/>
      <c r="O1856"/>
      <c r="P1856"/>
    </row>
    <row r="1857" spans="1:16" ht="15" x14ac:dyDescent="0.2">
      <c r="A1857"/>
      <c r="B1857"/>
      <c r="C1857"/>
      <c r="D1857"/>
      <c r="E1857"/>
      <c r="F1857"/>
      <c r="G1857"/>
      <c r="H1857"/>
      <c r="I1857"/>
      <c r="J1857"/>
      <c r="K1857"/>
      <c r="L1857"/>
      <c r="M1857" s="16"/>
      <c r="N1857"/>
      <c r="O1857"/>
      <c r="P1857"/>
    </row>
    <row r="1858" spans="1:16" ht="15" x14ac:dyDescent="0.2">
      <c r="A1858"/>
      <c r="B1858"/>
      <c r="C1858"/>
      <c r="D1858"/>
      <c r="E1858"/>
      <c r="F1858"/>
      <c r="G1858"/>
      <c r="H1858"/>
      <c r="I1858"/>
      <c r="J1858"/>
      <c r="K1858"/>
      <c r="L1858"/>
      <c r="M1858" s="16"/>
      <c r="N1858"/>
      <c r="O1858"/>
      <c r="P1858"/>
    </row>
    <row r="1859" spans="1:16" ht="15" x14ac:dyDescent="0.2">
      <c r="A1859"/>
      <c r="B1859"/>
      <c r="C1859"/>
      <c r="D1859"/>
      <c r="E1859"/>
      <c r="F1859"/>
      <c r="G1859"/>
      <c r="H1859"/>
      <c r="I1859"/>
      <c r="J1859"/>
      <c r="K1859"/>
      <c r="L1859"/>
      <c r="M1859" s="16"/>
      <c r="N1859"/>
      <c r="O1859"/>
      <c r="P1859"/>
    </row>
    <row r="1860" spans="1:16" ht="15" x14ac:dyDescent="0.2">
      <c r="A1860"/>
      <c r="B1860"/>
      <c r="C1860"/>
      <c r="D1860"/>
      <c r="E1860"/>
      <c r="F1860"/>
      <c r="G1860"/>
      <c r="H1860"/>
      <c r="I1860"/>
      <c r="J1860"/>
      <c r="K1860"/>
      <c r="L1860"/>
      <c r="M1860" s="16"/>
      <c r="N1860"/>
      <c r="O1860"/>
      <c r="P1860"/>
    </row>
    <row r="1861" spans="1:16" ht="15" x14ac:dyDescent="0.2">
      <c r="A1861"/>
      <c r="B1861"/>
      <c r="C1861"/>
      <c r="D1861"/>
      <c r="E1861"/>
      <c r="F1861"/>
      <c r="G1861"/>
      <c r="H1861"/>
      <c r="I1861"/>
      <c r="J1861"/>
      <c r="K1861"/>
      <c r="L1861"/>
      <c r="M1861" s="16"/>
      <c r="N1861"/>
      <c r="O1861"/>
      <c r="P1861"/>
    </row>
    <row r="1862" spans="1:16" ht="15" x14ac:dyDescent="0.2">
      <c r="A1862"/>
      <c r="B1862"/>
      <c r="C1862"/>
      <c r="D1862"/>
      <c r="E1862"/>
      <c r="F1862"/>
      <c r="G1862"/>
      <c r="H1862"/>
      <c r="I1862"/>
      <c r="J1862"/>
      <c r="K1862"/>
      <c r="L1862"/>
      <c r="M1862" s="16"/>
      <c r="N1862"/>
      <c r="O1862"/>
      <c r="P1862"/>
    </row>
    <row r="1863" spans="1:16" ht="15" x14ac:dyDescent="0.2">
      <c r="A1863"/>
      <c r="B1863"/>
      <c r="C1863"/>
      <c r="D1863"/>
      <c r="E1863"/>
      <c r="F1863"/>
      <c r="G1863"/>
      <c r="H1863"/>
      <c r="I1863"/>
      <c r="J1863"/>
      <c r="K1863"/>
      <c r="L1863"/>
      <c r="M1863" s="16"/>
      <c r="N1863"/>
      <c r="O1863"/>
      <c r="P1863"/>
    </row>
    <row r="1864" spans="1:16" ht="15" x14ac:dyDescent="0.2">
      <c r="A1864"/>
      <c r="B1864"/>
      <c r="C1864"/>
      <c r="D1864"/>
      <c r="E1864"/>
      <c r="F1864"/>
      <c r="G1864"/>
      <c r="H1864"/>
      <c r="I1864"/>
      <c r="J1864"/>
      <c r="K1864"/>
      <c r="L1864"/>
      <c r="M1864" s="16"/>
      <c r="N1864"/>
      <c r="O1864"/>
      <c r="P1864"/>
    </row>
    <row r="1865" spans="1:16" ht="15" x14ac:dyDescent="0.2">
      <c r="A1865"/>
      <c r="B1865"/>
      <c r="C1865"/>
      <c r="D1865"/>
      <c r="E1865"/>
      <c r="F1865"/>
      <c r="G1865"/>
      <c r="H1865"/>
      <c r="I1865"/>
      <c r="J1865"/>
      <c r="K1865"/>
      <c r="L1865"/>
      <c r="M1865" s="16"/>
      <c r="N1865"/>
      <c r="O1865"/>
      <c r="P1865"/>
    </row>
    <row r="1866" spans="1:16" ht="15" x14ac:dyDescent="0.2">
      <c r="A1866"/>
      <c r="B1866"/>
      <c r="C1866"/>
      <c r="D1866"/>
      <c r="E1866"/>
      <c r="F1866"/>
      <c r="G1866"/>
      <c r="H1866"/>
      <c r="I1866"/>
      <c r="J1866"/>
      <c r="K1866"/>
      <c r="L1866"/>
      <c r="M1866" s="16"/>
      <c r="N1866"/>
      <c r="O1866"/>
      <c r="P1866"/>
    </row>
    <row r="1867" spans="1:16" ht="15" x14ac:dyDescent="0.2">
      <c r="A1867"/>
      <c r="B1867"/>
      <c r="C1867"/>
      <c r="D1867"/>
      <c r="E1867"/>
      <c r="F1867"/>
      <c r="G1867"/>
      <c r="H1867"/>
      <c r="I1867"/>
      <c r="J1867"/>
      <c r="K1867"/>
      <c r="L1867"/>
      <c r="M1867" s="16"/>
      <c r="N1867"/>
      <c r="O1867"/>
      <c r="P1867"/>
    </row>
    <row r="1868" spans="1:16" ht="15" x14ac:dyDescent="0.2">
      <c r="A1868"/>
      <c r="B1868"/>
      <c r="C1868"/>
      <c r="D1868"/>
      <c r="E1868"/>
      <c r="F1868"/>
      <c r="G1868"/>
      <c r="H1868"/>
      <c r="I1868"/>
      <c r="J1868"/>
      <c r="K1868"/>
      <c r="L1868"/>
      <c r="M1868" s="16"/>
      <c r="N1868"/>
      <c r="O1868"/>
      <c r="P1868"/>
    </row>
    <row r="1869" spans="1:16" ht="15" x14ac:dyDescent="0.2">
      <c r="A1869"/>
      <c r="B1869"/>
      <c r="C1869"/>
      <c r="D1869"/>
      <c r="E1869"/>
      <c r="F1869"/>
      <c r="G1869"/>
      <c r="H1869"/>
      <c r="I1869"/>
      <c r="J1869"/>
      <c r="K1869"/>
      <c r="L1869"/>
      <c r="M1869" s="16"/>
      <c r="N1869"/>
      <c r="O1869"/>
      <c r="P1869"/>
    </row>
    <row r="1870" spans="1:16" ht="15" x14ac:dyDescent="0.2">
      <c r="A1870"/>
      <c r="B1870"/>
      <c r="C1870"/>
      <c r="D1870"/>
      <c r="E1870"/>
      <c r="F1870"/>
      <c r="G1870"/>
      <c r="H1870"/>
      <c r="I1870"/>
      <c r="J1870"/>
      <c r="K1870"/>
      <c r="L1870"/>
      <c r="M1870" s="16"/>
      <c r="N1870"/>
      <c r="O1870"/>
      <c r="P1870"/>
    </row>
    <row r="1871" spans="1:16" ht="15" x14ac:dyDescent="0.2">
      <c r="A1871"/>
      <c r="B1871"/>
      <c r="C1871"/>
      <c r="D1871"/>
      <c r="E1871"/>
      <c r="F1871"/>
      <c r="G1871"/>
      <c r="H1871"/>
      <c r="I1871"/>
      <c r="J1871"/>
      <c r="K1871"/>
      <c r="L1871"/>
      <c r="M1871" s="16"/>
      <c r="N1871"/>
      <c r="O1871"/>
      <c r="P1871"/>
    </row>
    <row r="1872" spans="1:16" ht="15" x14ac:dyDescent="0.2">
      <c r="A1872"/>
      <c r="B1872"/>
      <c r="C1872"/>
      <c r="D1872"/>
      <c r="E1872"/>
      <c r="F1872"/>
      <c r="G1872"/>
      <c r="H1872"/>
      <c r="I1872"/>
      <c r="J1872"/>
      <c r="K1872"/>
      <c r="L1872"/>
      <c r="M1872" s="16"/>
      <c r="N1872"/>
      <c r="O1872"/>
      <c r="P1872"/>
    </row>
    <row r="1873" spans="1:16" ht="15" x14ac:dyDescent="0.2">
      <c r="A1873"/>
      <c r="B1873"/>
      <c r="C1873"/>
      <c r="D1873"/>
      <c r="E1873"/>
      <c r="F1873"/>
      <c r="G1873"/>
      <c r="H1873"/>
      <c r="I1873"/>
      <c r="J1873"/>
      <c r="K1873"/>
      <c r="L1873"/>
      <c r="M1873" s="16"/>
      <c r="N1873"/>
      <c r="O1873"/>
      <c r="P1873"/>
    </row>
    <row r="1874" spans="1:16" ht="15" x14ac:dyDescent="0.2">
      <c r="A1874"/>
      <c r="B1874"/>
      <c r="C1874"/>
      <c r="D1874"/>
      <c r="E1874"/>
      <c r="F1874"/>
      <c r="G1874"/>
      <c r="H1874"/>
      <c r="I1874"/>
      <c r="J1874"/>
      <c r="K1874"/>
      <c r="L1874"/>
      <c r="M1874" s="16"/>
      <c r="N1874"/>
      <c r="O1874"/>
      <c r="P1874"/>
    </row>
    <row r="1875" spans="1:16" ht="15" x14ac:dyDescent="0.2">
      <c r="A1875"/>
      <c r="B1875"/>
      <c r="C1875"/>
      <c r="D1875"/>
      <c r="E1875"/>
      <c r="F1875"/>
      <c r="G1875"/>
      <c r="H1875"/>
      <c r="I1875"/>
      <c r="J1875"/>
      <c r="K1875"/>
      <c r="L1875"/>
      <c r="M1875" s="16"/>
      <c r="N1875"/>
      <c r="O1875"/>
      <c r="P1875"/>
    </row>
    <row r="1876" spans="1:16" ht="15" x14ac:dyDescent="0.2">
      <c r="A1876"/>
      <c r="B1876"/>
      <c r="C1876"/>
      <c r="D1876"/>
      <c r="E1876"/>
      <c r="F1876"/>
      <c r="G1876"/>
      <c r="H1876"/>
      <c r="I1876"/>
      <c r="J1876"/>
      <c r="K1876"/>
      <c r="L1876"/>
      <c r="M1876" s="16"/>
      <c r="N1876"/>
      <c r="O1876"/>
      <c r="P1876"/>
    </row>
    <row r="1877" spans="1:16" ht="15" x14ac:dyDescent="0.2">
      <c r="A1877"/>
      <c r="B1877"/>
      <c r="C1877"/>
      <c r="D1877"/>
      <c r="E1877"/>
      <c r="F1877"/>
      <c r="G1877"/>
      <c r="H1877"/>
      <c r="I1877"/>
      <c r="J1877"/>
      <c r="K1877"/>
      <c r="L1877"/>
      <c r="M1877" s="16"/>
      <c r="N1877"/>
      <c r="O1877"/>
      <c r="P1877"/>
    </row>
    <row r="1878" spans="1:16" ht="15" x14ac:dyDescent="0.2">
      <c r="A1878"/>
      <c r="B1878"/>
      <c r="C1878"/>
      <c r="D1878"/>
      <c r="E1878"/>
      <c r="F1878"/>
      <c r="G1878"/>
      <c r="H1878"/>
      <c r="I1878"/>
      <c r="J1878"/>
      <c r="K1878"/>
      <c r="L1878"/>
      <c r="M1878" s="16"/>
      <c r="N1878"/>
      <c r="O1878"/>
      <c r="P1878"/>
    </row>
    <row r="1879" spans="1:16" ht="15" x14ac:dyDescent="0.2">
      <c r="A1879"/>
      <c r="B1879"/>
      <c r="C1879"/>
      <c r="D1879"/>
      <c r="E1879"/>
      <c r="F1879"/>
      <c r="G1879"/>
      <c r="H1879"/>
      <c r="I1879"/>
      <c r="J1879"/>
      <c r="K1879"/>
      <c r="L1879"/>
      <c r="M1879" s="16"/>
      <c r="N1879"/>
      <c r="O1879"/>
      <c r="P1879"/>
    </row>
    <row r="1880" spans="1:16" ht="15" x14ac:dyDescent="0.2">
      <c r="A1880"/>
      <c r="B1880"/>
      <c r="C1880"/>
      <c r="D1880"/>
      <c r="E1880"/>
      <c r="F1880"/>
      <c r="G1880"/>
      <c r="H1880"/>
      <c r="I1880"/>
      <c r="J1880"/>
      <c r="K1880"/>
      <c r="L1880"/>
      <c r="M1880" s="16"/>
      <c r="N1880"/>
      <c r="O1880"/>
      <c r="P1880"/>
    </row>
    <row r="1881" spans="1:16" ht="15" x14ac:dyDescent="0.2">
      <c r="A1881"/>
      <c r="B1881"/>
      <c r="C1881"/>
      <c r="D1881"/>
      <c r="E1881"/>
      <c r="F1881"/>
      <c r="G1881"/>
      <c r="H1881"/>
      <c r="I1881"/>
      <c r="J1881"/>
      <c r="K1881"/>
      <c r="L1881"/>
      <c r="M1881" s="16"/>
      <c r="N1881"/>
      <c r="O1881"/>
      <c r="P1881"/>
    </row>
    <row r="1882" spans="1:16" ht="15" x14ac:dyDescent="0.2">
      <c r="A1882"/>
      <c r="B1882"/>
      <c r="C1882"/>
      <c r="D1882"/>
      <c r="E1882"/>
      <c r="F1882"/>
      <c r="G1882"/>
      <c r="H1882"/>
      <c r="I1882"/>
      <c r="J1882"/>
      <c r="K1882"/>
      <c r="L1882"/>
      <c r="M1882" s="16"/>
      <c r="N1882"/>
      <c r="O1882"/>
      <c r="P1882"/>
    </row>
    <row r="1883" spans="1:16" ht="15" x14ac:dyDescent="0.2">
      <c r="A1883"/>
      <c r="B1883"/>
      <c r="C1883"/>
      <c r="D1883"/>
      <c r="E1883"/>
      <c r="F1883"/>
      <c r="G1883"/>
      <c r="H1883"/>
      <c r="I1883"/>
      <c r="J1883"/>
      <c r="K1883"/>
      <c r="L1883"/>
      <c r="M1883" s="16"/>
      <c r="N1883"/>
      <c r="O1883"/>
      <c r="P1883"/>
    </row>
    <row r="1884" spans="1:16" ht="15" x14ac:dyDescent="0.2">
      <c r="A1884"/>
      <c r="B1884"/>
      <c r="C1884"/>
      <c r="D1884"/>
      <c r="E1884"/>
      <c r="F1884"/>
      <c r="G1884"/>
      <c r="H1884"/>
      <c r="I1884"/>
      <c r="J1884"/>
      <c r="K1884"/>
      <c r="L1884"/>
      <c r="M1884" s="16"/>
      <c r="N1884"/>
      <c r="O1884"/>
      <c r="P1884"/>
    </row>
    <row r="1885" spans="1:16" ht="15" x14ac:dyDescent="0.2">
      <c r="A1885"/>
      <c r="B1885"/>
      <c r="C1885"/>
      <c r="D1885"/>
      <c r="E1885"/>
      <c r="F1885"/>
      <c r="G1885"/>
      <c r="H1885"/>
      <c r="I1885"/>
      <c r="J1885"/>
      <c r="K1885"/>
      <c r="L1885"/>
      <c r="M1885" s="16"/>
      <c r="N1885"/>
      <c r="O1885"/>
      <c r="P1885"/>
    </row>
    <row r="1886" spans="1:16" ht="15" x14ac:dyDescent="0.2">
      <c r="A1886"/>
      <c r="B1886"/>
      <c r="C1886"/>
      <c r="D1886"/>
      <c r="E1886"/>
      <c r="F1886"/>
      <c r="G1886"/>
      <c r="H1886"/>
      <c r="I1886"/>
      <c r="J1886"/>
      <c r="K1886"/>
      <c r="L1886"/>
      <c r="M1886" s="16"/>
      <c r="N1886"/>
      <c r="O1886"/>
      <c r="P1886"/>
    </row>
    <row r="1887" spans="1:16" ht="15" x14ac:dyDescent="0.2">
      <c r="A1887"/>
      <c r="B1887"/>
      <c r="C1887"/>
      <c r="D1887"/>
      <c r="E1887"/>
      <c r="F1887"/>
      <c r="G1887"/>
      <c r="H1887"/>
      <c r="I1887"/>
      <c r="J1887"/>
      <c r="K1887"/>
      <c r="L1887"/>
      <c r="M1887" s="16"/>
      <c r="N1887"/>
      <c r="O1887"/>
      <c r="P1887"/>
    </row>
    <row r="1888" spans="1:16" ht="15" x14ac:dyDescent="0.2">
      <c r="A1888"/>
      <c r="B1888"/>
      <c r="C1888"/>
      <c r="D1888"/>
      <c r="E1888"/>
      <c r="F1888"/>
      <c r="G1888"/>
      <c r="H1888"/>
      <c r="I1888"/>
      <c r="J1888"/>
      <c r="K1888"/>
      <c r="L1888"/>
      <c r="M1888" s="16"/>
      <c r="N1888"/>
      <c r="O1888"/>
      <c r="P1888"/>
    </row>
    <row r="1889" spans="1:16" ht="15" x14ac:dyDescent="0.2">
      <c r="A1889"/>
      <c r="B1889"/>
      <c r="C1889"/>
      <c r="D1889"/>
      <c r="E1889"/>
      <c r="F1889"/>
      <c r="G1889"/>
      <c r="H1889"/>
      <c r="I1889"/>
      <c r="J1889"/>
      <c r="K1889"/>
      <c r="L1889"/>
      <c r="M1889" s="16"/>
      <c r="N1889"/>
      <c r="O1889"/>
      <c r="P1889"/>
    </row>
    <row r="1890" spans="1:16" ht="15" x14ac:dyDescent="0.2">
      <c r="A1890"/>
      <c r="B1890"/>
      <c r="C1890"/>
      <c r="D1890"/>
      <c r="E1890"/>
      <c r="F1890"/>
      <c r="G1890"/>
      <c r="H1890"/>
      <c r="I1890"/>
      <c r="J1890"/>
      <c r="K1890"/>
      <c r="L1890"/>
      <c r="M1890" s="16"/>
      <c r="N1890"/>
      <c r="O1890"/>
      <c r="P1890"/>
    </row>
    <row r="1891" spans="1:16" ht="15" x14ac:dyDescent="0.2">
      <c r="A1891"/>
      <c r="B1891"/>
      <c r="C1891"/>
      <c r="D1891"/>
      <c r="E1891"/>
      <c r="F1891"/>
      <c r="G1891"/>
      <c r="H1891"/>
      <c r="I1891"/>
      <c r="J1891"/>
      <c r="K1891"/>
      <c r="L1891"/>
      <c r="M1891" s="16"/>
      <c r="N1891"/>
      <c r="O1891"/>
      <c r="P1891"/>
    </row>
    <row r="1892" spans="1:16" ht="15" x14ac:dyDescent="0.2">
      <c r="A1892"/>
      <c r="B1892"/>
      <c r="C1892"/>
      <c r="D1892"/>
      <c r="E1892"/>
      <c r="F1892"/>
      <c r="G1892"/>
      <c r="H1892"/>
      <c r="I1892"/>
      <c r="J1892"/>
      <c r="K1892"/>
      <c r="L1892"/>
      <c r="M1892" s="16"/>
      <c r="N1892"/>
      <c r="O1892"/>
      <c r="P1892"/>
    </row>
    <row r="1893" spans="1:16" ht="15" x14ac:dyDescent="0.2">
      <c r="A1893"/>
      <c r="B1893"/>
      <c r="C1893"/>
      <c r="D1893"/>
      <c r="E1893"/>
      <c r="F1893"/>
      <c r="G1893"/>
      <c r="H1893"/>
      <c r="I1893"/>
      <c r="J1893"/>
      <c r="K1893"/>
      <c r="L1893"/>
      <c r="M1893" s="16"/>
      <c r="N1893"/>
      <c r="O1893"/>
      <c r="P1893"/>
    </row>
    <row r="1894" spans="1:16" ht="15" x14ac:dyDescent="0.2">
      <c r="A1894"/>
      <c r="B1894"/>
      <c r="C1894"/>
      <c r="D1894"/>
      <c r="E1894"/>
      <c r="F1894"/>
      <c r="G1894"/>
      <c r="H1894"/>
      <c r="I1894"/>
      <c r="J1894"/>
      <c r="K1894"/>
      <c r="L1894"/>
      <c r="M1894" s="16"/>
      <c r="N1894"/>
      <c r="O1894"/>
      <c r="P1894"/>
    </row>
    <row r="1895" spans="1:16" ht="15" x14ac:dyDescent="0.2">
      <c r="A1895"/>
      <c r="B1895"/>
      <c r="C1895"/>
      <c r="D1895"/>
      <c r="E1895"/>
      <c r="F1895"/>
      <c r="G1895"/>
      <c r="H1895"/>
      <c r="I1895"/>
      <c r="J1895"/>
      <c r="K1895"/>
      <c r="L1895"/>
      <c r="M1895" s="16"/>
      <c r="N1895"/>
      <c r="O1895"/>
      <c r="P1895"/>
    </row>
    <row r="1896" spans="1:16" ht="15" x14ac:dyDescent="0.2">
      <c r="A1896"/>
      <c r="B1896"/>
      <c r="C1896"/>
      <c r="D1896"/>
      <c r="E1896"/>
      <c r="F1896"/>
      <c r="G1896"/>
      <c r="H1896"/>
      <c r="I1896"/>
      <c r="J1896"/>
      <c r="K1896"/>
      <c r="L1896"/>
      <c r="M1896" s="16"/>
      <c r="N1896"/>
      <c r="O1896"/>
      <c r="P1896"/>
    </row>
    <row r="1897" spans="1:16" ht="15" x14ac:dyDescent="0.2">
      <c r="A1897"/>
      <c r="B1897"/>
      <c r="C1897"/>
      <c r="D1897"/>
      <c r="E1897"/>
      <c r="F1897"/>
      <c r="G1897"/>
      <c r="H1897"/>
      <c r="I1897"/>
      <c r="J1897"/>
      <c r="K1897"/>
      <c r="L1897"/>
      <c r="M1897" s="16"/>
      <c r="N1897"/>
      <c r="O1897"/>
      <c r="P1897"/>
    </row>
    <row r="1898" spans="1:16" ht="15" x14ac:dyDescent="0.2">
      <c r="A1898"/>
      <c r="B1898"/>
      <c r="C1898"/>
      <c r="D1898"/>
      <c r="E1898"/>
      <c r="F1898"/>
      <c r="G1898"/>
      <c r="H1898"/>
      <c r="I1898"/>
      <c r="J1898"/>
      <c r="K1898"/>
      <c r="L1898"/>
      <c r="M1898" s="16"/>
      <c r="N1898"/>
      <c r="O1898"/>
      <c r="P1898"/>
    </row>
    <row r="1899" spans="1:16" ht="15" x14ac:dyDescent="0.2">
      <c r="A1899"/>
      <c r="B1899"/>
      <c r="C1899"/>
      <c r="D1899"/>
      <c r="E1899"/>
      <c r="F1899"/>
      <c r="G1899"/>
      <c r="H1899"/>
      <c r="I1899"/>
      <c r="J1899"/>
      <c r="K1899"/>
      <c r="L1899"/>
      <c r="M1899" s="16"/>
      <c r="N1899"/>
      <c r="O1899"/>
      <c r="P1899"/>
    </row>
    <row r="1900" spans="1:16" ht="15" x14ac:dyDescent="0.2">
      <c r="A1900"/>
      <c r="B1900"/>
      <c r="C1900"/>
      <c r="D1900"/>
      <c r="E1900"/>
      <c r="F1900"/>
      <c r="G1900"/>
      <c r="H1900"/>
      <c r="I1900"/>
      <c r="J1900"/>
      <c r="K1900"/>
      <c r="L1900"/>
      <c r="M1900" s="16"/>
      <c r="N1900"/>
      <c r="O1900"/>
      <c r="P1900"/>
    </row>
    <row r="1901" spans="1:16" ht="15" x14ac:dyDescent="0.2">
      <c r="A1901"/>
      <c r="B1901"/>
      <c r="C1901"/>
      <c r="D1901"/>
      <c r="E1901"/>
      <c r="F1901"/>
      <c r="G1901"/>
      <c r="H1901"/>
      <c r="I1901"/>
      <c r="J1901"/>
      <c r="K1901"/>
      <c r="L1901"/>
      <c r="M1901" s="16"/>
      <c r="N1901"/>
      <c r="O1901"/>
      <c r="P1901"/>
    </row>
    <row r="1902" spans="1:16" ht="15" x14ac:dyDescent="0.2">
      <c r="A1902"/>
      <c r="B1902"/>
      <c r="C1902"/>
      <c r="D1902"/>
      <c r="E1902"/>
      <c r="F1902"/>
      <c r="G1902"/>
      <c r="H1902"/>
      <c r="I1902"/>
      <c r="J1902"/>
      <c r="K1902"/>
      <c r="L1902"/>
      <c r="M1902" s="16"/>
      <c r="N1902"/>
      <c r="O1902"/>
      <c r="P1902"/>
    </row>
    <row r="1903" spans="1:16" ht="15" x14ac:dyDescent="0.2">
      <c r="A1903"/>
      <c r="B1903"/>
      <c r="C1903"/>
      <c r="D1903"/>
      <c r="E1903"/>
      <c r="F1903"/>
      <c r="G1903"/>
      <c r="H1903"/>
      <c r="I1903"/>
      <c r="J1903"/>
      <c r="K1903"/>
      <c r="L1903"/>
      <c r="M1903" s="16"/>
      <c r="N1903"/>
      <c r="O1903"/>
      <c r="P1903"/>
    </row>
    <row r="1904" spans="1:16" ht="15" x14ac:dyDescent="0.2">
      <c r="A1904"/>
      <c r="B1904"/>
      <c r="C1904"/>
      <c r="D1904"/>
      <c r="E1904"/>
      <c r="F1904"/>
      <c r="G1904"/>
      <c r="H1904"/>
      <c r="I1904"/>
      <c r="J1904"/>
      <c r="K1904"/>
      <c r="L1904"/>
      <c r="M1904" s="16"/>
      <c r="N1904"/>
      <c r="O1904"/>
      <c r="P1904"/>
    </row>
    <row r="1905" spans="1:16" ht="15" x14ac:dyDescent="0.2">
      <c r="A1905"/>
      <c r="B1905"/>
      <c r="C1905"/>
      <c r="D1905"/>
      <c r="E1905"/>
      <c r="F1905"/>
      <c r="G1905"/>
      <c r="H1905"/>
      <c r="I1905"/>
      <c r="J1905"/>
      <c r="K1905"/>
      <c r="L1905"/>
      <c r="M1905" s="16"/>
      <c r="N1905"/>
      <c r="O1905"/>
      <c r="P1905"/>
    </row>
    <row r="1906" spans="1:16" ht="15" x14ac:dyDescent="0.2">
      <c r="A1906"/>
      <c r="B1906"/>
      <c r="C1906"/>
      <c r="D1906"/>
      <c r="E1906"/>
      <c r="F1906"/>
      <c r="G1906"/>
      <c r="H1906"/>
      <c r="I1906"/>
      <c r="J1906"/>
      <c r="K1906"/>
      <c r="L1906"/>
      <c r="M1906" s="16"/>
      <c r="N1906"/>
      <c r="O1906"/>
      <c r="P1906"/>
    </row>
    <row r="1907" spans="1:16" ht="15" x14ac:dyDescent="0.2">
      <c r="A1907"/>
      <c r="B1907"/>
      <c r="C1907"/>
      <c r="D1907"/>
      <c r="E1907"/>
      <c r="F1907"/>
      <c r="G1907"/>
      <c r="H1907"/>
      <c r="I1907"/>
      <c r="J1907"/>
      <c r="K1907"/>
      <c r="L1907"/>
      <c r="M1907" s="16"/>
      <c r="N1907"/>
      <c r="O1907"/>
      <c r="P1907"/>
    </row>
    <row r="1908" spans="1:16" ht="15" x14ac:dyDescent="0.2">
      <c r="A1908"/>
      <c r="B1908"/>
      <c r="C1908"/>
      <c r="D1908"/>
      <c r="E1908"/>
      <c r="F1908"/>
      <c r="G1908"/>
      <c r="H1908"/>
      <c r="I1908"/>
      <c r="J1908"/>
      <c r="K1908"/>
      <c r="L1908"/>
      <c r="M1908" s="16"/>
      <c r="N1908"/>
      <c r="O1908"/>
      <c r="P1908"/>
    </row>
    <row r="1909" spans="1:16" ht="15" x14ac:dyDescent="0.2">
      <c r="A1909"/>
      <c r="B1909"/>
      <c r="C1909"/>
      <c r="D1909"/>
      <c r="E1909"/>
      <c r="F1909"/>
      <c r="G1909"/>
      <c r="H1909"/>
      <c r="I1909"/>
      <c r="J1909"/>
      <c r="K1909"/>
      <c r="L1909"/>
      <c r="M1909" s="16"/>
      <c r="N1909"/>
      <c r="O1909"/>
      <c r="P1909"/>
    </row>
    <row r="1910" spans="1:16" ht="15" x14ac:dyDescent="0.2">
      <c r="A1910"/>
      <c r="B1910"/>
      <c r="C1910"/>
      <c r="D1910"/>
      <c r="E1910"/>
      <c r="F1910"/>
      <c r="G1910"/>
      <c r="H1910"/>
      <c r="I1910"/>
      <c r="J1910"/>
      <c r="K1910"/>
      <c r="L1910"/>
      <c r="M1910" s="16"/>
      <c r="N1910"/>
      <c r="O1910"/>
      <c r="P1910"/>
    </row>
    <row r="1911" spans="1:16" ht="15" x14ac:dyDescent="0.2">
      <c r="A1911"/>
      <c r="B1911"/>
      <c r="C1911"/>
      <c r="D1911"/>
      <c r="E1911"/>
      <c r="F1911"/>
      <c r="G1911"/>
      <c r="H1911"/>
      <c r="I1911"/>
      <c r="J1911"/>
      <c r="K1911"/>
      <c r="L1911"/>
      <c r="M1911" s="16"/>
      <c r="N1911"/>
      <c r="O1911"/>
      <c r="P1911"/>
    </row>
    <row r="1912" spans="1:16" ht="15" x14ac:dyDescent="0.2">
      <c r="A1912"/>
      <c r="B1912"/>
      <c r="C1912"/>
      <c r="D1912"/>
      <c r="E1912"/>
      <c r="F1912"/>
      <c r="G1912"/>
      <c r="H1912"/>
      <c r="I1912"/>
      <c r="J1912"/>
      <c r="K1912"/>
      <c r="L1912"/>
      <c r="M1912" s="16"/>
      <c r="N1912"/>
      <c r="O1912"/>
      <c r="P1912"/>
    </row>
    <row r="1913" spans="1:16" ht="15" x14ac:dyDescent="0.2">
      <c r="A1913"/>
      <c r="B1913"/>
      <c r="C1913"/>
      <c r="D1913"/>
      <c r="E1913"/>
      <c r="F1913"/>
      <c r="G1913"/>
      <c r="H1913"/>
      <c r="I1913"/>
      <c r="J1913"/>
      <c r="K1913"/>
      <c r="L1913"/>
      <c r="M1913" s="16"/>
      <c r="N1913"/>
      <c r="O1913"/>
      <c r="P1913"/>
    </row>
    <row r="1914" spans="1:16" ht="15" x14ac:dyDescent="0.2">
      <c r="A1914"/>
      <c r="B1914"/>
      <c r="C1914"/>
      <c r="D1914"/>
      <c r="E1914"/>
      <c r="F1914"/>
      <c r="G1914"/>
      <c r="H1914"/>
      <c r="I1914"/>
      <c r="J1914"/>
      <c r="K1914"/>
      <c r="L1914"/>
      <c r="M1914" s="16"/>
      <c r="N1914"/>
      <c r="O1914"/>
      <c r="P1914"/>
    </row>
    <row r="1915" spans="1:16" ht="15" x14ac:dyDescent="0.2">
      <c r="A1915"/>
      <c r="B1915"/>
      <c r="C1915"/>
      <c r="D1915"/>
      <c r="E1915"/>
      <c r="F1915"/>
      <c r="G1915"/>
      <c r="H1915"/>
      <c r="I1915"/>
      <c r="J1915"/>
      <c r="K1915"/>
      <c r="L1915"/>
      <c r="M1915" s="16"/>
      <c r="N1915"/>
      <c r="O1915"/>
      <c r="P1915"/>
    </row>
    <row r="1916" spans="1:16" ht="15" x14ac:dyDescent="0.2">
      <c r="A1916"/>
      <c r="B1916"/>
      <c r="C1916"/>
      <c r="D1916"/>
      <c r="E1916"/>
      <c r="F1916"/>
      <c r="G1916"/>
      <c r="H1916"/>
      <c r="I1916"/>
      <c r="J1916"/>
      <c r="K1916"/>
      <c r="L1916"/>
      <c r="M1916" s="16"/>
      <c r="N1916"/>
      <c r="O1916"/>
      <c r="P1916"/>
    </row>
    <row r="1917" spans="1:16" ht="15" x14ac:dyDescent="0.2">
      <c r="A1917"/>
      <c r="B1917"/>
      <c r="C1917"/>
      <c r="D1917"/>
      <c r="E1917"/>
      <c r="F1917"/>
      <c r="G1917"/>
      <c r="H1917"/>
      <c r="I1917"/>
      <c r="J1917"/>
      <c r="K1917"/>
      <c r="L1917"/>
      <c r="M1917" s="16"/>
      <c r="N1917"/>
      <c r="O1917"/>
      <c r="P1917"/>
    </row>
    <row r="1918" spans="1:16" ht="15" x14ac:dyDescent="0.2">
      <c r="A1918"/>
      <c r="B1918"/>
      <c r="C1918"/>
      <c r="D1918"/>
      <c r="E1918"/>
      <c r="F1918"/>
      <c r="G1918"/>
      <c r="H1918"/>
      <c r="I1918"/>
      <c r="J1918"/>
      <c r="K1918"/>
      <c r="L1918"/>
      <c r="M1918" s="16"/>
      <c r="N1918"/>
      <c r="O1918"/>
      <c r="P1918"/>
    </row>
    <row r="1919" spans="1:16" ht="15" x14ac:dyDescent="0.2">
      <c r="A1919"/>
      <c r="B1919"/>
      <c r="C1919"/>
      <c r="D1919"/>
      <c r="E1919"/>
      <c r="F1919"/>
      <c r="G1919"/>
      <c r="H1919"/>
      <c r="I1919"/>
      <c r="J1919"/>
      <c r="K1919"/>
      <c r="L1919"/>
      <c r="M1919" s="16"/>
      <c r="N1919"/>
      <c r="O1919"/>
      <c r="P1919"/>
    </row>
    <row r="1920" spans="1:16" ht="15" x14ac:dyDescent="0.2">
      <c r="A1920"/>
      <c r="B1920"/>
      <c r="C1920"/>
      <c r="D1920"/>
      <c r="E1920"/>
      <c r="F1920"/>
      <c r="G1920"/>
      <c r="H1920"/>
      <c r="I1920"/>
      <c r="J1920"/>
      <c r="K1920"/>
      <c r="L1920"/>
      <c r="M1920" s="16"/>
      <c r="N1920"/>
      <c r="O1920"/>
      <c r="P1920"/>
    </row>
    <row r="1921" spans="1:16" ht="15" x14ac:dyDescent="0.2">
      <c r="A1921"/>
      <c r="B1921"/>
      <c r="C1921"/>
      <c r="D1921"/>
      <c r="E1921"/>
      <c r="F1921"/>
      <c r="G1921"/>
      <c r="H1921"/>
      <c r="I1921"/>
      <c r="J1921"/>
      <c r="K1921"/>
      <c r="L1921"/>
      <c r="M1921" s="16"/>
      <c r="N1921"/>
      <c r="O1921"/>
      <c r="P1921"/>
    </row>
    <row r="1922" spans="1:16" ht="15" x14ac:dyDescent="0.2">
      <c r="A1922"/>
      <c r="B1922"/>
      <c r="C1922"/>
      <c r="D1922"/>
      <c r="E1922"/>
      <c r="F1922"/>
      <c r="G1922"/>
      <c r="H1922"/>
      <c r="I1922"/>
      <c r="J1922"/>
      <c r="K1922"/>
      <c r="L1922"/>
      <c r="M1922" s="16"/>
      <c r="N1922"/>
      <c r="O1922"/>
      <c r="P1922"/>
    </row>
    <row r="1923" spans="1:16" ht="15" x14ac:dyDescent="0.2">
      <c r="A1923"/>
      <c r="B1923"/>
      <c r="C1923"/>
      <c r="D1923"/>
      <c r="E1923"/>
      <c r="F1923"/>
      <c r="G1923"/>
      <c r="H1923"/>
      <c r="I1923"/>
      <c r="J1923"/>
      <c r="K1923"/>
      <c r="L1923"/>
      <c r="M1923" s="16"/>
      <c r="N1923"/>
      <c r="O1923"/>
      <c r="P1923"/>
    </row>
    <row r="1924" spans="1:16" ht="15" x14ac:dyDescent="0.2">
      <c r="A1924"/>
      <c r="B1924"/>
      <c r="C1924"/>
      <c r="D1924"/>
      <c r="E1924"/>
      <c r="F1924"/>
      <c r="G1924"/>
      <c r="H1924"/>
      <c r="I1924"/>
      <c r="J1924"/>
      <c r="K1924"/>
      <c r="L1924"/>
      <c r="M1924" s="16"/>
      <c r="N1924"/>
      <c r="O1924"/>
      <c r="P1924"/>
    </row>
    <row r="1925" spans="1:16" ht="15" x14ac:dyDescent="0.2">
      <c r="A1925"/>
      <c r="B1925"/>
      <c r="C1925"/>
      <c r="D1925"/>
      <c r="E1925"/>
      <c r="F1925"/>
      <c r="G1925"/>
      <c r="H1925"/>
      <c r="I1925"/>
      <c r="J1925"/>
      <c r="K1925"/>
      <c r="L1925"/>
      <c r="M1925" s="16"/>
      <c r="N1925"/>
      <c r="O1925"/>
      <c r="P1925"/>
    </row>
    <row r="1926" spans="1:16" ht="15" x14ac:dyDescent="0.2">
      <c r="A1926"/>
      <c r="B1926"/>
      <c r="C1926"/>
      <c r="D1926"/>
      <c r="E1926"/>
      <c r="F1926"/>
      <c r="G1926"/>
      <c r="H1926"/>
      <c r="I1926"/>
      <c r="J1926"/>
      <c r="K1926"/>
      <c r="L1926"/>
      <c r="M1926" s="16"/>
      <c r="N1926"/>
      <c r="O1926"/>
      <c r="P1926"/>
    </row>
    <row r="1927" spans="1:16" ht="15" x14ac:dyDescent="0.2">
      <c r="A1927"/>
      <c r="B1927"/>
      <c r="C1927"/>
      <c r="D1927"/>
      <c r="E1927"/>
      <c r="F1927"/>
      <c r="G1927"/>
      <c r="H1927"/>
      <c r="I1927"/>
      <c r="J1927"/>
      <c r="K1927"/>
      <c r="L1927"/>
      <c r="M1927" s="16"/>
      <c r="N1927"/>
      <c r="O1927"/>
      <c r="P1927"/>
    </row>
    <row r="1928" spans="1:16" ht="15" x14ac:dyDescent="0.2">
      <c r="A1928"/>
      <c r="B1928"/>
      <c r="C1928"/>
      <c r="D1928"/>
      <c r="E1928"/>
      <c r="F1928"/>
      <c r="G1928"/>
      <c r="H1928"/>
      <c r="I1928"/>
      <c r="J1928"/>
      <c r="K1928"/>
      <c r="L1928"/>
      <c r="M1928" s="16"/>
      <c r="N1928"/>
      <c r="O1928"/>
      <c r="P1928"/>
    </row>
    <row r="1929" spans="1:16" ht="15" x14ac:dyDescent="0.2">
      <c r="A1929"/>
      <c r="B1929"/>
      <c r="C1929"/>
      <c r="D1929"/>
      <c r="E1929"/>
      <c r="F1929"/>
      <c r="G1929"/>
      <c r="H1929"/>
      <c r="I1929"/>
      <c r="J1929"/>
      <c r="K1929"/>
      <c r="L1929"/>
      <c r="M1929" s="16"/>
      <c r="N1929"/>
      <c r="O1929"/>
      <c r="P1929"/>
    </row>
    <row r="1930" spans="1:16" ht="15" x14ac:dyDescent="0.2">
      <c r="A1930"/>
      <c r="B1930"/>
      <c r="C1930"/>
      <c r="D1930"/>
      <c r="E1930"/>
      <c r="F1930"/>
      <c r="G1930"/>
      <c r="H1930"/>
      <c r="I1930"/>
      <c r="J1930"/>
      <c r="K1930"/>
      <c r="L1930"/>
      <c r="M1930" s="16"/>
      <c r="N1930"/>
      <c r="O1930"/>
      <c r="P1930"/>
    </row>
    <row r="1931" spans="1:16" ht="15" x14ac:dyDescent="0.2">
      <c r="A1931"/>
      <c r="B1931"/>
      <c r="C1931"/>
      <c r="D1931"/>
      <c r="E1931"/>
      <c r="F1931"/>
      <c r="G1931"/>
      <c r="H1931"/>
      <c r="I1931"/>
      <c r="J1931"/>
      <c r="K1931"/>
      <c r="L1931"/>
      <c r="M1931" s="16"/>
      <c r="N1931"/>
      <c r="O1931"/>
      <c r="P1931"/>
    </row>
    <row r="1932" spans="1:16" ht="15" x14ac:dyDescent="0.2">
      <c r="A1932"/>
      <c r="B1932"/>
      <c r="C1932"/>
      <c r="D1932"/>
      <c r="E1932"/>
      <c r="F1932"/>
      <c r="G1932"/>
      <c r="H1932"/>
      <c r="I1932"/>
      <c r="J1932"/>
      <c r="K1932"/>
      <c r="L1932"/>
      <c r="M1932" s="16"/>
      <c r="N1932"/>
      <c r="O1932"/>
      <c r="P1932"/>
    </row>
    <row r="1933" spans="1:16" ht="15" x14ac:dyDescent="0.2">
      <c r="A1933"/>
      <c r="B1933"/>
      <c r="C1933"/>
      <c r="D1933"/>
      <c r="E1933"/>
      <c r="F1933"/>
      <c r="G1933"/>
      <c r="H1933"/>
      <c r="I1933"/>
      <c r="J1933"/>
      <c r="K1933"/>
      <c r="L1933"/>
      <c r="M1933" s="16"/>
      <c r="N1933"/>
      <c r="O1933"/>
      <c r="P1933"/>
    </row>
    <row r="1934" spans="1:16" ht="15" x14ac:dyDescent="0.2">
      <c r="A1934"/>
      <c r="B1934"/>
      <c r="C1934"/>
      <c r="D1934"/>
      <c r="E1934"/>
      <c r="F1934"/>
      <c r="G1934"/>
      <c r="H1934"/>
      <c r="I1934"/>
      <c r="J1934"/>
      <c r="K1934"/>
      <c r="L1934"/>
      <c r="M1934" s="16"/>
      <c r="N1934"/>
      <c r="O1934"/>
      <c r="P1934"/>
    </row>
    <row r="1935" spans="1:16" ht="15" x14ac:dyDescent="0.2">
      <c r="A1935"/>
      <c r="B1935"/>
      <c r="C1935"/>
      <c r="D1935"/>
      <c r="E1935"/>
      <c r="F1935"/>
      <c r="G1935"/>
      <c r="H1935"/>
      <c r="I1935"/>
      <c r="J1935"/>
      <c r="K1935"/>
      <c r="L1935"/>
      <c r="M1935" s="16"/>
      <c r="N1935"/>
      <c r="O1935"/>
      <c r="P1935"/>
    </row>
    <row r="1936" spans="1:16" ht="15" x14ac:dyDescent="0.2">
      <c r="A1936"/>
      <c r="B1936"/>
      <c r="C1936"/>
      <c r="D1936"/>
      <c r="E1936"/>
      <c r="F1936"/>
      <c r="G1936"/>
      <c r="H1936"/>
      <c r="I1936"/>
      <c r="J1936"/>
      <c r="K1936"/>
      <c r="L1936"/>
      <c r="M1936" s="16"/>
      <c r="N1936"/>
      <c r="O1936"/>
      <c r="P1936"/>
    </row>
    <row r="1937" spans="1:16" ht="15" x14ac:dyDescent="0.2">
      <c r="A1937"/>
      <c r="B1937"/>
      <c r="C1937"/>
      <c r="D1937"/>
      <c r="E1937"/>
      <c r="F1937"/>
      <c r="G1937"/>
      <c r="H1937"/>
      <c r="I1937"/>
      <c r="J1937"/>
      <c r="K1937"/>
      <c r="L1937"/>
      <c r="M1937" s="16"/>
      <c r="N1937"/>
      <c r="O1937"/>
      <c r="P1937"/>
    </row>
    <row r="1938" spans="1:16" ht="15" x14ac:dyDescent="0.2">
      <c r="A1938"/>
      <c r="B1938"/>
      <c r="C1938"/>
      <c r="D1938"/>
      <c r="E1938"/>
      <c r="F1938"/>
      <c r="G1938"/>
      <c r="H1938"/>
      <c r="I1938"/>
      <c r="J1938"/>
      <c r="K1938"/>
      <c r="L1938"/>
      <c r="M1938" s="16"/>
      <c r="N1938"/>
      <c r="O1938"/>
      <c r="P1938"/>
    </row>
    <row r="1939" spans="1:16" ht="15" x14ac:dyDescent="0.2">
      <c r="A1939"/>
      <c r="B1939"/>
      <c r="C1939"/>
      <c r="D1939"/>
      <c r="E1939"/>
      <c r="F1939"/>
      <c r="G1939"/>
      <c r="H1939"/>
      <c r="I1939"/>
      <c r="J1939"/>
      <c r="K1939"/>
      <c r="L1939"/>
      <c r="M1939" s="16"/>
      <c r="N1939"/>
      <c r="O1939"/>
      <c r="P1939"/>
    </row>
    <row r="1940" spans="1:16" ht="15" x14ac:dyDescent="0.2">
      <c r="A1940"/>
      <c r="B1940"/>
      <c r="C1940"/>
      <c r="D1940"/>
      <c r="E1940"/>
      <c r="F1940"/>
      <c r="G1940"/>
      <c r="H1940"/>
      <c r="I1940"/>
      <c r="J1940"/>
      <c r="K1940"/>
      <c r="L1940"/>
      <c r="M1940" s="16"/>
      <c r="N1940"/>
      <c r="O1940"/>
      <c r="P1940"/>
    </row>
    <row r="1941" spans="1:16" ht="15" x14ac:dyDescent="0.2">
      <c r="A1941"/>
      <c r="B1941"/>
      <c r="C1941"/>
      <c r="D1941"/>
      <c r="E1941"/>
      <c r="F1941"/>
      <c r="G1941"/>
      <c r="H1941"/>
      <c r="I1941"/>
      <c r="J1941"/>
      <c r="K1941"/>
      <c r="L1941"/>
      <c r="M1941" s="16"/>
      <c r="N1941"/>
      <c r="O1941"/>
      <c r="P1941"/>
    </row>
    <row r="1942" spans="1:16" ht="15" x14ac:dyDescent="0.2">
      <c r="A1942"/>
      <c r="B1942"/>
      <c r="C1942"/>
      <c r="D1942"/>
      <c r="E1942"/>
      <c r="F1942"/>
      <c r="G1942"/>
      <c r="H1942"/>
      <c r="I1942"/>
      <c r="J1942"/>
      <c r="K1942"/>
      <c r="L1942"/>
      <c r="M1942" s="16"/>
      <c r="N1942"/>
      <c r="O1942"/>
      <c r="P1942"/>
    </row>
    <row r="1943" spans="1:16" ht="15" x14ac:dyDescent="0.2">
      <c r="A1943"/>
      <c r="B1943"/>
      <c r="C1943"/>
      <c r="D1943"/>
      <c r="E1943"/>
      <c r="F1943"/>
      <c r="G1943"/>
      <c r="H1943"/>
      <c r="I1943"/>
      <c r="J1943"/>
      <c r="K1943"/>
      <c r="L1943"/>
      <c r="M1943" s="16"/>
      <c r="N1943"/>
      <c r="O1943"/>
      <c r="P1943"/>
    </row>
    <row r="1944" spans="1:16" ht="15" x14ac:dyDescent="0.2">
      <c r="A1944"/>
      <c r="B1944"/>
      <c r="C1944"/>
      <c r="D1944"/>
      <c r="E1944"/>
      <c r="F1944"/>
      <c r="G1944"/>
      <c r="H1944"/>
      <c r="I1944"/>
      <c r="J1944"/>
      <c r="K1944"/>
      <c r="L1944"/>
      <c r="M1944" s="16"/>
      <c r="N1944"/>
      <c r="O1944"/>
      <c r="P1944"/>
    </row>
    <row r="1945" spans="1:16" ht="15" x14ac:dyDescent="0.2">
      <c r="A1945"/>
      <c r="B1945"/>
      <c r="C1945"/>
      <c r="D1945"/>
      <c r="E1945"/>
      <c r="F1945"/>
      <c r="G1945"/>
      <c r="H1945"/>
      <c r="I1945"/>
      <c r="J1945"/>
      <c r="K1945"/>
      <c r="L1945"/>
      <c r="M1945" s="16"/>
      <c r="N1945"/>
      <c r="O1945"/>
      <c r="P1945"/>
    </row>
    <row r="1946" spans="1:16" ht="15" x14ac:dyDescent="0.2">
      <c r="A1946"/>
      <c r="B1946"/>
      <c r="C1946"/>
      <c r="D1946"/>
      <c r="E1946"/>
      <c r="F1946"/>
      <c r="G1946"/>
      <c r="H1946"/>
      <c r="I1946"/>
      <c r="J1946"/>
      <c r="K1946"/>
      <c r="L1946"/>
      <c r="M1946" s="16"/>
      <c r="N1946"/>
      <c r="O1946"/>
      <c r="P1946"/>
    </row>
    <row r="1947" spans="1:16" ht="15" x14ac:dyDescent="0.2">
      <c r="A1947"/>
      <c r="B1947"/>
      <c r="C1947"/>
      <c r="D1947"/>
      <c r="E1947"/>
      <c r="F1947"/>
      <c r="G1947"/>
      <c r="H1947"/>
      <c r="I1947"/>
      <c r="J1947"/>
      <c r="K1947"/>
      <c r="L1947"/>
      <c r="M1947" s="16"/>
      <c r="N1947"/>
      <c r="O1947"/>
      <c r="P1947"/>
    </row>
    <row r="1948" spans="1:16" ht="15" x14ac:dyDescent="0.2">
      <c r="A1948"/>
      <c r="B1948"/>
      <c r="C1948"/>
      <c r="D1948"/>
      <c r="E1948"/>
      <c r="F1948"/>
      <c r="G1948"/>
      <c r="H1948"/>
      <c r="I1948"/>
      <c r="J1948"/>
      <c r="K1948"/>
      <c r="L1948"/>
      <c r="M1948" s="16"/>
      <c r="N1948"/>
      <c r="O1948"/>
      <c r="P1948"/>
    </row>
    <row r="1949" spans="1:16" ht="15" x14ac:dyDescent="0.2">
      <c r="A1949"/>
      <c r="B1949"/>
      <c r="C1949"/>
      <c r="D1949"/>
      <c r="E1949"/>
      <c r="F1949"/>
      <c r="G1949"/>
      <c r="H1949"/>
      <c r="I1949"/>
      <c r="J1949"/>
      <c r="K1949"/>
      <c r="L1949"/>
      <c r="M1949" s="16"/>
      <c r="N1949"/>
      <c r="O1949"/>
      <c r="P1949"/>
    </row>
    <row r="1950" spans="1:16" ht="15" x14ac:dyDescent="0.2">
      <c r="A1950"/>
      <c r="B1950"/>
      <c r="C1950"/>
      <c r="D1950"/>
      <c r="E1950"/>
      <c r="F1950"/>
      <c r="G1950"/>
      <c r="H1950"/>
      <c r="I1950"/>
      <c r="J1950"/>
      <c r="K1950"/>
      <c r="L1950"/>
      <c r="M1950" s="16"/>
      <c r="N1950"/>
      <c r="O1950"/>
      <c r="P1950"/>
    </row>
    <row r="1951" spans="1:16" ht="15" x14ac:dyDescent="0.2">
      <c r="A1951"/>
      <c r="B1951"/>
      <c r="C1951"/>
      <c r="D1951"/>
      <c r="E1951"/>
      <c r="F1951"/>
      <c r="G1951"/>
      <c r="H1951"/>
      <c r="I1951"/>
      <c r="J1951"/>
      <c r="K1951"/>
      <c r="L1951"/>
      <c r="M1951" s="16"/>
      <c r="N1951"/>
      <c r="O1951"/>
      <c r="P1951"/>
    </row>
    <row r="1952" spans="1:16" ht="15" x14ac:dyDescent="0.2">
      <c r="A1952"/>
      <c r="B1952"/>
      <c r="C1952"/>
      <c r="D1952"/>
      <c r="E1952"/>
      <c r="F1952"/>
      <c r="G1952"/>
      <c r="H1952"/>
      <c r="I1952"/>
      <c r="J1952"/>
      <c r="K1952"/>
      <c r="L1952"/>
      <c r="M1952" s="16"/>
      <c r="N1952"/>
      <c r="O1952"/>
      <c r="P1952"/>
    </row>
    <row r="1953" spans="1:16" ht="15" x14ac:dyDescent="0.2">
      <c r="A1953"/>
      <c r="B1953"/>
      <c r="C1953"/>
      <c r="D1953"/>
      <c r="E1953"/>
      <c r="F1953"/>
      <c r="G1953"/>
      <c r="H1953"/>
      <c r="I1953"/>
      <c r="J1953"/>
      <c r="K1953"/>
      <c r="L1953"/>
      <c r="M1953" s="16"/>
      <c r="N1953"/>
      <c r="O1953"/>
      <c r="P1953"/>
    </row>
    <row r="1954" spans="1:16" ht="15" x14ac:dyDescent="0.2">
      <c r="A1954"/>
      <c r="B1954"/>
      <c r="C1954"/>
      <c r="D1954"/>
      <c r="E1954"/>
      <c r="F1954"/>
      <c r="G1954"/>
      <c r="H1954"/>
      <c r="I1954"/>
      <c r="J1954"/>
      <c r="K1954"/>
      <c r="L1954"/>
      <c r="M1954" s="16"/>
      <c r="N1954"/>
      <c r="O1954"/>
      <c r="P1954"/>
    </row>
    <row r="1955" spans="1:16" ht="15" x14ac:dyDescent="0.2">
      <c r="A1955"/>
      <c r="B1955"/>
      <c r="C1955"/>
      <c r="D1955"/>
      <c r="E1955"/>
      <c r="F1955"/>
      <c r="G1955"/>
      <c r="H1955"/>
      <c r="I1955"/>
      <c r="J1955"/>
      <c r="K1955"/>
      <c r="L1955"/>
      <c r="M1955" s="16"/>
      <c r="N1955"/>
      <c r="O1955"/>
      <c r="P1955"/>
    </row>
    <row r="1956" spans="1:16" ht="15" x14ac:dyDescent="0.2">
      <c r="A1956"/>
      <c r="B1956"/>
      <c r="C1956"/>
      <c r="D1956"/>
      <c r="E1956"/>
      <c r="F1956"/>
      <c r="G1956"/>
      <c r="H1956"/>
      <c r="I1956"/>
      <c r="J1956"/>
      <c r="K1956"/>
      <c r="L1956"/>
      <c r="M1956" s="16"/>
      <c r="N1956"/>
      <c r="O1956"/>
      <c r="P1956"/>
    </row>
    <row r="1957" spans="1:16" ht="15" x14ac:dyDescent="0.2">
      <c r="A1957"/>
      <c r="B1957"/>
      <c r="C1957"/>
      <c r="D1957"/>
      <c r="E1957"/>
      <c r="F1957"/>
      <c r="G1957"/>
      <c r="H1957"/>
      <c r="I1957"/>
      <c r="J1957"/>
      <c r="K1957"/>
      <c r="L1957"/>
      <c r="M1957" s="16"/>
      <c r="N1957"/>
      <c r="O1957"/>
      <c r="P1957"/>
    </row>
    <row r="1958" spans="1:16" ht="15" x14ac:dyDescent="0.2">
      <c r="A1958"/>
      <c r="B1958"/>
      <c r="C1958"/>
      <c r="D1958"/>
      <c r="E1958"/>
      <c r="F1958"/>
      <c r="G1958"/>
      <c r="H1958"/>
      <c r="I1958"/>
      <c r="J1958"/>
      <c r="K1958"/>
      <c r="L1958"/>
      <c r="M1958" s="16"/>
      <c r="N1958"/>
      <c r="O1958"/>
      <c r="P1958"/>
    </row>
    <row r="1959" spans="1:16" ht="15" x14ac:dyDescent="0.2">
      <c r="A1959"/>
      <c r="B1959"/>
      <c r="C1959"/>
      <c r="D1959"/>
      <c r="E1959"/>
      <c r="F1959"/>
      <c r="G1959"/>
      <c r="H1959"/>
      <c r="I1959"/>
      <c r="J1959"/>
      <c r="K1959"/>
      <c r="L1959"/>
      <c r="M1959" s="16"/>
      <c r="N1959"/>
      <c r="O1959"/>
      <c r="P1959"/>
    </row>
    <row r="1960" spans="1:16" ht="15" x14ac:dyDescent="0.2">
      <c r="A1960"/>
      <c r="B1960"/>
      <c r="C1960"/>
      <c r="D1960"/>
      <c r="E1960"/>
      <c r="F1960"/>
      <c r="G1960"/>
      <c r="H1960"/>
      <c r="I1960"/>
      <c r="J1960"/>
      <c r="K1960"/>
      <c r="L1960"/>
      <c r="M1960" s="16"/>
      <c r="N1960"/>
      <c r="O1960"/>
      <c r="P1960"/>
    </row>
    <row r="1961" spans="1:16" ht="15" x14ac:dyDescent="0.2">
      <c r="A1961"/>
      <c r="B1961"/>
      <c r="C1961"/>
      <c r="D1961"/>
      <c r="E1961"/>
      <c r="F1961"/>
      <c r="G1961"/>
      <c r="H1961"/>
      <c r="I1961"/>
      <c r="J1961"/>
      <c r="K1961"/>
      <c r="L1961"/>
      <c r="M1961" s="16"/>
      <c r="N1961"/>
      <c r="O1961"/>
      <c r="P1961"/>
    </row>
    <row r="1962" spans="1:16" ht="15" x14ac:dyDescent="0.2">
      <c r="A1962"/>
      <c r="B1962"/>
      <c r="C1962"/>
      <c r="D1962"/>
      <c r="E1962"/>
      <c r="F1962"/>
      <c r="G1962"/>
      <c r="H1962"/>
      <c r="I1962"/>
      <c r="J1962"/>
      <c r="K1962"/>
      <c r="L1962"/>
      <c r="M1962" s="16"/>
      <c r="N1962"/>
      <c r="O1962"/>
      <c r="P1962"/>
    </row>
    <row r="1963" spans="1:16" ht="15" x14ac:dyDescent="0.2">
      <c r="A1963"/>
      <c r="B1963"/>
      <c r="C1963"/>
      <c r="D1963"/>
      <c r="E1963"/>
      <c r="F1963"/>
      <c r="G1963"/>
      <c r="H1963"/>
      <c r="I1963"/>
      <c r="J1963"/>
      <c r="K1963"/>
      <c r="L1963"/>
      <c r="M1963" s="16"/>
      <c r="N1963"/>
      <c r="O1963"/>
      <c r="P1963"/>
    </row>
    <row r="1964" spans="1:16" ht="15" x14ac:dyDescent="0.2">
      <c r="A1964"/>
      <c r="B1964"/>
      <c r="C1964"/>
      <c r="D1964"/>
      <c r="E1964"/>
      <c r="F1964"/>
      <c r="G1964"/>
      <c r="H1964"/>
      <c r="I1964"/>
      <c r="J1964"/>
      <c r="K1964"/>
      <c r="L1964"/>
      <c r="M1964" s="16"/>
      <c r="N1964"/>
      <c r="O1964"/>
      <c r="P1964"/>
    </row>
    <row r="1965" spans="1:16" ht="15" x14ac:dyDescent="0.2">
      <c r="A1965"/>
      <c r="B1965"/>
      <c r="C1965"/>
      <c r="D1965"/>
      <c r="E1965"/>
      <c r="F1965"/>
      <c r="G1965"/>
      <c r="H1965"/>
      <c r="I1965"/>
      <c r="J1965"/>
      <c r="K1965"/>
      <c r="L1965"/>
      <c r="M1965" s="16"/>
      <c r="N1965"/>
      <c r="O1965"/>
      <c r="P1965"/>
    </row>
    <row r="1966" spans="1:16" ht="15" x14ac:dyDescent="0.2">
      <c r="A1966"/>
      <c r="B1966"/>
      <c r="C1966"/>
      <c r="D1966"/>
      <c r="E1966"/>
      <c r="F1966"/>
      <c r="G1966"/>
      <c r="H1966"/>
      <c r="I1966"/>
      <c r="J1966"/>
      <c r="K1966"/>
      <c r="L1966"/>
      <c r="M1966" s="16"/>
      <c r="N1966"/>
      <c r="O1966"/>
      <c r="P1966"/>
    </row>
    <row r="1967" spans="1:16" ht="15" x14ac:dyDescent="0.2">
      <c r="A1967"/>
      <c r="B1967"/>
      <c r="C1967"/>
      <c r="D1967"/>
      <c r="E1967"/>
      <c r="F1967"/>
      <c r="G1967"/>
      <c r="H1967"/>
      <c r="I1967"/>
      <c r="J1967"/>
      <c r="K1967"/>
      <c r="L1967"/>
      <c r="M1967" s="16"/>
      <c r="N1967"/>
      <c r="O1967"/>
      <c r="P1967"/>
    </row>
    <row r="1968" spans="1:16" ht="15" x14ac:dyDescent="0.2">
      <c r="A1968"/>
      <c r="B1968"/>
      <c r="C1968"/>
      <c r="D1968"/>
      <c r="E1968"/>
      <c r="F1968"/>
      <c r="G1968"/>
      <c r="H1968"/>
      <c r="I1968"/>
      <c r="J1968"/>
      <c r="K1968"/>
      <c r="L1968"/>
      <c r="M1968" s="16"/>
      <c r="N1968"/>
      <c r="O1968"/>
      <c r="P1968"/>
    </row>
    <row r="1969" spans="1:16" ht="15" x14ac:dyDescent="0.2">
      <c r="A1969"/>
      <c r="B1969"/>
      <c r="C1969"/>
      <c r="D1969"/>
      <c r="E1969"/>
      <c r="F1969"/>
      <c r="G1969"/>
      <c r="H1969"/>
      <c r="I1969"/>
      <c r="J1969"/>
      <c r="K1969"/>
      <c r="L1969"/>
      <c r="M1969" s="16"/>
      <c r="N1969"/>
      <c r="O1969"/>
      <c r="P1969"/>
    </row>
    <row r="1970" spans="1:16" ht="15" x14ac:dyDescent="0.2">
      <c r="A1970"/>
      <c r="B1970"/>
      <c r="C1970"/>
      <c r="D1970"/>
      <c r="E1970"/>
      <c r="F1970"/>
      <c r="G1970"/>
      <c r="H1970"/>
      <c r="I1970"/>
      <c r="J1970"/>
      <c r="K1970"/>
      <c r="L1970"/>
      <c r="M1970" s="16"/>
      <c r="N1970"/>
      <c r="O1970"/>
      <c r="P1970"/>
    </row>
    <row r="1971" spans="1:16" ht="15" x14ac:dyDescent="0.2">
      <c r="A1971"/>
      <c r="B1971"/>
      <c r="C1971"/>
      <c r="D1971"/>
      <c r="E1971"/>
      <c r="F1971"/>
      <c r="G1971"/>
      <c r="H1971"/>
      <c r="I1971"/>
      <c r="J1971"/>
      <c r="K1971"/>
      <c r="L1971"/>
      <c r="M1971" s="16"/>
      <c r="N1971"/>
      <c r="O1971"/>
      <c r="P1971"/>
    </row>
    <row r="1972" spans="1:16" ht="15" x14ac:dyDescent="0.2">
      <c r="A1972"/>
      <c r="B1972"/>
      <c r="C1972"/>
      <c r="D1972"/>
      <c r="E1972"/>
      <c r="F1972"/>
      <c r="G1972"/>
      <c r="H1972"/>
      <c r="I1972"/>
      <c r="J1972"/>
      <c r="K1972"/>
      <c r="L1972"/>
      <c r="M1972" s="16"/>
      <c r="N1972"/>
      <c r="O1972"/>
      <c r="P1972"/>
    </row>
    <row r="1973" spans="1:16" ht="15" x14ac:dyDescent="0.2">
      <c r="A1973"/>
      <c r="B1973"/>
      <c r="C1973"/>
      <c r="D1973"/>
      <c r="E1973"/>
      <c r="F1973"/>
      <c r="G1973"/>
      <c r="H1973"/>
      <c r="I1973"/>
      <c r="J1973"/>
      <c r="K1973"/>
      <c r="L1973"/>
      <c r="M1973" s="16"/>
      <c r="N1973"/>
      <c r="O1973"/>
      <c r="P1973"/>
    </row>
    <row r="1974" spans="1:16" ht="15" x14ac:dyDescent="0.2">
      <c r="A1974"/>
      <c r="B1974"/>
      <c r="C1974"/>
      <c r="D1974"/>
      <c r="E1974"/>
      <c r="F1974"/>
      <c r="G1974"/>
      <c r="H1974"/>
      <c r="I1974"/>
      <c r="J1974"/>
      <c r="K1974"/>
      <c r="L1974"/>
      <c r="M1974" s="16"/>
      <c r="N1974"/>
      <c r="O1974"/>
      <c r="P1974"/>
    </row>
    <row r="1975" spans="1:16" ht="15" x14ac:dyDescent="0.2">
      <c r="A1975"/>
      <c r="B1975"/>
      <c r="C1975"/>
      <c r="D1975"/>
      <c r="E1975"/>
      <c r="F1975"/>
      <c r="G1975"/>
      <c r="H1975"/>
      <c r="I1975"/>
      <c r="J1975"/>
      <c r="K1975"/>
      <c r="L1975"/>
      <c r="M1975" s="16"/>
      <c r="N1975"/>
      <c r="O1975"/>
      <c r="P1975"/>
    </row>
    <row r="1976" spans="1:16" ht="15" x14ac:dyDescent="0.2">
      <c r="A1976"/>
      <c r="B1976"/>
      <c r="C1976"/>
      <c r="D1976"/>
      <c r="E1976"/>
      <c r="F1976"/>
      <c r="G1976"/>
      <c r="H1976"/>
      <c r="I1976"/>
      <c r="J1976"/>
      <c r="K1976"/>
      <c r="L1976"/>
      <c r="M1976" s="16"/>
      <c r="N1976"/>
      <c r="O1976"/>
      <c r="P1976"/>
    </row>
    <row r="1977" spans="1:16" ht="15" x14ac:dyDescent="0.2">
      <c r="A1977"/>
      <c r="B1977"/>
      <c r="C1977"/>
      <c r="D1977"/>
      <c r="E1977"/>
      <c r="F1977"/>
      <c r="G1977"/>
      <c r="H1977"/>
      <c r="I1977"/>
      <c r="J1977"/>
      <c r="K1977"/>
      <c r="L1977"/>
      <c r="M1977" s="16"/>
      <c r="N1977"/>
      <c r="O1977"/>
      <c r="P1977"/>
    </row>
    <row r="1978" spans="1:16" ht="15" x14ac:dyDescent="0.2">
      <c r="A1978"/>
      <c r="B1978"/>
      <c r="C1978"/>
      <c r="D1978"/>
      <c r="E1978"/>
      <c r="F1978"/>
      <c r="G1978"/>
      <c r="H1978"/>
      <c r="I1978"/>
      <c r="J1978"/>
      <c r="K1978"/>
      <c r="L1978"/>
      <c r="M1978" s="16"/>
      <c r="N1978"/>
      <c r="O1978"/>
      <c r="P1978"/>
    </row>
    <row r="1979" spans="1:16" ht="15" x14ac:dyDescent="0.2">
      <c r="A1979"/>
      <c r="B1979"/>
      <c r="C1979"/>
      <c r="D1979"/>
      <c r="E1979"/>
      <c r="F1979"/>
      <c r="G1979"/>
      <c r="H1979"/>
      <c r="I1979"/>
      <c r="J1979"/>
      <c r="K1979"/>
      <c r="L1979"/>
      <c r="M1979" s="16"/>
      <c r="N1979"/>
      <c r="O1979"/>
      <c r="P1979"/>
    </row>
    <row r="1980" spans="1:16" ht="15" x14ac:dyDescent="0.2">
      <c r="A1980"/>
      <c r="B1980"/>
      <c r="C1980"/>
      <c r="D1980"/>
      <c r="E1980"/>
      <c r="F1980"/>
      <c r="G1980"/>
      <c r="H1980"/>
      <c r="I1980"/>
      <c r="J1980"/>
      <c r="K1980"/>
      <c r="L1980"/>
      <c r="M1980" s="16"/>
      <c r="N1980"/>
      <c r="O1980"/>
      <c r="P1980"/>
    </row>
    <row r="1981" spans="1:16" ht="15" x14ac:dyDescent="0.2">
      <c r="A1981"/>
      <c r="B1981"/>
      <c r="C1981"/>
      <c r="D1981"/>
      <c r="E1981"/>
      <c r="F1981"/>
      <c r="G1981"/>
      <c r="H1981"/>
      <c r="I1981"/>
      <c r="J1981"/>
      <c r="K1981"/>
      <c r="L1981"/>
      <c r="M1981" s="16"/>
      <c r="N1981"/>
      <c r="O1981"/>
      <c r="P1981"/>
    </row>
    <row r="1982" spans="1:16" ht="15" x14ac:dyDescent="0.2">
      <c r="A1982"/>
      <c r="B1982"/>
      <c r="C1982"/>
      <c r="D1982"/>
      <c r="E1982"/>
      <c r="F1982"/>
      <c r="G1982"/>
      <c r="H1982"/>
      <c r="I1982"/>
      <c r="J1982"/>
      <c r="K1982"/>
      <c r="L1982"/>
      <c r="M1982" s="16"/>
      <c r="N1982"/>
      <c r="O1982"/>
      <c r="P1982"/>
    </row>
    <row r="1983" spans="1:16" ht="15" x14ac:dyDescent="0.2">
      <c r="A1983"/>
      <c r="B1983"/>
      <c r="C1983"/>
      <c r="D1983"/>
      <c r="E1983"/>
      <c r="F1983"/>
      <c r="G1983"/>
      <c r="H1983"/>
      <c r="I1983"/>
      <c r="J1983"/>
      <c r="K1983"/>
      <c r="L1983"/>
      <c r="M1983" s="16"/>
      <c r="N1983"/>
      <c r="O1983"/>
      <c r="P1983"/>
    </row>
    <row r="1984" spans="1:16" ht="15" x14ac:dyDescent="0.2">
      <c r="A1984"/>
      <c r="B1984"/>
      <c r="C1984"/>
      <c r="D1984"/>
      <c r="E1984"/>
      <c r="F1984"/>
      <c r="G1984"/>
      <c r="H1984"/>
      <c r="I1984"/>
      <c r="J1984"/>
      <c r="K1984"/>
      <c r="L1984"/>
      <c r="M1984" s="16"/>
      <c r="N1984"/>
      <c r="O1984"/>
      <c r="P1984"/>
    </row>
    <row r="1985" spans="1:16" ht="15" x14ac:dyDescent="0.2">
      <c r="A1985"/>
      <c r="B1985"/>
      <c r="C1985"/>
      <c r="D1985"/>
      <c r="E1985"/>
      <c r="F1985"/>
      <c r="G1985"/>
      <c r="H1985"/>
      <c r="I1985"/>
      <c r="J1985"/>
      <c r="K1985"/>
      <c r="L1985"/>
      <c r="M1985" s="16"/>
      <c r="N1985"/>
      <c r="O1985"/>
      <c r="P1985"/>
    </row>
    <row r="1986" spans="1:16" ht="15" x14ac:dyDescent="0.2">
      <c r="A1986"/>
      <c r="B1986"/>
      <c r="C1986"/>
      <c r="D1986"/>
      <c r="E1986"/>
      <c r="F1986"/>
      <c r="G1986"/>
      <c r="H1986"/>
      <c r="I1986"/>
      <c r="J1986"/>
      <c r="K1986"/>
      <c r="L1986"/>
      <c r="M1986" s="16"/>
      <c r="N1986"/>
      <c r="O1986"/>
      <c r="P1986"/>
    </row>
    <row r="1987" spans="1:16" ht="15" x14ac:dyDescent="0.2">
      <c r="A1987"/>
      <c r="B1987"/>
      <c r="C1987"/>
      <c r="D1987"/>
      <c r="E1987"/>
      <c r="F1987"/>
      <c r="G1987"/>
      <c r="H1987"/>
      <c r="I1987"/>
      <c r="J1987"/>
      <c r="K1987"/>
      <c r="L1987"/>
      <c r="M1987" s="16"/>
      <c r="N1987"/>
      <c r="O1987"/>
      <c r="P1987"/>
    </row>
    <row r="1988" spans="1:16" ht="15" x14ac:dyDescent="0.2">
      <c r="A1988"/>
      <c r="B1988"/>
      <c r="C1988"/>
      <c r="D1988"/>
      <c r="E1988"/>
      <c r="F1988"/>
      <c r="G1988"/>
      <c r="H1988"/>
      <c r="I1988"/>
      <c r="J1988"/>
      <c r="K1988"/>
      <c r="L1988"/>
      <c r="M1988" s="16"/>
      <c r="N1988"/>
      <c r="O1988"/>
      <c r="P1988"/>
    </row>
    <row r="1989" spans="1:16" ht="15" x14ac:dyDescent="0.2">
      <c r="A1989"/>
      <c r="B1989"/>
      <c r="C1989"/>
      <c r="D1989"/>
      <c r="E1989"/>
      <c r="F1989"/>
      <c r="G1989"/>
      <c r="H1989"/>
      <c r="I1989"/>
      <c r="J1989"/>
      <c r="K1989"/>
      <c r="L1989"/>
      <c r="M1989" s="16"/>
      <c r="N1989"/>
      <c r="O1989"/>
      <c r="P1989"/>
    </row>
    <row r="1990" spans="1:16" ht="15" x14ac:dyDescent="0.2">
      <c r="A1990"/>
      <c r="B1990"/>
      <c r="C1990"/>
      <c r="D1990"/>
      <c r="E1990"/>
      <c r="F1990"/>
      <c r="G1990"/>
      <c r="H1990"/>
      <c r="I1990"/>
      <c r="J1990"/>
      <c r="K1990"/>
      <c r="L1990"/>
      <c r="M1990" s="16"/>
      <c r="N1990"/>
      <c r="O1990"/>
      <c r="P1990"/>
    </row>
    <row r="1991" spans="1:16" ht="15" x14ac:dyDescent="0.2">
      <c r="A1991"/>
      <c r="B1991"/>
      <c r="C1991"/>
      <c r="D1991"/>
      <c r="E1991"/>
      <c r="F1991"/>
      <c r="G1991"/>
      <c r="H1991"/>
      <c r="I1991"/>
      <c r="J1991"/>
      <c r="K1991"/>
      <c r="L1991"/>
      <c r="M1991" s="16"/>
      <c r="N1991"/>
      <c r="O1991"/>
      <c r="P1991"/>
    </row>
    <row r="1992" spans="1:16" ht="15" x14ac:dyDescent="0.2">
      <c r="A1992"/>
      <c r="B1992"/>
      <c r="C1992"/>
      <c r="D1992"/>
      <c r="E1992"/>
      <c r="F1992"/>
      <c r="G1992"/>
      <c r="H1992"/>
      <c r="I1992"/>
      <c r="J1992"/>
      <c r="K1992"/>
      <c r="L1992"/>
      <c r="M1992" s="16"/>
      <c r="N1992"/>
      <c r="O1992"/>
      <c r="P1992"/>
    </row>
    <row r="1993" spans="1:16" ht="15" x14ac:dyDescent="0.2">
      <c r="A1993"/>
      <c r="B1993"/>
      <c r="C1993"/>
      <c r="D1993"/>
      <c r="E1993"/>
      <c r="F1993"/>
      <c r="G1993"/>
      <c r="H1993"/>
      <c r="I1993"/>
      <c r="J1993"/>
      <c r="K1993"/>
      <c r="L1993"/>
      <c r="M1993" s="16"/>
      <c r="N1993"/>
      <c r="O1993"/>
      <c r="P1993"/>
    </row>
    <row r="1994" spans="1:16" ht="15" x14ac:dyDescent="0.2">
      <c r="A1994"/>
      <c r="B1994"/>
      <c r="C1994"/>
      <c r="D1994"/>
      <c r="E1994"/>
      <c r="F1994"/>
      <c r="G1994"/>
      <c r="H1994"/>
      <c r="I1994"/>
      <c r="J1994"/>
      <c r="K1994"/>
      <c r="L1994"/>
      <c r="M1994" s="16"/>
      <c r="N1994"/>
      <c r="O1994"/>
      <c r="P1994"/>
    </row>
    <row r="1995" spans="1:16" ht="15" x14ac:dyDescent="0.2">
      <c r="A1995"/>
      <c r="B1995"/>
      <c r="C1995"/>
      <c r="D1995"/>
      <c r="E1995"/>
      <c r="F1995"/>
      <c r="G1995"/>
      <c r="H1995"/>
      <c r="I1995"/>
      <c r="J1995"/>
      <c r="K1995"/>
      <c r="L1995"/>
      <c r="M1995" s="16"/>
      <c r="N1995"/>
      <c r="O1995"/>
      <c r="P1995"/>
    </row>
    <row r="1996" spans="1:16" ht="15" x14ac:dyDescent="0.2">
      <c r="A1996"/>
      <c r="B1996"/>
      <c r="C1996"/>
      <c r="D1996"/>
      <c r="E1996"/>
      <c r="F1996"/>
      <c r="G1996"/>
      <c r="H1996"/>
      <c r="I1996"/>
      <c r="J1996"/>
      <c r="K1996"/>
      <c r="L1996"/>
      <c r="M1996" s="16"/>
      <c r="N1996"/>
      <c r="O1996"/>
      <c r="P1996"/>
    </row>
    <row r="1997" spans="1:16" ht="15" x14ac:dyDescent="0.2">
      <c r="A1997"/>
      <c r="B1997"/>
      <c r="C1997"/>
      <c r="D1997"/>
      <c r="E1997"/>
      <c r="F1997"/>
      <c r="G1997"/>
      <c r="H1997"/>
      <c r="I1997"/>
      <c r="J1997"/>
      <c r="K1997"/>
      <c r="L1997"/>
      <c r="M1997" s="16"/>
      <c r="N1997"/>
      <c r="O1997"/>
      <c r="P1997"/>
    </row>
    <row r="1998" spans="1:16" ht="15" x14ac:dyDescent="0.2">
      <c r="A1998"/>
      <c r="B1998"/>
      <c r="C1998"/>
      <c r="D1998"/>
      <c r="E1998"/>
      <c r="F1998"/>
      <c r="G1998"/>
      <c r="H1998"/>
      <c r="I1998"/>
      <c r="J1998"/>
      <c r="K1998"/>
      <c r="L1998"/>
      <c r="M1998" s="16"/>
      <c r="N1998"/>
      <c r="O1998"/>
      <c r="P1998"/>
    </row>
    <row r="1999" spans="1:16" ht="15" x14ac:dyDescent="0.2">
      <c r="A1999"/>
      <c r="B1999"/>
      <c r="C1999"/>
      <c r="D1999"/>
      <c r="E1999"/>
      <c r="F1999"/>
      <c r="G1999"/>
      <c r="H1999"/>
      <c r="I1999"/>
      <c r="J1999"/>
      <c r="K1999"/>
      <c r="L1999"/>
      <c r="M1999" s="16"/>
      <c r="N1999"/>
      <c r="O1999"/>
      <c r="P1999"/>
    </row>
    <row r="2000" spans="1:16" ht="15" x14ac:dyDescent="0.2">
      <c r="A2000"/>
      <c r="B2000"/>
      <c r="C2000"/>
      <c r="D2000"/>
      <c r="E2000"/>
      <c r="F2000"/>
      <c r="G2000"/>
      <c r="H2000"/>
      <c r="I2000"/>
      <c r="J2000"/>
      <c r="K2000"/>
      <c r="L2000"/>
      <c r="M2000" s="16"/>
      <c r="N2000"/>
      <c r="O2000"/>
      <c r="P2000"/>
    </row>
    <row r="2001" spans="1:16" ht="15" x14ac:dyDescent="0.2">
      <c r="A2001"/>
      <c r="B2001"/>
      <c r="C2001"/>
      <c r="D2001"/>
      <c r="E2001"/>
      <c r="F2001"/>
      <c r="G2001"/>
      <c r="H2001"/>
      <c r="I2001"/>
      <c r="J2001"/>
      <c r="K2001"/>
      <c r="L2001"/>
      <c r="M2001" s="16"/>
      <c r="N2001"/>
      <c r="O2001"/>
      <c r="P2001"/>
    </row>
    <row r="2002" spans="1:16" ht="15" x14ac:dyDescent="0.2">
      <c r="A2002"/>
      <c r="B2002"/>
      <c r="C2002"/>
      <c r="D2002"/>
      <c r="E2002"/>
      <c r="F2002"/>
      <c r="G2002"/>
      <c r="H2002"/>
      <c r="I2002"/>
      <c r="J2002"/>
      <c r="K2002"/>
      <c r="L2002"/>
      <c r="M2002" s="16"/>
      <c r="N2002"/>
      <c r="O2002"/>
      <c r="P2002"/>
    </row>
    <row r="2003" spans="1:16" ht="15" x14ac:dyDescent="0.2">
      <c r="A2003"/>
      <c r="B2003"/>
      <c r="C2003"/>
      <c r="D2003"/>
      <c r="E2003"/>
      <c r="F2003"/>
      <c r="G2003"/>
      <c r="H2003"/>
      <c r="I2003"/>
      <c r="J2003"/>
      <c r="K2003"/>
      <c r="L2003"/>
      <c r="M2003" s="16"/>
      <c r="N2003"/>
      <c r="O2003"/>
      <c r="P2003"/>
    </row>
    <row r="2004" spans="1:16" ht="15" x14ac:dyDescent="0.2">
      <c r="A2004"/>
      <c r="B2004"/>
      <c r="C2004"/>
      <c r="D2004"/>
      <c r="E2004"/>
      <c r="F2004"/>
      <c r="G2004"/>
      <c r="H2004"/>
      <c r="I2004"/>
      <c r="J2004"/>
      <c r="K2004"/>
      <c r="L2004"/>
      <c r="M2004" s="16"/>
      <c r="N2004"/>
      <c r="O2004"/>
      <c r="P2004"/>
    </row>
    <row r="2005" spans="1:16" ht="15" x14ac:dyDescent="0.2">
      <c r="A2005"/>
      <c r="B2005"/>
      <c r="C2005"/>
      <c r="D2005"/>
      <c r="E2005"/>
      <c r="F2005"/>
      <c r="G2005"/>
      <c r="H2005"/>
      <c r="I2005"/>
      <c r="J2005"/>
      <c r="K2005"/>
      <c r="L2005"/>
      <c r="M2005" s="16"/>
      <c r="N2005"/>
      <c r="O2005"/>
      <c r="P2005"/>
    </row>
    <row r="2006" spans="1:16" ht="15" x14ac:dyDescent="0.2">
      <c r="A2006"/>
      <c r="B2006"/>
      <c r="C2006"/>
      <c r="D2006"/>
      <c r="E2006"/>
      <c r="F2006"/>
      <c r="G2006"/>
      <c r="H2006"/>
      <c r="I2006"/>
      <c r="J2006"/>
      <c r="K2006"/>
      <c r="L2006"/>
      <c r="M2006" s="16"/>
      <c r="N2006"/>
      <c r="O2006"/>
      <c r="P2006"/>
    </row>
    <row r="2007" spans="1:16" ht="15" x14ac:dyDescent="0.2">
      <c r="A2007"/>
      <c r="B2007"/>
      <c r="C2007"/>
      <c r="D2007"/>
      <c r="E2007"/>
      <c r="F2007"/>
      <c r="G2007"/>
      <c r="H2007"/>
      <c r="I2007"/>
      <c r="J2007"/>
      <c r="K2007"/>
      <c r="L2007"/>
      <c r="M2007" s="16"/>
      <c r="N2007"/>
      <c r="O2007"/>
      <c r="P2007"/>
    </row>
    <row r="2008" spans="1:16" ht="15" x14ac:dyDescent="0.2">
      <c r="A2008"/>
      <c r="B2008"/>
      <c r="C2008"/>
      <c r="D2008"/>
      <c r="E2008"/>
      <c r="F2008"/>
      <c r="G2008"/>
      <c r="H2008"/>
      <c r="I2008"/>
      <c r="J2008"/>
      <c r="K2008"/>
      <c r="L2008"/>
      <c r="M2008" s="16"/>
      <c r="N2008"/>
      <c r="O2008"/>
      <c r="P2008"/>
    </row>
    <row r="2009" spans="1:16" ht="15" x14ac:dyDescent="0.2">
      <c r="A2009"/>
      <c r="B2009"/>
      <c r="C2009"/>
      <c r="D2009"/>
      <c r="E2009"/>
      <c r="F2009"/>
      <c r="G2009"/>
      <c r="H2009"/>
      <c r="I2009"/>
      <c r="J2009"/>
      <c r="K2009"/>
      <c r="L2009"/>
      <c r="M2009" s="16"/>
      <c r="N2009"/>
      <c r="O2009"/>
      <c r="P2009"/>
    </row>
    <row r="2010" spans="1:16" ht="15" x14ac:dyDescent="0.2">
      <c r="A2010"/>
      <c r="B2010"/>
      <c r="C2010"/>
      <c r="D2010"/>
      <c r="E2010"/>
      <c r="F2010"/>
      <c r="G2010"/>
      <c r="H2010"/>
      <c r="I2010"/>
      <c r="J2010"/>
      <c r="K2010"/>
      <c r="L2010"/>
      <c r="M2010" s="16"/>
      <c r="N2010"/>
      <c r="O2010"/>
      <c r="P2010"/>
    </row>
    <row r="2011" spans="1:16" ht="15" x14ac:dyDescent="0.2">
      <c r="A2011"/>
      <c r="B2011"/>
      <c r="C2011"/>
      <c r="D2011"/>
      <c r="E2011"/>
      <c r="F2011"/>
      <c r="G2011"/>
      <c r="H2011"/>
      <c r="I2011"/>
      <c r="J2011"/>
      <c r="K2011"/>
      <c r="L2011"/>
      <c r="M2011" s="16"/>
      <c r="N2011"/>
      <c r="O2011"/>
      <c r="P2011"/>
    </row>
    <row r="2012" spans="1:16" ht="15" x14ac:dyDescent="0.2">
      <c r="A2012"/>
      <c r="B2012"/>
      <c r="C2012"/>
      <c r="D2012"/>
      <c r="E2012"/>
      <c r="F2012"/>
      <c r="G2012"/>
      <c r="H2012"/>
      <c r="I2012"/>
      <c r="J2012"/>
      <c r="K2012"/>
      <c r="L2012"/>
      <c r="M2012" s="16"/>
      <c r="N2012"/>
      <c r="O2012"/>
      <c r="P2012"/>
    </row>
    <row r="2013" spans="1:16" ht="15" x14ac:dyDescent="0.2">
      <c r="A2013"/>
      <c r="B2013"/>
      <c r="C2013"/>
      <c r="D2013"/>
      <c r="E2013"/>
      <c r="F2013"/>
      <c r="G2013"/>
      <c r="H2013"/>
      <c r="I2013"/>
      <c r="J2013"/>
      <c r="K2013"/>
      <c r="L2013"/>
      <c r="M2013" s="16"/>
      <c r="N2013"/>
      <c r="O2013"/>
      <c r="P2013"/>
    </row>
    <row r="2014" spans="1:16" ht="15" x14ac:dyDescent="0.2">
      <c r="A2014"/>
      <c r="B2014"/>
      <c r="C2014"/>
      <c r="D2014"/>
      <c r="E2014"/>
      <c r="F2014"/>
      <c r="G2014"/>
      <c r="H2014"/>
      <c r="I2014"/>
      <c r="J2014"/>
      <c r="K2014"/>
      <c r="L2014"/>
      <c r="M2014" s="16"/>
      <c r="N2014"/>
      <c r="O2014"/>
      <c r="P2014"/>
    </row>
    <row r="2015" spans="1:16" ht="15" x14ac:dyDescent="0.2">
      <c r="A2015"/>
      <c r="B2015"/>
      <c r="C2015"/>
      <c r="D2015"/>
      <c r="E2015"/>
      <c r="F2015"/>
      <c r="G2015"/>
      <c r="H2015"/>
      <c r="I2015"/>
      <c r="J2015"/>
      <c r="K2015"/>
      <c r="L2015"/>
      <c r="M2015" s="16"/>
      <c r="N2015"/>
      <c r="O2015"/>
      <c r="P2015"/>
    </row>
    <row r="2016" spans="1:16" ht="15" x14ac:dyDescent="0.2">
      <c r="A2016"/>
      <c r="B2016"/>
      <c r="C2016"/>
      <c r="D2016"/>
      <c r="E2016"/>
      <c r="F2016"/>
      <c r="G2016"/>
      <c r="H2016"/>
      <c r="I2016"/>
      <c r="J2016"/>
      <c r="K2016"/>
      <c r="L2016"/>
      <c r="M2016" s="16"/>
      <c r="N2016"/>
      <c r="O2016"/>
      <c r="P2016"/>
    </row>
    <row r="2017" spans="1:16" ht="15" x14ac:dyDescent="0.2">
      <c r="A2017"/>
      <c r="B2017"/>
      <c r="C2017"/>
      <c r="D2017"/>
      <c r="E2017"/>
      <c r="F2017"/>
      <c r="G2017"/>
      <c r="H2017"/>
      <c r="I2017"/>
      <c r="J2017"/>
      <c r="K2017"/>
      <c r="L2017"/>
      <c r="M2017" s="16"/>
      <c r="N2017"/>
      <c r="O2017"/>
      <c r="P2017"/>
    </row>
    <row r="2018" spans="1:16" ht="15" x14ac:dyDescent="0.2">
      <c r="A2018"/>
      <c r="B2018"/>
      <c r="C2018"/>
      <c r="D2018"/>
      <c r="E2018"/>
      <c r="F2018"/>
      <c r="G2018"/>
      <c r="H2018"/>
      <c r="I2018"/>
      <c r="J2018"/>
      <c r="K2018"/>
      <c r="L2018"/>
      <c r="M2018" s="16"/>
      <c r="N2018"/>
      <c r="O2018"/>
      <c r="P2018"/>
    </row>
    <row r="2019" spans="1:16" ht="15" x14ac:dyDescent="0.2">
      <c r="A2019"/>
      <c r="B2019"/>
      <c r="C2019"/>
      <c r="D2019"/>
      <c r="E2019"/>
      <c r="F2019"/>
      <c r="G2019"/>
      <c r="H2019"/>
      <c r="I2019"/>
      <c r="J2019"/>
      <c r="K2019"/>
      <c r="L2019"/>
      <c r="M2019" s="16"/>
      <c r="N2019"/>
      <c r="O2019"/>
      <c r="P2019"/>
    </row>
    <row r="2020" spans="1:16" ht="15" x14ac:dyDescent="0.2">
      <c r="A2020"/>
      <c r="B2020"/>
      <c r="C2020"/>
      <c r="D2020"/>
      <c r="E2020"/>
      <c r="F2020"/>
      <c r="G2020"/>
      <c r="H2020"/>
      <c r="I2020"/>
      <c r="J2020"/>
      <c r="K2020"/>
      <c r="L2020"/>
      <c r="M2020" s="16"/>
      <c r="N2020"/>
      <c r="O2020"/>
      <c r="P2020"/>
    </row>
    <row r="2021" spans="1:16" ht="15" x14ac:dyDescent="0.2">
      <c r="A2021"/>
      <c r="B2021"/>
      <c r="C2021"/>
      <c r="D2021"/>
      <c r="E2021"/>
      <c r="F2021"/>
      <c r="G2021"/>
      <c r="H2021"/>
      <c r="I2021"/>
      <c r="J2021"/>
      <c r="K2021"/>
      <c r="L2021"/>
      <c r="M2021" s="16"/>
      <c r="N2021"/>
      <c r="O2021"/>
      <c r="P2021"/>
    </row>
    <row r="2022" spans="1:16" ht="15" x14ac:dyDescent="0.2">
      <c r="A2022"/>
      <c r="B2022"/>
      <c r="C2022"/>
      <c r="D2022"/>
      <c r="E2022"/>
      <c r="F2022"/>
      <c r="G2022"/>
      <c r="H2022"/>
      <c r="I2022"/>
      <c r="J2022"/>
      <c r="K2022"/>
      <c r="L2022"/>
      <c r="M2022" s="16"/>
      <c r="N2022"/>
      <c r="O2022"/>
      <c r="P2022"/>
    </row>
    <row r="2023" spans="1:16" ht="15" x14ac:dyDescent="0.2">
      <c r="A2023"/>
      <c r="B2023"/>
      <c r="C2023"/>
      <c r="D2023"/>
      <c r="E2023"/>
      <c r="F2023"/>
      <c r="G2023"/>
      <c r="H2023"/>
      <c r="I2023"/>
      <c r="J2023"/>
      <c r="K2023"/>
      <c r="L2023"/>
      <c r="M2023" s="16"/>
      <c r="N2023"/>
      <c r="O2023"/>
      <c r="P2023"/>
    </row>
    <row r="2024" spans="1:16" ht="15" x14ac:dyDescent="0.2">
      <c r="A2024"/>
      <c r="B2024"/>
      <c r="C2024"/>
      <c r="D2024"/>
      <c r="E2024"/>
      <c r="F2024"/>
      <c r="G2024"/>
      <c r="H2024"/>
      <c r="I2024"/>
      <c r="J2024"/>
      <c r="K2024"/>
      <c r="L2024"/>
      <c r="M2024" s="16"/>
      <c r="N2024"/>
      <c r="O2024"/>
      <c r="P2024"/>
    </row>
    <row r="2025" spans="1:16" ht="15" x14ac:dyDescent="0.2">
      <c r="A2025"/>
      <c r="B2025"/>
      <c r="C2025"/>
      <c r="D2025"/>
      <c r="E2025"/>
      <c r="F2025"/>
      <c r="G2025"/>
      <c r="H2025"/>
      <c r="I2025"/>
      <c r="J2025"/>
      <c r="K2025"/>
      <c r="L2025"/>
      <c r="M2025" s="16"/>
      <c r="N2025"/>
      <c r="O2025"/>
      <c r="P2025"/>
    </row>
    <row r="2026" spans="1:16" ht="15" x14ac:dyDescent="0.2">
      <c r="A2026"/>
      <c r="B2026"/>
      <c r="C2026"/>
      <c r="D2026"/>
      <c r="E2026"/>
      <c r="F2026"/>
      <c r="G2026"/>
      <c r="H2026"/>
      <c r="I2026"/>
      <c r="J2026"/>
      <c r="K2026"/>
      <c r="L2026"/>
      <c r="M2026" s="16"/>
      <c r="N2026"/>
      <c r="O2026"/>
      <c r="P2026"/>
    </row>
    <row r="2027" spans="1:16" ht="15" x14ac:dyDescent="0.2">
      <c r="A2027"/>
      <c r="B2027"/>
      <c r="C2027"/>
      <c r="D2027"/>
      <c r="E2027"/>
      <c r="F2027"/>
      <c r="G2027"/>
      <c r="H2027"/>
      <c r="I2027"/>
      <c r="J2027"/>
      <c r="K2027"/>
      <c r="L2027"/>
      <c r="M2027" s="16"/>
      <c r="N2027"/>
      <c r="O2027"/>
      <c r="P2027"/>
    </row>
    <row r="2028" spans="1:16" ht="15" x14ac:dyDescent="0.2">
      <c r="A2028"/>
      <c r="B2028"/>
      <c r="C2028"/>
      <c r="D2028"/>
      <c r="E2028"/>
      <c r="F2028"/>
      <c r="G2028"/>
      <c r="H2028"/>
      <c r="I2028"/>
      <c r="J2028"/>
      <c r="K2028"/>
      <c r="L2028"/>
      <c r="M2028" s="16"/>
      <c r="N2028"/>
      <c r="O2028"/>
      <c r="P2028"/>
    </row>
    <row r="2029" spans="1:16" ht="15" x14ac:dyDescent="0.2">
      <c r="A2029"/>
      <c r="B2029"/>
      <c r="C2029"/>
      <c r="D2029"/>
      <c r="E2029"/>
      <c r="F2029"/>
      <c r="G2029"/>
      <c r="H2029"/>
      <c r="I2029"/>
      <c r="J2029"/>
      <c r="K2029"/>
      <c r="L2029"/>
      <c r="M2029" s="16"/>
      <c r="N2029"/>
      <c r="O2029"/>
      <c r="P2029"/>
    </row>
    <row r="2030" spans="1:16" ht="15" x14ac:dyDescent="0.2">
      <c r="A2030"/>
      <c r="B2030"/>
      <c r="C2030"/>
      <c r="D2030"/>
      <c r="E2030"/>
      <c r="F2030"/>
      <c r="G2030"/>
      <c r="H2030"/>
      <c r="I2030"/>
      <c r="J2030"/>
      <c r="K2030"/>
      <c r="L2030"/>
      <c r="M2030" s="16"/>
      <c r="N2030"/>
      <c r="O2030"/>
      <c r="P2030"/>
    </row>
    <row r="2031" spans="1:16" ht="15" x14ac:dyDescent="0.2">
      <c r="A2031"/>
      <c r="B2031"/>
      <c r="C2031"/>
      <c r="D2031"/>
      <c r="E2031"/>
      <c r="F2031"/>
      <c r="G2031"/>
      <c r="H2031"/>
      <c r="I2031"/>
      <c r="J2031"/>
      <c r="K2031"/>
      <c r="L2031"/>
      <c r="M2031" s="16"/>
      <c r="N2031"/>
      <c r="O2031"/>
      <c r="P2031"/>
    </row>
    <row r="2032" spans="1:16" ht="15" x14ac:dyDescent="0.2">
      <c r="A2032"/>
      <c r="B2032"/>
      <c r="C2032"/>
      <c r="D2032"/>
      <c r="E2032"/>
      <c r="F2032"/>
      <c r="G2032"/>
      <c r="H2032"/>
      <c r="I2032"/>
      <c r="J2032"/>
      <c r="K2032"/>
      <c r="L2032"/>
      <c r="M2032" s="16"/>
      <c r="N2032"/>
      <c r="O2032"/>
      <c r="P2032"/>
    </row>
    <row r="2033" spans="1:16" ht="15" x14ac:dyDescent="0.2">
      <c r="A2033"/>
      <c r="B2033"/>
      <c r="C2033"/>
      <c r="D2033"/>
      <c r="E2033"/>
      <c r="F2033"/>
      <c r="G2033"/>
      <c r="H2033"/>
      <c r="I2033"/>
      <c r="J2033"/>
      <c r="K2033"/>
      <c r="L2033"/>
      <c r="M2033" s="16"/>
      <c r="N2033"/>
      <c r="O2033"/>
      <c r="P2033"/>
    </row>
    <row r="2034" spans="1:16" ht="15" x14ac:dyDescent="0.2">
      <c r="A2034"/>
      <c r="B2034"/>
      <c r="C2034"/>
      <c r="D2034"/>
      <c r="E2034"/>
      <c r="F2034"/>
      <c r="G2034"/>
      <c r="H2034"/>
      <c r="I2034"/>
      <c r="J2034"/>
      <c r="K2034"/>
      <c r="L2034"/>
      <c r="M2034" s="16"/>
      <c r="N2034"/>
      <c r="O2034"/>
      <c r="P2034"/>
    </row>
    <row r="2035" spans="1:16" ht="15" x14ac:dyDescent="0.2">
      <c r="A2035"/>
      <c r="B2035"/>
      <c r="C2035"/>
      <c r="D2035"/>
      <c r="E2035"/>
      <c r="F2035"/>
      <c r="G2035"/>
      <c r="H2035"/>
      <c r="I2035"/>
      <c r="J2035"/>
      <c r="K2035"/>
      <c r="L2035"/>
      <c r="M2035" s="16"/>
      <c r="N2035"/>
      <c r="O2035"/>
      <c r="P2035"/>
    </row>
    <row r="2036" spans="1:16" ht="15" x14ac:dyDescent="0.2">
      <c r="A2036"/>
      <c r="B2036"/>
      <c r="C2036"/>
      <c r="D2036"/>
      <c r="E2036"/>
      <c r="F2036"/>
      <c r="G2036"/>
      <c r="H2036"/>
      <c r="I2036"/>
      <c r="J2036"/>
      <c r="K2036"/>
      <c r="L2036"/>
      <c r="M2036" s="16"/>
      <c r="N2036"/>
      <c r="O2036"/>
      <c r="P2036"/>
    </row>
    <row r="2037" spans="1:16" ht="15" x14ac:dyDescent="0.2">
      <c r="A2037"/>
      <c r="B2037"/>
      <c r="C2037"/>
      <c r="D2037"/>
      <c r="E2037"/>
      <c r="F2037"/>
      <c r="G2037"/>
      <c r="H2037"/>
      <c r="I2037"/>
      <c r="J2037"/>
      <c r="K2037"/>
      <c r="L2037"/>
      <c r="M2037" s="16"/>
      <c r="N2037"/>
      <c r="O2037"/>
      <c r="P2037"/>
    </row>
    <row r="2038" spans="1:16" ht="15" x14ac:dyDescent="0.2">
      <c r="A2038"/>
      <c r="B2038"/>
      <c r="C2038"/>
      <c r="D2038"/>
      <c r="E2038"/>
      <c r="F2038"/>
      <c r="G2038"/>
      <c r="H2038"/>
      <c r="I2038"/>
      <c r="J2038"/>
      <c r="K2038"/>
      <c r="L2038"/>
      <c r="M2038" s="16"/>
      <c r="N2038"/>
      <c r="O2038"/>
      <c r="P2038"/>
    </row>
    <row r="2039" spans="1:16" ht="15" x14ac:dyDescent="0.2">
      <c r="A2039"/>
      <c r="B2039"/>
      <c r="C2039"/>
      <c r="D2039"/>
      <c r="E2039"/>
      <c r="F2039"/>
      <c r="G2039"/>
      <c r="H2039"/>
      <c r="I2039"/>
      <c r="J2039"/>
      <c r="K2039"/>
      <c r="L2039"/>
      <c r="M2039" s="16"/>
      <c r="N2039"/>
      <c r="O2039"/>
      <c r="P2039"/>
    </row>
    <row r="2040" spans="1:16" ht="15" x14ac:dyDescent="0.2">
      <c r="A2040"/>
      <c r="B2040"/>
      <c r="C2040"/>
      <c r="D2040"/>
      <c r="E2040"/>
      <c r="F2040"/>
      <c r="G2040"/>
      <c r="H2040"/>
      <c r="I2040"/>
      <c r="J2040"/>
      <c r="K2040"/>
      <c r="L2040"/>
      <c r="M2040" s="16"/>
      <c r="N2040"/>
      <c r="O2040"/>
      <c r="P2040"/>
    </row>
    <row r="2041" spans="1:16" ht="15" x14ac:dyDescent="0.2">
      <c r="A2041"/>
      <c r="B2041"/>
      <c r="C2041"/>
      <c r="D2041"/>
      <c r="E2041"/>
      <c r="F2041"/>
      <c r="G2041"/>
      <c r="H2041"/>
      <c r="I2041"/>
      <c r="J2041"/>
      <c r="K2041"/>
      <c r="L2041"/>
      <c r="M2041" s="16"/>
      <c r="N2041"/>
      <c r="O2041"/>
      <c r="P2041"/>
    </row>
    <row r="2042" spans="1:16" ht="15" x14ac:dyDescent="0.2">
      <c r="A2042"/>
      <c r="B2042"/>
      <c r="C2042"/>
      <c r="D2042"/>
      <c r="E2042"/>
      <c r="F2042"/>
      <c r="G2042"/>
      <c r="H2042"/>
      <c r="I2042"/>
      <c r="J2042"/>
      <c r="K2042"/>
      <c r="L2042"/>
      <c r="M2042" s="16"/>
      <c r="N2042"/>
      <c r="O2042"/>
      <c r="P2042"/>
    </row>
    <row r="2043" spans="1:16" ht="15" x14ac:dyDescent="0.2">
      <c r="A2043"/>
      <c r="B2043"/>
      <c r="C2043"/>
      <c r="D2043"/>
      <c r="E2043"/>
      <c r="F2043"/>
      <c r="G2043"/>
      <c r="H2043"/>
      <c r="I2043"/>
      <c r="J2043"/>
      <c r="K2043"/>
      <c r="L2043"/>
      <c r="M2043" s="16"/>
      <c r="N2043"/>
      <c r="O2043"/>
      <c r="P2043"/>
    </row>
    <row r="2044" spans="1:16" ht="15" x14ac:dyDescent="0.2">
      <c r="A2044"/>
      <c r="B2044"/>
      <c r="C2044"/>
      <c r="D2044"/>
      <c r="E2044"/>
      <c r="F2044"/>
      <c r="G2044"/>
      <c r="H2044"/>
      <c r="I2044"/>
      <c r="J2044"/>
      <c r="K2044"/>
      <c r="L2044"/>
      <c r="M2044" s="16"/>
      <c r="N2044"/>
      <c r="O2044"/>
      <c r="P2044"/>
    </row>
    <row r="2045" spans="1:16" ht="15" x14ac:dyDescent="0.2">
      <c r="A2045"/>
      <c r="B2045"/>
      <c r="C2045"/>
      <c r="D2045"/>
      <c r="E2045"/>
      <c r="F2045"/>
      <c r="G2045"/>
      <c r="H2045"/>
      <c r="I2045"/>
      <c r="J2045"/>
      <c r="K2045"/>
      <c r="L2045"/>
      <c r="M2045" s="16"/>
      <c r="N2045"/>
      <c r="O2045"/>
      <c r="P2045"/>
    </row>
    <row r="2046" spans="1:16" ht="15" x14ac:dyDescent="0.2">
      <c r="A2046"/>
      <c r="B2046"/>
      <c r="C2046"/>
      <c r="D2046"/>
      <c r="E2046"/>
      <c r="F2046"/>
      <c r="G2046"/>
      <c r="H2046"/>
      <c r="I2046"/>
      <c r="J2046"/>
      <c r="K2046"/>
      <c r="L2046"/>
      <c r="M2046" s="16"/>
      <c r="N2046"/>
      <c r="O2046"/>
      <c r="P2046"/>
    </row>
    <row r="2047" spans="1:16" ht="15" x14ac:dyDescent="0.2">
      <c r="A2047"/>
      <c r="B2047"/>
      <c r="C2047"/>
      <c r="D2047"/>
      <c r="E2047"/>
      <c r="F2047"/>
      <c r="G2047"/>
      <c r="H2047"/>
      <c r="I2047"/>
      <c r="J2047"/>
      <c r="K2047"/>
      <c r="L2047"/>
      <c r="M2047" s="16"/>
      <c r="N2047"/>
      <c r="O2047"/>
      <c r="P2047"/>
    </row>
    <row r="2048" spans="1:16" ht="15" x14ac:dyDescent="0.2">
      <c r="A2048"/>
      <c r="B2048"/>
      <c r="C2048"/>
      <c r="D2048"/>
      <c r="E2048"/>
      <c r="F2048"/>
      <c r="G2048"/>
      <c r="H2048"/>
      <c r="I2048"/>
      <c r="J2048"/>
      <c r="K2048"/>
      <c r="L2048"/>
      <c r="M2048" s="16"/>
      <c r="N2048"/>
      <c r="O2048"/>
      <c r="P2048"/>
    </row>
    <row r="2049" spans="1:16" ht="15" x14ac:dyDescent="0.2">
      <c r="A2049"/>
      <c r="B2049"/>
      <c r="C2049"/>
      <c r="D2049"/>
      <c r="E2049"/>
      <c r="F2049"/>
      <c r="G2049"/>
      <c r="H2049"/>
      <c r="I2049"/>
      <c r="J2049"/>
      <c r="K2049"/>
      <c r="L2049"/>
      <c r="M2049" s="16"/>
      <c r="N2049"/>
      <c r="O2049"/>
      <c r="P2049"/>
    </row>
    <row r="2050" spans="1:16" ht="15" x14ac:dyDescent="0.2">
      <c r="A2050"/>
      <c r="B2050"/>
      <c r="C2050"/>
      <c r="D2050"/>
      <c r="E2050"/>
      <c r="F2050"/>
      <c r="G2050"/>
      <c r="H2050"/>
      <c r="I2050"/>
      <c r="J2050"/>
      <c r="K2050"/>
      <c r="L2050"/>
      <c r="M2050" s="16"/>
      <c r="N2050"/>
      <c r="O2050"/>
      <c r="P2050"/>
    </row>
    <row r="2051" spans="1:16" ht="15" x14ac:dyDescent="0.2">
      <c r="A2051"/>
      <c r="B2051"/>
      <c r="C2051"/>
      <c r="D2051"/>
      <c r="E2051"/>
      <c r="F2051"/>
      <c r="G2051"/>
      <c r="H2051"/>
      <c r="I2051"/>
      <c r="J2051"/>
      <c r="K2051"/>
      <c r="L2051"/>
      <c r="M2051" s="16"/>
      <c r="N2051"/>
      <c r="O2051"/>
      <c r="P2051"/>
    </row>
    <row r="2052" spans="1:16" ht="15" x14ac:dyDescent="0.2">
      <c r="A2052"/>
      <c r="B2052"/>
      <c r="C2052"/>
      <c r="D2052"/>
      <c r="E2052"/>
      <c r="F2052"/>
      <c r="G2052"/>
      <c r="H2052"/>
      <c r="I2052"/>
      <c r="J2052"/>
      <c r="K2052"/>
      <c r="L2052"/>
      <c r="M2052" s="16"/>
      <c r="N2052"/>
      <c r="O2052"/>
      <c r="P2052"/>
    </row>
    <row r="2053" spans="1:16" ht="15" x14ac:dyDescent="0.2">
      <c r="A2053"/>
      <c r="B2053"/>
      <c r="C2053"/>
      <c r="D2053"/>
      <c r="E2053"/>
      <c r="F2053"/>
      <c r="G2053"/>
      <c r="H2053"/>
      <c r="I2053"/>
      <c r="J2053"/>
      <c r="K2053"/>
      <c r="L2053"/>
      <c r="M2053" s="16"/>
      <c r="N2053"/>
      <c r="O2053"/>
      <c r="P2053"/>
    </row>
    <row r="2054" spans="1:16" ht="15" x14ac:dyDescent="0.2">
      <c r="A2054"/>
      <c r="B2054"/>
      <c r="C2054"/>
      <c r="D2054"/>
      <c r="E2054"/>
      <c r="F2054"/>
      <c r="G2054"/>
      <c r="H2054"/>
      <c r="I2054"/>
      <c r="J2054"/>
      <c r="K2054"/>
      <c r="L2054"/>
      <c r="M2054" s="16"/>
      <c r="N2054"/>
      <c r="O2054"/>
      <c r="P2054"/>
    </row>
    <row r="2055" spans="1:16" ht="15" x14ac:dyDescent="0.2">
      <c r="A2055"/>
      <c r="B2055"/>
      <c r="C2055"/>
      <c r="D2055"/>
      <c r="E2055"/>
      <c r="F2055"/>
      <c r="G2055"/>
      <c r="H2055"/>
      <c r="I2055"/>
      <c r="J2055"/>
      <c r="K2055"/>
      <c r="L2055"/>
      <c r="M2055" s="16"/>
      <c r="N2055"/>
      <c r="O2055"/>
      <c r="P2055"/>
    </row>
    <row r="2056" spans="1:16" ht="15" x14ac:dyDescent="0.2">
      <c r="A2056"/>
      <c r="B2056"/>
      <c r="C2056"/>
      <c r="D2056"/>
      <c r="E2056"/>
      <c r="F2056"/>
      <c r="G2056"/>
      <c r="H2056"/>
      <c r="I2056"/>
      <c r="J2056"/>
      <c r="K2056"/>
      <c r="L2056"/>
      <c r="M2056" s="16"/>
      <c r="N2056"/>
      <c r="O2056"/>
      <c r="P2056"/>
    </row>
    <row r="2057" spans="1:16" ht="15" x14ac:dyDescent="0.2">
      <c r="A2057"/>
      <c r="B2057"/>
      <c r="C2057"/>
      <c r="D2057"/>
      <c r="E2057"/>
      <c r="F2057"/>
      <c r="G2057"/>
      <c r="H2057"/>
      <c r="I2057"/>
      <c r="J2057"/>
      <c r="K2057"/>
      <c r="L2057"/>
      <c r="M2057" s="16"/>
      <c r="N2057"/>
      <c r="O2057"/>
      <c r="P2057"/>
    </row>
    <row r="2058" spans="1:16" ht="15" x14ac:dyDescent="0.2">
      <c r="A2058"/>
      <c r="B2058"/>
      <c r="C2058"/>
      <c r="D2058"/>
      <c r="E2058"/>
      <c r="F2058"/>
      <c r="G2058"/>
      <c r="H2058"/>
      <c r="I2058"/>
      <c r="J2058"/>
      <c r="K2058"/>
      <c r="L2058"/>
      <c r="M2058" s="16"/>
      <c r="N2058"/>
      <c r="O2058"/>
      <c r="P2058"/>
    </row>
    <row r="2059" spans="1:16" ht="15" x14ac:dyDescent="0.2">
      <c r="A2059"/>
      <c r="B2059"/>
      <c r="C2059"/>
      <c r="D2059"/>
      <c r="E2059"/>
      <c r="F2059"/>
      <c r="G2059"/>
      <c r="H2059"/>
      <c r="I2059"/>
      <c r="J2059"/>
      <c r="K2059"/>
      <c r="L2059"/>
      <c r="M2059" s="16"/>
      <c r="N2059"/>
      <c r="O2059"/>
      <c r="P2059"/>
    </row>
    <row r="2060" spans="1:16" ht="15" x14ac:dyDescent="0.2">
      <c r="A2060"/>
      <c r="B2060"/>
      <c r="C2060"/>
      <c r="D2060"/>
      <c r="E2060"/>
      <c r="F2060"/>
      <c r="G2060"/>
      <c r="H2060"/>
      <c r="I2060"/>
      <c r="J2060"/>
      <c r="K2060"/>
      <c r="L2060"/>
      <c r="M2060" s="16"/>
      <c r="N2060"/>
      <c r="O2060"/>
      <c r="P2060"/>
    </row>
    <row r="2061" spans="1:16" ht="15" x14ac:dyDescent="0.2">
      <c r="A2061"/>
      <c r="B2061"/>
      <c r="C2061"/>
      <c r="D2061"/>
      <c r="E2061"/>
      <c r="F2061"/>
      <c r="G2061"/>
      <c r="H2061"/>
      <c r="I2061"/>
      <c r="J2061"/>
      <c r="K2061"/>
      <c r="L2061"/>
      <c r="M2061" s="16"/>
      <c r="N2061"/>
      <c r="O2061"/>
      <c r="P2061"/>
    </row>
    <row r="2062" spans="1:16" ht="15" x14ac:dyDescent="0.2">
      <c r="A2062"/>
      <c r="B2062"/>
      <c r="C2062"/>
      <c r="D2062"/>
      <c r="E2062"/>
      <c r="F2062"/>
      <c r="G2062"/>
      <c r="H2062"/>
      <c r="I2062"/>
      <c r="J2062"/>
      <c r="K2062"/>
      <c r="L2062"/>
      <c r="M2062" s="16"/>
      <c r="N2062"/>
      <c r="O2062"/>
      <c r="P2062"/>
    </row>
    <row r="2063" spans="1:16" ht="15" x14ac:dyDescent="0.2">
      <c r="A2063"/>
      <c r="B2063"/>
      <c r="C2063"/>
      <c r="D2063"/>
      <c r="E2063"/>
      <c r="F2063"/>
      <c r="G2063"/>
      <c r="H2063"/>
      <c r="I2063"/>
      <c r="J2063"/>
      <c r="K2063"/>
      <c r="L2063"/>
      <c r="M2063" s="16"/>
      <c r="N2063"/>
      <c r="O2063"/>
      <c r="P2063"/>
    </row>
    <row r="2064" spans="1:16" ht="15" x14ac:dyDescent="0.2">
      <c r="A2064"/>
      <c r="B2064"/>
      <c r="C2064"/>
      <c r="D2064"/>
      <c r="E2064"/>
      <c r="F2064"/>
      <c r="G2064"/>
      <c r="H2064"/>
      <c r="I2064"/>
      <c r="J2064"/>
      <c r="K2064"/>
      <c r="L2064"/>
      <c r="M2064" s="16"/>
      <c r="N2064"/>
      <c r="O2064"/>
      <c r="P2064"/>
    </row>
    <row r="2065" spans="1:16" ht="15" x14ac:dyDescent="0.2">
      <c r="A2065"/>
      <c r="B2065"/>
      <c r="C2065"/>
      <c r="D2065"/>
      <c r="E2065"/>
      <c r="F2065"/>
      <c r="G2065"/>
      <c r="H2065"/>
      <c r="I2065"/>
      <c r="J2065"/>
      <c r="K2065"/>
      <c r="L2065"/>
      <c r="M2065" s="16"/>
      <c r="N2065"/>
      <c r="O2065"/>
      <c r="P2065"/>
    </row>
    <row r="2066" spans="1:16" ht="15" x14ac:dyDescent="0.2">
      <c r="A2066"/>
      <c r="B2066"/>
      <c r="C2066"/>
      <c r="D2066"/>
      <c r="E2066"/>
      <c r="F2066"/>
      <c r="G2066"/>
      <c r="H2066"/>
      <c r="I2066"/>
      <c r="J2066"/>
      <c r="K2066"/>
      <c r="L2066"/>
      <c r="M2066" s="16"/>
      <c r="N2066"/>
      <c r="O2066"/>
      <c r="P2066"/>
    </row>
    <row r="2067" spans="1:16" ht="15" x14ac:dyDescent="0.2">
      <c r="A2067"/>
      <c r="B2067"/>
      <c r="C2067"/>
      <c r="D2067"/>
      <c r="E2067"/>
      <c r="F2067"/>
      <c r="G2067"/>
      <c r="H2067"/>
      <c r="I2067"/>
      <c r="J2067"/>
      <c r="K2067"/>
      <c r="L2067"/>
      <c r="M2067" s="16"/>
      <c r="N2067"/>
      <c r="O2067"/>
      <c r="P2067"/>
    </row>
    <row r="2068" spans="1:16" ht="15" x14ac:dyDescent="0.2">
      <c r="A2068"/>
      <c r="B2068"/>
      <c r="C2068"/>
      <c r="D2068"/>
      <c r="E2068"/>
      <c r="F2068"/>
      <c r="G2068"/>
      <c r="H2068"/>
      <c r="I2068"/>
      <c r="J2068"/>
      <c r="K2068"/>
      <c r="L2068"/>
      <c r="M2068" s="16"/>
      <c r="N2068"/>
      <c r="O2068"/>
      <c r="P2068"/>
    </row>
    <row r="2069" spans="1:16" ht="15" x14ac:dyDescent="0.2">
      <c r="A2069"/>
      <c r="B2069"/>
      <c r="C2069"/>
      <c r="D2069"/>
      <c r="E2069"/>
      <c r="F2069"/>
      <c r="G2069"/>
      <c r="H2069"/>
      <c r="I2069"/>
      <c r="J2069"/>
      <c r="K2069"/>
      <c r="L2069"/>
      <c r="M2069" s="16"/>
      <c r="N2069"/>
      <c r="O2069"/>
      <c r="P2069"/>
    </row>
    <row r="2070" spans="1:16" ht="15" x14ac:dyDescent="0.2">
      <c r="A2070"/>
      <c r="B2070"/>
      <c r="C2070"/>
      <c r="D2070"/>
      <c r="E2070"/>
      <c r="F2070"/>
      <c r="G2070"/>
      <c r="H2070"/>
      <c r="I2070"/>
      <c r="J2070"/>
      <c r="K2070"/>
      <c r="L2070"/>
      <c r="M2070" s="16"/>
      <c r="N2070"/>
      <c r="O2070"/>
      <c r="P2070"/>
    </row>
    <row r="2071" spans="1:16" ht="15" x14ac:dyDescent="0.2">
      <c r="A2071"/>
      <c r="B2071"/>
      <c r="C2071"/>
      <c r="D2071"/>
      <c r="E2071"/>
      <c r="F2071"/>
      <c r="G2071"/>
      <c r="H2071"/>
      <c r="I2071"/>
      <c r="J2071"/>
      <c r="K2071"/>
      <c r="L2071"/>
      <c r="M2071" s="16"/>
      <c r="N2071"/>
      <c r="O2071"/>
      <c r="P2071"/>
    </row>
    <row r="2072" spans="1:16" ht="15" x14ac:dyDescent="0.2">
      <c r="A2072"/>
      <c r="B2072"/>
      <c r="C2072"/>
      <c r="D2072"/>
      <c r="E2072"/>
      <c r="F2072"/>
      <c r="G2072"/>
      <c r="H2072"/>
      <c r="I2072"/>
      <c r="J2072"/>
      <c r="K2072"/>
      <c r="L2072"/>
      <c r="M2072" s="16"/>
      <c r="N2072"/>
      <c r="O2072"/>
      <c r="P2072"/>
    </row>
    <row r="2073" spans="1:16" ht="15" x14ac:dyDescent="0.2">
      <c r="A2073"/>
      <c r="B2073"/>
      <c r="C2073"/>
      <c r="D2073"/>
      <c r="E2073"/>
      <c r="F2073"/>
      <c r="G2073"/>
      <c r="H2073"/>
      <c r="I2073"/>
      <c r="J2073"/>
      <c r="K2073"/>
      <c r="L2073"/>
      <c r="M2073" s="16"/>
      <c r="N2073"/>
      <c r="O2073"/>
      <c r="P2073"/>
    </row>
    <row r="2074" spans="1:16" ht="15" x14ac:dyDescent="0.2">
      <c r="A2074"/>
      <c r="B2074"/>
      <c r="C2074"/>
      <c r="D2074"/>
      <c r="E2074"/>
      <c r="F2074"/>
      <c r="G2074"/>
      <c r="H2074"/>
      <c r="I2074"/>
      <c r="J2074"/>
      <c r="K2074"/>
      <c r="L2074"/>
      <c r="M2074" s="16"/>
      <c r="N2074"/>
      <c r="O2074"/>
      <c r="P2074"/>
    </row>
    <row r="2075" spans="1:16" ht="15" x14ac:dyDescent="0.2">
      <c r="A2075"/>
      <c r="B2075"/>
      <c r="C2075"/>
      <c r="D2075"/>
      <c r="E2075"/>
      <c r="F2075"/>
      <c r="G2075"/>
      <c r="H2075"/>
      <c r="I2075"/>
      <c r="J2075"/>
      <c r="K2075"/>
      <c r="L2075"/>
      <c r="M2075" s="16"/>
      <c r="N2075"/>
      <c r="O2075"/>
      <c r="P2075"/>
    </row>
    <row r="2076" spans="1:16" ht="15" x14ac:dyDescent="0.2">
      <c r="A2076"/>
      <c r="B2076"/>
      <c r="C2076"/>
      <c r="D2076"/>
      <c r="E2076"/>
      <c r="F2076"/>
      <c r="G2076"/>
      <c r="H2076"/>
      <c r="I2076"/>
      <c r="J2076"/>
      <c r="K2076"/>
      <c r="L2076"/>
      <c r="M2076" s="16"/>
      <c r="N2076"/>
      <c r="O2076"/>
      <c r="P2076"/>
    </row>
    <row r="2077" spans="1:16" ht="15" x14ac:dyDescent="0.2">
      <c r="A2077"/>
      <c r="B2077"/>
      <c r="C2077"/>
      <c r="D2077"/>
      <c r="E2077"/>
      <c r="F2077"/>
      <c r="G2077"/>
      <c r="H2077"/>
      <c r="I2077"/>
      <c r="J2077"/>
      <c r="K2077"/>
      <c r="L2077"/>
      <c r="M2077" s="16"/>
      <c r="N2077"/>
      <c r="O2077"/>
      <c r="P2077"/>
    </row>
    <row r="2078" spans="1:16" ht="15" x14ac:dyDescent="0.2">
      <c r="A2078"/>
      <c r="B2078"/>
      <c r="C2078"/>
      <c r="D2078"/>
      <c r="E2078"/>
      <c r="F2078"/>
      <c r="G2078"/>
      <c r="H2078"/>
      <c r="I2078"/>
      <c r="J2078"/>
      <c r="K2078"/>
      <c r="L2078"/>
      <c r="M2078" s="16"/>
      <c r="N2078"/>
      <c r="O2078"/>
      <c r="P2078"/>
    </row>
    <row r="2079" spans="1:16" ht="15" x14ac:dyDescent="0.2">
      <c r="A2079"/>
      <c r="B2079"/>
      <c r="C2079"/>
      <c r="D2079"/>
      <c r="E2079"/>
      <c r="F2079"/>
      <c r="G2079"/>
      <c r="H2079"/>
      <c r="I2079"/>
      <c r="J2079"/>
      <c r="K2079"/>
      <c r="L2079"/>
      <c r="M2079" s="16"/>
      <c r="N2079"/>
      <c r="O2079"/>
      <c r="P2079"/>
    </row>
    <row r="2080" spans="1:16" ht="15" x14ac:dyDescent="0.2">
      <c r="A2080"/>
      <c r="B2080"/>
      <c r="C2080"/>
      <c r="D2080"/>
      <c r="E2080"/>
      <c r="F2080"/>
      <c r="G2080"/>
      <c r="H2080"/>
      <c r="I2080"/>
      <c r="J2080"/>
      <c r="K2080"/>
      <c r="L2080"/>
      <c r="M2080" s="16"/>
      <c r="N2080"/>
      <c r="O2080"/>
      <c r="P2080"/>
    </row>
    <row r="2081" spans="1:16" ht="15" x14ac:dyDescent="0.2">
      <c r="A2081"/>
      <c r="B2081"/>
      <c r="C2081"/>
      <c r="D2081"/>
      <c r="E2081"/>
      <c r="F2081"/>
      <c r="G2081"/>
      <c r="H2081"/>
      <c r="I2081"/>
      <c r="J2081"/>
      <c r="K2081"/>
      <c r="L2081"/>
      <c r="M2081" s="16"/>
      <c r="N2081"/>
      <c r="O2081"/>
      <c r="P2081"/>
    </row>
    <row r="2082" spans="1:16" ht="15" x14ac:dyDescent="0.2">
      <c r="A2082"/>
      <c r="B2082"/>
      <c r="C2082"/>
      <c r="D2082"/>
      <c r="E2082"/>
      <c r="F2082"/>
      <c r="G2082"/>
      <c r="H2082"/>
      <c r="I2082"/>
      <c r="J2082"/>
      <c r="K2082"/>
      <c r="L2082"/>
      <c r="M2082" s="16"/>
      <c r="N2082"/>
      <c r="O2082"/>
      <c r="P2082"/>
    </row>
    <row r="2083" spans="1:16" ht="15" x14ac:dyDescent="0.2">
      <c r="A2083"/>
      <c r="B2083"/>
      <c r="C2083"/>
      <c r="D2083"/>
      <c r="E2083"/>
      <c r="F2083"/>
      <c r="G2083"/>
      <c r="H2083"/>
      <c r="I2083"/>
      <c r="J2083"/>
      <c r="K2083"/>
      <c r="L2083"/>
      <c r="M2083" s="16"/>
      <c r="N2083"/>
      <c r="O2083"/>
      <c r="P2083"/>
    </row>
    <row r="2084" spans="1:16" ht="15" x14ac:dyDescent="0.2">
      <c r="A2084"/>
      <c r="B2084"/>
      <c r="C2084"/>
      <c r="D2084"/>
      <c r="E2084"/>
      <c r="F2084"/>
      <c r="G2084"/>
      <c r="H2084"/>
      <c r="I2084"/>
      <c r="J2084"/>
      <c r="K2084"/>
      <c r="L2084"/>
      <c r="M2084" s="16"/>
      <c r="N2084"/>
      <c r="O2084"/>
      <c r="P2084"/>
    </row>
    <row r="2085" spans="1:16" ht="15" x14ac:dyDescent="0.2">
      <c r="A2085"/>
      <c r="B2085"/>
      <c r="C2085"/>
      <c r="D2085"/>
      <c r="E2085"/>
      <c r="F2085"/>
      <c r="G2085"/>
      <c r="H2085"/>
      <c r="I2085"/>
      <c r="J2085"/>
      <c r="K2085"/>
      <c r="L2085"/>
      <c r="M2085" s="16"/>
      <c r="N2085"/>
      <c r="O2085"/>
      <c r="P2085"/>
    </row>
    <row r="2086" spans="1:16" ht="15" x14ac:dyDescent="0.2">
      <c r="A2086"/>
      <c r="B2086"/>
      <c r="C2086"/>
      <c r="D2086"/>
      <c r="E2086"/>
      <c r="F2086"/>
      <c r="G2086"/>
      <c r="H2086"/>
      <c r="I2086"/>
      <c r="J2086"/>
      <c r="K2086"/>
      <c r="L2086"/>
      <c r="M2086" s="16"/>
      <c r="N2086"/>
      <c r="O2086"/>
      <c r="P2086"/>
    </row>
    <row r="2087" spans="1:16" ht="15" x14ac:dyDescent="0.2">
      <c r="A2087"/>
      <c r="B2087"/>
      <c r="C2087"/>
      <c r="D2087"/>
      <c r="E2087"/>
      <c r="F2087"/>
      <c r="G2087"/>
      <c r="H2087"/>
      <c r="I2087"/>
      <c r="J2087"/>
      <c r="K2087"/>
      <c r="L2087"/>
      <c r="M2087" s="16"/>
      <c r="N2087"/>
      <c r="O2087"/>
      <c r="P2087"/>
    </row>
    <row r="2088" spans="1:16" ht="15" x14ac:dyDescent="0.2">
      <c r="A2088"/>
      <c r="B2088"/>
      <c r="C2088"/>
      <c r="D2088"/>
      <c r="E2088"/>
      <c r="F2088"/>
      <c r="G2088"/>
      <c r="H2088"/>
      <c r="I2088"/>
      <c r="J2088"/>
      <c r="K2088"/>
      <c r="L2088"/>
      <c r="M2088" s="16"/>
      <c r="N2088"/>
      <c r="O2088"/>
      <c r="P2088"/>
    </row>
    <row r="2089" spans="1:16" ht="15" x14ac:dyDescent="0.2">
      <c r="A2089"/>
      <c r="B2089"/>
      <c r="C2089"/>
      <c r="D2089"/>
      <c r="E2089"/>
      <c r="F2089"/>
      <c r="G2089"/>
      <c r="H2089"/>
      <c r="I2089"/>
      <c r="J2089"/>
      <c r="K2089"/>
      <c r="L2089"/>
      <c r="M2089" s="16"/>
      <c r="N2089"/>
      <c r="O2089"/>
      <c r="P2089"/>
    </row>
    <row r="2090" spans="1:16" ht="15" x14ac:dyDescent="0.2">
      <c r="A2090"/>
      <c r="B2090"/>
      <c r="C2090"/>
      <c r="D2090"/>
      <c r="E2090"/>
      <c r="F2090"/>
      <c r="G2090"/>
      <c r="H2090"/>
      <c r="I2090"/>
      <c r="J2090"/>
      <c r="K2090"/>
      <c r="L2090"/>
      <c r="M2090" s="16"/>
      <c r="N2090"/>
      <c r="O2090"/>
      <c r="P2090"/>
    </row>
    <row r="2091" spans="1:16" ht="15" x14ac:dyDescent="0.2">
      <c r="A2091"/>
      <c r="B2091"/>
      <c r="C2091"/>
      <c r="D2091"/>
      <c r="E2091"/>
      <c r="F2091"/>
      <c r="G2091"/>
      <c r="H2091"/>
      <c r="I2091"/>
      <c r="J2091"/>
      <c r="K2091"/>
      <c r="L2091"/>
      <c r="M2091" s="16"/>
      <c r="N2091"/>
      <c r="O2091"/>
      <c r="P2091"/>
    </row>
    <row r="2092" spans="1:16" ht="15" x14ac:dyDescent="0.2">
      <c r="A2092"/>
      <c r="B2092"/>
      <c r="C2092"/>
      <c r="D2092"/>
      <c r="E2092"/>
      <c r="F2092"/>
      <c r="G2092"/>
      <c r="H2092"/>
      <c r="I2092"/>
      <c r="J2092"/>
      <c r="K2092"/>
      <c r="L2092"/>
      <c r="M2092" s="16"/>
      <c r="N2092"/>
      <c r="O2092"/>
      <c r="P2092"/>
    </row>
    <row r="2093" spans="1:16" ht="15" x14ac:dyDescent="0.2">
      <c r="A2093"/>
      <c r="B2093"/>
      <c r="C2093"/>
      <c r="D2093"/>
      <c r="E2093"/>
      <c r="F2093"/>
      <c r="G2093"/>
      <c r="H2093"/>
      <c r="I2093"/>
      <c r="J2093"/>
      <c r="K2093"/>
      <c r="L2093"/>
      <c r="M2093" s="16"/>
      <c r="N2093"/>
      <c r="O2093"/>
      <c r="P2093"/>
    </row>
    <row r="2094" spans="1:16" ht="15" x14ac:dyDescent="0.2">
      <c r="A2094"/>
      <c r="B2094"/>
      <c r="C2094"/>
      <c r="D2094"/>
      <c r="E2094"/>
      <c r="F2094"/>
      <c r="G2094"/>
      <c r="H2094"/>
      <c r="I2094"/>
      <c r="J2094"/>
      <c r="K2094"/>
      <c r="L2094"/>
      <c r="M2094" s="16"/>
      <c r="N2094"/>
      <c r="O2094"/>
      <c r="P2094"/>
    </row>
    <row r="2095" spans="1:16" ht="15" x14ac:dyDescent="0.2">
      <c r="A2095"/>
      <c r="B2095"/>
      <c r="C2095"/>
      <c r="D2095"/>
      <c r="E2095"/>
      <c r="F2095"/>
      <c r="G2095"/>
      <c r="H2095"/>
      <c r="I2095"/>
      <c r="J2095"/>
      <c r="K2095"/>
      <c r="L2095"/>
      <c r="M2095" s="16"/>
      <c r="N2095"/>
      <c r="O2095"/>
      <c r="P2095"/>
    </row>
    <row r="2096" spans="1:16" ht="15" x14ac:dyDescent="0.2">
      <c r="A2096"/>
      <c r="B2096"/>
      <c r="C2096"/>
      <c r="D2096"/>
      <c r="E2096"/>
      <c r="F2096"/>
      <c r="G2096"/>
      <c r="H2096"/>
      <c r="I2096"/>
      <c r="J2096"/>
      <c r="K2096"/>
      <c r="L2096"/>
      <c r="M2096" s="16"/>
      <c r="N2096"/>
      <c r="O2096"/>
      <c r="P2096"/>
    </row>
    <row r="2097" spans="1:16" ht="15" x14ac:dyDescent="0.2">
      <c r="A2097"/>
      <c r="B2097"/>
      <c r="C2097"/>
      <c r="D2097"/>
      <c r="E2097"/>
      <c r="F2097"/>
      <c r="G2097"/>
      <c r="H2097"/>
      <c r="I2097"/>
      <c r="J2097"/>
      <c r="K2097"/>
      <c r="L2097"/>
      <c r="M2097" s="16"/>
      <c r="N2097"/>
      <c r="O2097"/>
      <c r="P2097"/>
    </row>
    <row r="2098" spans="1:16" ht="15" x14ac:dyDescent="0.2">
      <c r="A2098"/>
      <c r="B2098"/>
      <c r="C2098"/>
      <c r="D2098"/>
      <c r="E2098"/>
      <c r="F2098"/>
      <c r="G2098"/>
      <c r="H2098"/>
      <c r="I2098"/>
      <c r="J2098"/>
      <c r="K2098"/>
      <c r="L2098"/>
      <c r="M2098" s="16"/>
      <c r="N2098"/>
      <c r="O2098"/>
      <c r="P2098"/>
    </row>
    <row r="2099" spans="1:16" ht="15" x14ac:dyDescent="0.2">
      <c r="A2099"/>
      <c r="B2099"/>
      <c r="C2099"/>
      <c r="D2099"/>
      <c r="E2099"/>
      <c r="F2099"/>
      <c r="G2099"/>
      <c r="H2099"/>
      <c r="I2099"/>
      <c r="J2099"/>
      <c r="K2099"/>
      <c r="L2099"/>
      <c r="M2099" s="16"/>
      <c r="N2099"/>
      <c r="O2099"/>
      <c r="P2099"/>
    </row>
    <row r="2100" spans="1:16" ht="15" x14ac:dyDescent="0.2">
      <c r="A2100"/>
      <c r="B2100"/>
      <c r="C2100"/>
      <c r="D2100"/>
      <c r="E2100"/>
      <c r="F2100"/>
      <c r="G2100"/>
      <c r="H2100"/>
      <c r="I2100"/>
      <c r="J2100"/>
      <c r="K2100"/>
      <c r="L2100"/>
      <c r="M2100" s="16"/>
      <c r="N2100"/>
      <c r="O2100"/>
      <c r="P2100"/>
    </row>
    <row r="2101" spans="1:16" ht="15" x14ac:dyDescent="0.2">
      <c r="A2101"/>
      <c r="B2101"/>
      <c r="C2101"/>
      <c r="D2101"/>
      <c r="E2101"/>
      <c r="F2101"/>
      <c r="G2101"/>
      <c r="H2101"/>
      <c r="I2101"/>
      <c r="J2101"/>
      <c r="K2101"/>
      <c r="L2101"/>
      <c r="M2101" s="16"/>
      <c r="N2101"/>
      <c r="O2101"/>
      <c r="P2101"/>
    </row>
    <row r="2102" spans="1:16" ht="15" x14ac:dyDescent="0.2">
      <c r="A2102"/>
      <c r="B2102"/>
      <c r="C2102"/>
      <c r="D2102"/>
      <c r="E2102"/>
      <c r="F2102"/>
      <c r="G2102"/>
      <c r="H2102"/>
      <c r="I2102"/>
      <c r="J2102"/>
      <c r="K2102"/>
      <c r="L2102"/>
      <c r="M2102" s="16"/>
      <c r="N2102"/>
      <c r="O2102"/>
      <c r="P2102"/>
    </row>
    <row r="2103" spans="1:16" ht="15" x14ac:dyDescent="0.2">
      <c r="A2103"/>
      <c r="B2103"/>
      <c r="C2103"/>
      <c r="D2103"/>
      <c r="E2103"/>
      <c r="F2103"/>
      <c r="G2103"/>
      <c r="H2103"/>
      <c r="I2103"/>
      <c r="J2103"/>
      <c r="K2103"/>
      <c r="L2103"/>
      <c r="M2103" s="16"/>
      <c r="N2103"/>
      <c r="O2103"/>
      <c r="P2103"/>
    </row>
    <row r="2104" spans="1:16" ht="15" x14ac:dyDescent="0.2">
      <c r="A2104"/>
      <c r="B2104"/>
      <c r="C2104"/>
      <c r="D2104"/>
      <c r="E2104"/>
      <c r="F2104"/>
      <c r="G2104"/>
      <c r="H2104"/>
      <c r="I2104"/>
      <c r="J2104"/>
      <c r="K2104"/>
      <c r="L2104"/>
      <c r="M2104" s="16"/>
      <c r="N2104"/>
      <c r="O2104"/>
      <c r="P2104"/>
    </row>
    <row r="2105" spans="1:16" ht="15" x14ac:dyDescent="0.2">
      <c r="A2105"/>
      <c r="B2105"/>
      <c r="C2105"/>
      <c r="D2105"/>
      <c r="E2105"/>
      <c r="F2105"/>
      <c r="G2105"/>
      <c r="H2105"/>
      <c r="I2105"/>
      <c r="J2105"/>
      <c r="K2105"/>
      <c r="L2105"/>
      <c r="M2105" s="16"/>
      <c r="N2105"/>
      <c r="O2105"/>
      <c r="P2105"/>
    </row>
    <row r="2106" spans="1:16" ht="15" x14ac:dyDescent="0.2">
      <c r="A2106"/>
      <c r="B2106"/>
      <c r="C2106"/>
      <c r="D2106"/>
      <c r="E2106"/>
      <c r="F2106"/>
      <c r="G2106"/>
      <c r="H2106"/>
      <c r="I2106"/>
      <c r="J2106"/>
      <c r="K2106"/>
      <c r="L2106"/>
      <c r="M2106" s="16"/>
      <c r="N2106"/>
      <c r="O2106"/>
      <c r="P2106"/>
    </row>
    <row r="2107" spans="1:16" ht="15" x14ac:dyDescent="0.2">
      <c r="A2107"/>
      <c r="B2107"/>
      <c r="C2107"/>
      <c r="D2107"/>
      <c r="E2107"/>
      <c r="F2107"/>
      <c r="G2107"/>
      <c r="H2107"/>
      <c r="I2107"/>
      <c r="J2107"/>
      <c r="K2107"/>
      <c r="L2107"/>
      <c r="M2107" s="16"/>
      <c r="N2107"/>
      <c r="O2107"/>
      <c r="P2107"/>
    </row>
    <row r="2108" spans="1:16" ht="15" x14ac:dyDescent="0.2">
      <c r="A2108"/>
      <c r="B2108"/>
      <c r="C2108"/>
      <c r="D2108"/>
      <c r="E2108"/>
      <c r="F2108"/>
      <c r="G2108"/>
      <c r="H2108"/>
      <c r="I2108"/>
      <c r="J2108"/>
      <c r="K2108"/>
      <c r="L2108"/>
      <c r="M2108" s="16"/>
      <c r="N2108"/>
      <c r="O2108"/>
      <c r="P2108"/>
    </row>
    <row r="2109" spans="1:16" ht="15" x14ac:dyDescent="0.2">
      <c r="A2109"/>
      <c r="B2109"/>
      <c r="C2109"/>
      <c r="D2109"/>
      <c r="E2109"/>
      <c r="F2109"/>
      <c r="G2109"/>
      <c r="H2109"/>
      <c r="I2109"/>
      <c r="J2109"/>
      <c r="K2109"/>
      <c r="L2109"/>
      <c r="M2109" s="16"/>
      <c r="N2109"/>
      <c r="O2109"/>
      <c r="P2109"/>
    </row>
    <row r="2110" spans="1:16" ht="15" x14ac:dyDescent="0.2">
      <c r="A2110"/>
      <c r="B2110"/>
      <c r="C2110"/>
      <c r="D2110"/>
      <c r="E2110"/>
      <c r="F2110"/>
      <c r="G2110"/>
      <c r="H2110"/>
      <c r="I2110"/>
      <c r="J2110"/>
      <c r="K2110"/>
      <c r="L2110"/>
      <c r="M2110" s="16"/>
      <c r="N2110"/>
      <c r="O2110"/>
      <c r="P2110"/>
    </row>
    <row r="2111" spans="1:16" ht="15" x14ac:dyDescent="0.2">
      <c r="A2111"/>
      <c r="B2111"/>
      <c r="C2111"/>
      <c r="D2111"/>
      <c r="E2111"/>
      <c r="F2111"/>
      <c r="G2111"/>
      <c r="H2111"/>
      <c r="I2111"/>
      <c r="J2111"/>
      <c r="K2111"/>
      <c r="L2111"/>
      <c r="M2111" s="16"/>
      <c r="N2111"/>
      <c r="O2111"/>
      <c r="P2111"/>
    </row>
    <row r="2112" spans="1:16" ht="15" x14ac:dyDescent="0.2">
      <c r="A2112"/>
      <c r="B2112"/>
      <c r="C2112"/>
      <c r="D2112"/>
      <c r="E2112"/>
      <c r="F2112"/>
      <c r="G2112"/>
      <c r="H2112"/>
      <c r="I2112"/>
      <c r="J2112"/>
      <c r="K2112"/>
      <c r="L2112"/>
      <c r="M2112" s="16"/>
      <c r="N2112"/>
      <c r="O2112"/>
      <c r="P2112"/>
    </row>
    <row r="2113" spans="1:16" ht="15" x14ac:dyDescent="0.2">
      <c r="A2113"/>
      <c r="B2113"/>
      <c r="C2113"/>
      <c r="D2113"/>
      <c r="E2113"/>
      <c r="F2113"/>
      <c r="G2113"/>
      <c r="H2113"/>
      <c r="I2113"/>
      <c r="J2113"/>
      <c r="K2113"/>
      <c r="L2113"/>
      <c r="M2113" s="16"/>
      <c r="N2113"/>
      <c r="O2113"/>
      <c r="P2113"/>
    </row>
    <row r="2114" spans="1:16" ht="15" x14ac:dyDescent="0.2">
      <c r="A2114"/>
      <c r="B2114"/>
      <c r="C2114"/>
      <c r="D2114"/>
      <c r="E2114"/>
      <c r="F2114"/>
      <c r="G2114"/>
      <c r="H2114"/>
      <c r="I2114"/>
      <c r="J2114"/>
      <c r="K2114"/>
      <c r="L2114"/>
      <c r="M2114" s="16"/>
      <c r="N2114"/>
      <c r="O2114"/>
      <c r="P2114"/>
    </row>
    <row r="2115" spans="1:16" ht="15" x14ac:dyDescent="0.2">
      <c r="A2115"/>
      <c r="B2115"/>
      <c r="C2115"/>
      <c r="D2115"/>
      <c r="E2115"/>
      <c r="F2115"/>
      <c r="G2115"/>
      <c r="H2115"/>
      <c r="I2115"/>
      <c r="J2115"/>
      <c r="K2115"/>
      <c r="L2115"/>
      <c r="M2115" s="16"/>
      <c r="N2115"/>
      <c r="O2115"/>
      <c r="P2115"/>
    </row>
    <row r="2116" spans="1:16" ht="15" x14ac:dyDescent="0.2">
      <c r="A2116"/>
      <c r="B2116"/>
      <c r="C2116"/>
      <c r="D2116"/>
      <c r="E2116"/>
      <c r="F2116"/>
      <c r="G2116"/>
      <c r="H2116"/>
      <c r="I2116"/>
      <c r="J2116"/>
      <c r="K2116"/>
      <c r="L2116"/>
      <c r="M2116" s="16"/>
      <c r="N2116"/>
      <c r="O2116"/>
      <c r="P2116"/>
    </row>
    <row r="2117" spans="1:16" ht="15" x14ac:dyDescent="0.2">
      <c r="A2117"/>
      <c r="B2117"/>
      <c r="C2117"/>
      <c r="D2117"/>
      <c r="E2117"/>
      <c r="F2117"/>
      <c r="G2117"/>
      <c r="H2117"/>
      <c r="I2117"/>
      <c r="J2117"/>
      <c r="K2117"/>
      <c r="L2117"/>
      <c r="M2117" s="16"/>
      <c r="N2117"/>
      <c r="O2117"/>
      <c r="P2117"/>
    </row>
    <row r="2118" spans="1:16" ht="15" x14ac:dyDescent="0.2">
      <c r="A2118"/>
      <c r="B2118"/>
      <c r="C2118"/>
      <c r="D2118"/>
      <c r="E2118"/>
      <c r="F2118"/>
      <c r="G2118"/>
      <c r="H2118"/>
      <c r="I2118"/>
      <c r="J2118"/>
      <c r="K2118"/>
      <c r="L2118"/>
      <c r="M2118" s="16"/>
      <c r="N2118"/>
      <c r="O2118"/>
      <c r="P2118"/>
    </row>
    <row r="2119" spans="1:16" ht="15" x14ac:dyDescent="0.2">
      <c r="A2119"/>
      <c r="B2119"/>
      <c r="C2119"/>
      <c r="D2119"/>
      <c r="E2119"/>
      <c r="F2119"/>
      <c r="G2119"/>
      <c r="H2119"/>
      <c r="I2119"/>
      <c r="J2119"/>
      <c r="K2119"/>
      <c r="L2119"/>
      <c r="M2119" s="16"/>
      <c r="N2119"/>
      <c r="O2119"/>
      <c r="P2119"/>
    </row>
    <row r="2120" spans="1:16" ht="15" x14ac:dyDescent="0.2">
      <c r="A2120"/>
      <c r="B2120"/>
      <c r="C2120"/>
      <c r="D2120"/>
      <c r="E2120"/>
      <c r="F2120"/>
      <c r="G2120"/>
      <c r="H2120"/>
      <c r="I2120"/>
      <c r="J2120"/>
      <c r="K2120"/>
      <c r="L2120"/>
      <c r="M2120" s="16"/>
      <c r="N2120"/>
      <c r="O2120"/>
      <c r="P2120"/>
    </row>
    <row r="2121" spans="1:16" ht="15" x14ac:dyDescent="0.2">
      <c r="A2121"/>
      <c r="B2121"/>
      <c r="C2121"/>
      <c r="D2121"/>
      <c r="E2121"/>
      <c r="F2121"/>
      <c r="G2121"/>
      <c r="H2121"/>
      <c r="I2121"/>
      <c r="J2121"/>
      <c r="K2121"/>
      <c r="L2121"/>
      <c r="M2121" s="16"/>
      <c r="N2121"/>
      <c r="O2121"/>
      <c r="P2121"/>
    </row>
    <row r="2122" spans="1:16" ht="15" x14ac:dyDescent="0.2">
      <c r="A2122"/>
      <c r="B2122"/>
      <c r="C2122"/>
      <c r="D2122"/>
      <c r="E2122"/>
      <c r="F2122"/>
      <c r="G2122"/>
      <c r="H2122"/>
      <c r="I2122"/>
      <c r="J2122"/>
      <c r="K2122"/>
      <c r="L2122"/>
      <c r="M2122" s="16"/>
      <c r="N2122"/>
      <c r="O2122"/>
      <c r="P2122"/>
    </row>
    <row r="2123" spans="1:16" ht="15" x14ac:dyDescent="0.2">
      <c r="A2123"/>
      <c r="B2123"/>
      <c r="C2123"/>
      <c r="D2123"/>
      <c r="E2123"/>
      <c r="F2123"/>
      <c r="G2123"/>
      <c r="H2123"/>
      <c r="I2123"/>
      <c r="J2123"/>
      <c r="K2123"/>
      <c r="L2123"/>
      <c r="M2123" s="16"/>
      <c r="N2123"/>
      <c r="O2123"/>
      <c r="P2123"/>
    </row>
    <row r="2124" spans="1:16" ht="15" x14ac:dyDescent="0.2">
      <c r="A2124"/>
      <c r="B2124"/>
      <c r="C2124"/>
      <c r="D2124"/>
      <c r="E2124"/>
      <c r="F2124"/>
      <c r="G2124"/>
      <c r="H2124"/>
      <c r="I2124"/>
      <c r="J2124"/>
      <c r="K2124"/>
      <c r="L2124"/>
      <c r="M2124" s="16"/>
      <c r="N2124"/>
      <c r="O2124"/>
      <c r="P2124"/>
    </row>
    <row r="2125" spans="1:16" ht="15" x14ac:dyDescent="0.2">
      <c r="A2125"/>
      <c r="B2125"/>
      <c r="C2125"/>
      <c r="D2125"/>
      <c r="E2125"/>
      <c r="F2125"/>
      <c r="G2125"/>
      <c r="H2125"/>
      <c r="I2125"/>
      <c r="J2125"/>
      <c r="K2125"/>
      <c r="L2125"/>
      <c r="M2125" s="16"/>
      <c r="N2125"/>
      <c r="O2125"/>
      <c r="P2125"/>
    </row>
    <row r="2126" spans="1:16" ht="15" x14ac:dyDescent="0.2">
      <c r="A2126"/>
      <c r="B2126"/>
      <c r="C2126"/>
      <c r="D2126"/>
      <c r="E2126"/>
      <c r="F2126"/>
      <c r="G2126"/>
      <c r="H2126"/>
      <c r="I2126"/>
      <c r="J2126"/>
      <c r="K2126"/>
      <c r="L2126"/>
      <c r="M2126" s="16"/>
      <c r="N2126"/>
      <c r="O2126"/>
      <c r="P2126"/>
    </row>
    <row r="2127" spans="1:16" ht="15" x14ac:dyDescent="0.2">
      <c r="A2127"/>
      <c r="B2127"/>
      <c r="C2127"/>
      <c r="D2127"/>
      <c r="E2127"/>
      <c r="F2127"/>
      <c r="G2127"/>
      <c r="H2127"/>
      <c r="I2127"/>
      <c r="J2127"/>
      <c r="K2127"/>
      <c r="L2127"/>
      <c r="M2127" s="16"/>
      <c r="N2127"/>
      <c r="O2127"/>
      <c r="P2127"/>
    </row>
    <row r="2128" spans="1:16" ht="15" x14ac:dyDescent="0.2">
      <c r="A2128"/>
      <c r="B2128"/>
      <c r="C2128"/>
      <c r="D2128"/>
      <c r="E2128"/>
      <c r="F2128"/>
      <c r="G2128"/>
      <c r="H2128"/>
      <c r="I2128"/>
      <c r="J2128"/>
      <c r="K2128"/>
      <c r="L2128"/>
      <c r="M2128" s="16"/>
      <c r="N2128"/>
      <c r="O2128"/>
      <c r="P2128"/>
    </row>
    <row r="2129" spans="1:16" ht="15" x14ac:dyDescent="0.2">
      <c r="A2129"/>
      <c r="B2129"/>
      <c r="C2129"/>
      <c r="D2129"/>
      <c r="E2129"/>
      <c r="F2129"/>
      <c r="G2129"/>
      <c r="H2129"/>
      <c r="I2129"/>
      <c r="J2129"/>
      <c r="K2129"/>
      <c r="L2129"/>
      <c r="M2129" s="16"/>
      <c r="N2129"/>
      <c r="O2129"/>
      <c r="P2129"/>
    </row>
    <row r="2130" spans="1:16" ht="15" x14ac:dyDescent="0.2">
      <c r="A2130"/>
      <c r="B2130"/>
      <c r="C2130"/>
      <c r="D2130"/>
      <c r="E2130"/>
      <c r="F2130"/>
      <c r="G2130"/>
      <c r="H2130"/>
      <c r="I2130"/>
      <c r="J2130"/>
      <c r="K2130"/>
      <c r="L2130"/>
      <c r="M2130" s="16"/>
      <c r="N2130"/>
      <c r="O2130"/>
      <c r="P2130"/>
    </row>
    <row r="2131" spans="1:16" ht="15" x14ac:dyDescent="0.2">
      <c r="A2131"/>
      <c r="B2131"/>
      <c r="C2131"/>
      <c r="D2131"/>
      <c r="E2131"/>
      <c r="F2131"/>
      <c r="G2131"/>
      <c r="H2131"/>
      <c r="I2131"/>
      <c r="J2131"/>
      <c r="K2131"/>
      <c r="L2131"/>
      <c r="M2131" s="16"/>
      <c r="N2131"/>
      <c r="O2131"/>
      <c r="P2131"/>
    </row>
    <row r="2132" spans="1:16" ht="15" x14ac:dyDescent="0.2">
      <c r="A2132"/>
      <c r="B2132"/>
      <c r="C2132"/>
      <c r="D2132"/>
      <c r="E2132"/>
      <c r="F2132"/>
      <c r="G2132"/>
      <c r="H2132"/>
      <c r="I2132"/>
      <c r="J2132"/>
      <c r="K2132"/>
      <c r="L2132"/>
      <c r="M2132" s="16"/>
      <c r="N2132"/>
      <c r="O2132"/>
      <c r="P2132"/>
    </row>
    <row r="2133" spans="1:16" ht="15" x14ac:dyDescent="0.2">
      <c r="A2133"/>
      <c r="B2133"/>
      <c r="C2133"/>
      <c r="D2133"/>
      <c r="E2133"/>
      <c r="F2133"/>
      <c r="G2133"/>
      <c r="H2133"/>
      <c r="I2133"/>
      <c r="J2133"/>
      <c r="K2133"/>
      <c r="L2133"/>
      <c r="M2133" s="16"/>
      <c r="N2133"/>
      <c r="O2133"/>
      <c r="P2133"/>
    </row>
    <row r="2134" spans="1:16" ht="15" x14ac:dyDescent="0.2">
      <c r="A2134"/>
      <c r="B2134"/>
      <c r="C2134"/>
      <c r="D2134"/>
      <c r="E2134"/>
      <c r="F2134"/>
      <c r="G2134"/>
      <c r="H2134"/>
      <c r="I2134"/>
      <c r="J2134"/>
      <c r="K2134"/>
      <c r="L2134"/>
      <c r="M2134" s="16"/>
      <c r="N2134"/>
      <c r="O2134"/>
      <c r="P2134"/>
    </row>
    <row r="2135" spans="1:16" ht="15" x14ac:dyDescent="0.2">
      <c r="A2135"/>
      <c r="B2135"/>
      <c r="C2135"/>
      <c r="D2135"/>
      <c r="E2135"/>
      <c r="F2135"/>
      <c r="G2135"/>
      <c r="H2135"/>
      <c r="I2135"/>
      <c r="J2135"/>
      <c r="K2135"/>
      <c r="L2135"/>
      <c r="M2135" s="16"/>
      <c r="N2135"/>
      <c r="O2135"/>
      <c r="P2135"/>
    </row>
    <row r="2136" spans="1:16" ht="15" x14ac:dyDescent="0.2">
      <c r="A2136"/>
      <c r="B2136"/>
      <c r="C2136"/>
      <c r="D2136"/>
      <c r="E2136"/>
      <c r="F2136"/>
      <c r="G2136"/>
      <c r="H2136"/>
      <c r="I2136"/>
      <c r="J2136"/>
      <c r="K2136"/>
      <c r="L2136"/>
      <c r="M2136" s="16"/>
      <c r="N2136"/>
      <c r="O2136"/>
      <c r="P2136"/>
    </row>
    <row r="2137" spans="1:16" ht="15" x14ac:dyDescent="0.2">
      <c r="A2137"/>
      <c r="B2137"/>
      <c r="C2137"/>
      <c r="D2137"/>
      <c r="E2137"/>
      <c r="F2137"/>
      <c r="G2137"/>
      <c r="H2137"/>
      <c r="I2137"/>
      <c r="J2137"/>
      <c r="K2137"/>
      <c r="L2137"/>
      <c r="M2137" s="16"/>
      <c r="N2137"/>
      <c r="O2137"/>
      <c r="P2137"/>
    </row>
    <row r="2138" spans="1:16" ht="15" x14ac:dyDescent="0.2">
      <c r="A2138"/>
      <c r="B2138"/>
      <c r="C2138"/>
      <c r="D2138"/>
      <c r="E2138"/>
      <c r="F2138"/>
      <c r="G2138"/>
      <c r="H2138"/>
      <c r="I2138"/>
      <c r="J2138"/>
      <c r="K2138"/>
      <c r="L2138"/>
      <c r="M2138" s="16"/>
      <c r="N2138"/>
      <c r="O2138"/>
      <c r="P2138"/>
    </row>
    <row r="2139" spans="1:16" ht="15" x14ac:dyDescent="0.2">
      <c r="A2139"/>
      <c r="B2139"/>
      <c r="C2139"/>
      <c r="D2139"/>
      <c r="E2139"/>
      <c r="F2139"/>
      <c r="G2139"/>
      <c r="H2139"/>
      <c r="I2139"/>
      <c r="J2139"/>
      <c r="K2139"/>
      <c r="L2139"/>
      <c r="M2139" s="16"/>
      <c r="N2139"/>
      <c r="O2139"/>
      <c r="P2139"/>
    </row>
    <row r="2140" spans="1:16" ht="15" x14ac:dyDescent="0.2">
      <c r="A2140"/>
      <c r="B2140"/>
      <c r="C2140"/>
      <c r="D2140"/>
      <c r="E2140"/>
      <c r="F2140"/>
      <c r="G2140"/>
      <c r="H2140"/>
      <c r="I2140"/>
      <c r="J2140"/>
      <c r="K2140"/>
      <c r="L2140"/>
      <c r="M2140" s="16"/>
      <c r="N2140"/>
      <c r="O2140"/>
      <c r="P2140"/>
    </row>
    <row r="2141" spans="1:16" ht="15" x14ac:dyDescent="0.2">
      <c r="A2141"/>
      <c r="B2141"/>
      <c r="C2141"/>
      <c r="D2141"/>
      <c r="E2141"/>
      <c r="F2141"/>
      <c r="G2141"/>
      <c r="H2141"/>
      <c r="I2141"/>
      <c r="J2141"/>
      <c r="K2141"/>
      <c r="L2141"/>
      <c r="M2141" s="16"/>
      <c r="N2141"/>
      <c r="O2141"/>
      <c r="P2141"/>
    </row>
    <row r="2142" spans="1:16" ht="15" x14ac:dyDescent="0.2">
      <c r="A2142"/>
      <c r="B2142"/>
      <c r="C2142"/>
      <c r="D2142"/>
      <c r="E2142"/>
      <c r="F2142"/>
      <c r="G2142"/>
      <c r="H2142"/>
      <c r="I2142"/>
      <c r="J2142"/>
      <c r="K2142"/>
      <c r="L2142"/>
      <c r="M2142" s="16"/>
      <c r="N2142"/>
      <c r="O2142"/>
      <c r="P2142"/>
    </row>
    <row r="2143" spans="1:16" ht="15" x14ac:dyDescent="0.2">
      <c r="A2143"/>
      <c r="B2143"/>
      <c r="C2143"/>
      <c r="D2143"/>
      <c r="E2143"/>
      <c r="F2143"/>
      <c r="G2143"/>
      <c r="H2143"/>
      <c r="I2143"/>
      <c r="J2143"/>
      <c r="K2143"/>
      <c r="L2143"/>
      <c r="M2143" s="16"/>
      <c r="N2143"/>
      <c r="O2143"/>
      <c r="P2143"/>
    </row>
    <row r="2144" spans="1:16" ht="15" x14ac:dyDescent="0.2">
      <c r="A2144"/>
      <c r="B2144"/>
      <c r="C2144"/>
      <c r="D2144"/>
      <c r="E2144"/>
      <c r="F2144"/>
      <c r="G2144"/>
      <c r="H2144"/>
      <c r="I2144"/>
      <c r="J2144"/>
      <c r="K2144"/>
      <c r="L2144"/>
      <c r="M2144" s="16"/>
      <c r="N2144"/>
      <c r="O2144"/>
      <c r="P2144"/>
    </row>
    <row r="2145" spans="1:16" ht="15" x14ac:dyDescent="0.2">
      <c r="A2145"/>
      <c r="B2145"/>
      <c r="C2145"/>
      <c r="D2145"/>
      <c r="E2145"/>
      <c r="F2145"/>
      <c r="G2145"/>
      <c r="H2145"/>
      <c r="I2145"/>
      <c r="J2145"/>
      <c r="K2145"/>
      <c r="L2145"/>
      <c r="M2145" s="16"/>
      <c r="N2145"/>
      <c r="O2145"/>
      <c r="P2145"/>
    </row>
    <row r="2146" spans="1:16" ht="15" x14ac:dyDescent="0.2">
      <c r="A2146"/>
      <c r="B2146"/>
      <c r="C2146"/>
      <c r="D2146"/>
      <c r="E2146"/>
      <c r="F2146"/>
      <c r="G2146"/>
      <c r="H2146"/>
      <c r="I2146"/>
      <c r="J2146"/>
      <c r="K2146"/>
      <c r="L2146"/>
      <c r="M2146" s="16"/>
      <c r="N2146"/>
      <c r="O2146"/>
      <c r="P2146"/>
    </row>
    <row r="2147" spans="1:16" ht="15" x14ac:dyDescent="0.2">
      <c r="A2147"/>
      <c r="B2147"/>
      <c r="C2147"/>
      <c r="D2147"/>
      <c r="E2147"/>
      <c r="F2147"/>
      <c r="G2147"/>
      <c r="H2147"/>
      <c r="I2147"/>
      <c r="J2147"/>
      <c r="K2147"/>
      <c r="L2147"/>
      <c r="M2147" s="16"/>
      <c r="N2147"/>
      <c r="O2147"/>
      <c r="P2147"/>
    </row>
    <row r="2148" spans="1:16" ht="15" x14ac:dyDescent="0.2">
      <c r="A2148"/>
      <c r="B2148"/>
      <c r="C2148"/>
      <c r="D2148"/>
      <c r="E2148"/>
      <c r="F2148"/>
      <c r="G2148"/>
      <c r="H2148"/>
      <c r="I2148"/>
      <c r="J2148"/>
      <c r="K2148"/>
      <c r="L2148"/>
      <c r="M2148" s="16"/>
      <c r="N2148"/>
      <c r="O2148"/>
      <c r="P2148"/>
    </row>
    <row r="2149" spans="1:16" ht="15" x14ac:dyDescent="0.2">
      <c r="A2149"/>
      <c r="B2149"/>
      <c r="C2149"/>
      <c r="D2149"/>
      <c r="E2149"/>
      <c r="F2149"/>
      <c r="G2149"/>
      <c r="H2149"/>
      <c r="I2149"/>
      <c r="J2149"/>
      <c r="K2149"/>
      <c r="L2149"/>
      <c r="M2149" s="16"/>
      <c r="N2149"/>
      <c r="O2149"/>
      <c r="P2149"/>
    </row>
    <row r="2150" spans="1:16" ht="15" x14ac:dyDescent="0.2">
      <c r="A2150"/>
      <c r="B2150"/>
      <c r="C2150"/>
      <c r="D2150"/>
      <c r="E2150"/>
      <c r="F2150"/>
      <c r="G2150"/>
      <c r="H2150"/>
      <c r="I2150"/>
      <c r="J2150"/>
      <c r="K2150"/>
      <c r="L2150"/>
      <c r="M2150" s="16"/>
      <c r="N2150"/>
      <c r="O2150"/>
      <c r="P2150"/>
    </row>
    <row r="2151" spans="1:16" ht="15" x14ac:dyDescent="0.2">
      <c r="A2151"/>
      <c r="B2151"/>
      <c r="C2151"/>
      <c r="D2151"/>
      <c r="E2151"/>
      <c r="F2151"/>
      <c r="G2151"/>
      <c r="H2151"/>
      <c r="I2151"/>
      <c r="J2151"/>
      <c r="K2151"/>
      <c r="L2151"/>
      <c r="M2151" s="16"/>
      <c r="N2151"/>
      <c r="O2151"/>
      <c r="P2151"/>
    </row>
    <row r="2152" spans="1:16" ht="15" x14ac:dyDescent="0.2">
      <c r="A2152"/>
      <c r="B2152"/>
      <c r="C2152"/>
      <c r="D2152"/>
      <c r="E2152"/>
      <c r="F2152"/>
      <c r="G2152"/>
      <c r="H2152"/>
      <c r="I2152"/>
      <c r="J2152"/>
      <c r="K2152"/>
      <c r="L2152"/>
      <c r="M2152" s="16"/>
      <c r="N2152"/>
      <c r="O2152"/>
      <c r="P2152"/>
    </row>
    <row r="2153" spans="1:16" ht="15" x14ac:dyDescent="0.2">
      <c r="A2153"/>
      <c r="B2153"/>
      <c r="C2153"/>
      <c r="D2153"/>
      <c r="E2153"/>
      <c r="F2153"/>
      <c r="G2153"/>
      <c r="H2153"/>
      <c r="I2153"/>
      <c r="J2153"/>
      <c r="K2153"/>
      <c r="L2153"/>
      <c r="M2153" s="16"/>
      <c r="N2153"/>
      <c r="O2153"/>
      <c r="P2153"/>
    </row>
    <row r="2154" spans="1:16" ht="15" x14ac:dyDescent="0.2">
      <c r="A2154"/>
      <c r="B2154"/>
      <c r="C2154"/>
      <c r="D2154"/>
      <c r="E2154"/>
      <c r="F2154"/>
      <c r="G2154"/>
      <c r="H2154"/>
      <c r="I2154"/>
      <c r="J2154"/>
      <c r="K2154"/>
      <c r="L2154"/>
      <c r="M2154" s="16"/>
      <c r="N2154"/>
      <c r="O2154"/>
      <c r="P2154"/>
    </row>
    <row r="2155" spans="1:16" ht="15" x14ac:dyDescent="0.2">
      <c r="A2155"/>
      <c r="B2155"/>
      <c r="C2155"/>
      <c r="D2155"/>
      <c r="E2155"/>
      <c r="F2155"/>
      <c r="G2155"/>
      <c r="H2155"/>
      <c r="I2155"/>
      <c r="J2155"/>
      <c r="K2155"/>
      <c r="L2155"/>
      <c r="M2155" s="16"/>
      <c r="N2155"/>
      <c r="O2155"/>
      <c r="P2155"/>
    </row>
    <row r="2156" spans="1:16" ht="15" x14ac:dyDescent="0.2">
      <c r="A2156"/>
      <c r="B2156"/>
      <c r="C2156"/>
      <c r="D2156"/>
      <c r="E2156"/>
      <c r="F2156"/>
      <c r="G2156"/>
      <c r="H2156"/>
      <c r="I2156"/>
      <c r="J2156"/>
      <c r="K2156"/>
      <c r="L2156"/>
      <c r="M2156" s="16"/>
      <c r="N2156"/>
      <c r="O2156"/>
      <c r="P2156"/>
    </row>
    <row r="2157" spans="1:16" ht="15" x14ac:dyDescent="0.2">
      <c r="A2157"/>
      <c r="B2157"/>
      <c r="C2157"/>
      <c r="D2157"/>
      <c r="E2157"/>
      <c r="F2157"/>
      <c r="G2157"/>
      <c r="H2157"/>
      <c r="I2157"/>
      <c r="J2157"/>
      <c r="K2157"/>
      <c r="L2157"/>
      <c r="M2157" s="16"/>
      <c r="N2157"/>
      <c r="O2157"/>
      <c r="P2157"/>
    </row>
    <row r="2158" spans="1:16" ht="15" x14ac:dyDescent="0.2">
      <c r="A2158"/>
      <c r="B2158"/>
      <c r="C2158"/>
      <c r="D2158"/>
      <c r="E2158"/>
      <c r="F2158"/>
      <c r="G2158"/>
      <c r="H2158"/>
      <c r="I2158"/>
      <c r="J2158"/>
      <c r="K2158"/>
      <c r="L2158"/>
      <c r="M2158" s="16"/>
      <c r="N2158"/>
      <c r="O2158"/>
      <c r="P2158"/>
    </row>
    <row r="2159" spans="1:16" ht="15" x14ac:dyDescent="0.2">
      <c r="A2159"/>
      <c r="B2159"/>
      <c r="C2159"/>
      <c r="D2159"/>
      <c r="E2159"/>
      <c r="F2159"/>
      <c r="G2159"/>
      <c r="H2159"/>
      <c r="I2159"/>
      <c r="J2159"/>
      <c r="K2159"/>
      <c r="L2159"/>
      <c r="M2159" s="16"/>
      <c r="N2159"/>
      <c r="O2159"/>
      <c r="P2159"/>
    </row>
    <row r="2160" spans="1:16" ht="15" x14ac:dyDescent="0.2">
      <c r="A2160"/>
      <c r="B2160"/>
      <c r="C2160"/>
      <c r="D2160"/>
      <c r="E2160"/>
      <c r="F2160"/>
      <c r="G2160"/>
      <c r="H2160"/>
      <c r="I2160"/>
      <c r="J2160"/>
      <c r="K2160"/>
      <c r="L2160"/>
      <c r="M2160" s="16"/>
      <c r="N2160"/>
      <c r="O2160"/>
      <c r="P2160"/>
    </row>
    <row r="2161" spans="1:16" ht="15" x14ac:dyDescent="0.2">
      <c r="A2161"/>
      <c r="B2161"/>
      <c r="C2161"/>
      <c r="D2161"/>
      <c r="E2161"/>
      <c r="F2161"/>
      <c r="G2161"/>
      <c r="H2161"/>
      <c r="I2161"/>
      <c r="J2161"/>
      <c r="K2161"/>
      <c r="L2161"/>
      <c r="M2161" s="16"/>
      <c r="N2161"/>
      <c r="O2161"/>
      <c r="P2161"/>
    </row>
    <row r="2162" spans="1:16" ht="15" x14ac:dyDescent="0.2">
      <c r="A2162"/>
      <c r="B2162"/>
      <c r="C2162"/>
      <c r="D2162"/>
      <c r="E2162"/>
      <c r="F2162"/>
      <c r="G2162"/>
      <c r="H2162"/>
      <c r="I2162"/>
      <c r="J2162"/>
      <c r="K2162"/>
      <c r="L2162"/>
      <c r="M2162" s="16"/>
      <c r="N2162"/>
      <c r="O2162"/>
      <c r="P2162"/>
    </row>
    <row r="2163" spans="1:16" ht="15" x14ac:dyDescent="0.2">
      <c r="A2163"/>
      <c r="B2163"/>
      <c r="C2163"/>
      <c r="D2163"/>
      <c r="E2163"/>
      <c r="F2163"/>
      <c r="G2163"/>
      <c r="H2163"/>
      <c r="I2163"/>
      <c r="J2163"/>
      <c r="K2163"/>
      <c r="L2163"/>
      <c r="M2163" s="16"/>
      <c r="N2163"/>
      <c r="O2163"/>
      <c r="P2163"/>
    </row>
    <row r="2164" spans="1:16" ht="15" x14ac:dyDescent="0.2">
      <c r="A2164"/>
      <c r="B2164"/>
      <c r="C2164"/>
      <c r="D2164"/>
      <c r="E2164"/>
      <c r="F2164"/>
      <c r="G2164"/>
      <c r="H2164"/>
      <c r="I2164"/>
      <c r="J2164"/>
      <c r="K2164"/>
      <c r="L2164"/>
      <c r="M2164" s="16"/>
      <c r="N2164"/>
      <c r="O2164"/>
      <c r="P2164"/>
    </row>
    <row r="2165" spans="1:16" ht="15" x14ac:dyDescent="0.2">
      <c r="A2165"/>
      <c r="B2165"/>
      <c r="C2165"/>
      <c r="D2165"/>
      <c r="E2165"/>
      <c r="F2165"/>
      <c r="G2165"/>
      <c r="H2165"/>
      <c r="I2165"/>
      <c r="J2165"/>
      <c r="K2165"/>
      <c r="L2165"/>
      <c r="M2165" s="16"/>
      <c r="N2165"/>
      <c r="O2165"/>
      <c r="P2165"/>
    </row>
    <row r="2166" spans="1:16" ht="15" x14ac:dyDescent="0.2">
      <c r="A2166"/>
      <c r="B2166"/>
      <c r="C2166"/>
      <c r="D2166"/>
      <c r="E2166"/>
      <c r="F2166"/>
      <c r="G2166"/>
      <c r="H2166"/>
      <c r="I2166"/>
      <c r="J2166"/>
      <c r="K2166"/>
      <c r="L2166"/>
      <c r="M2166" s="16"/>
      <c r="N2166"/>
      <c r="O2166"/>
      <c r="P2166"/>
    </row>
    <row r="2167" spans="1:16" ht="15" x14ac:dyDescent="0.2">
      <c r="A2167"/>
      <c r="B2167"/>
      <c r="C2167"/>
      <c r="D2167"/>
      <c r="E2167"/>
      <c r="F2167"/>
      <c r="G2167"/>
      <c r="H2167"/>
      <c r="I2167"/>
      <c r="J2167"/>
      <c r="K2167"/>
      <c r="L2167"/>
      <c r="M2167" s="16"/>
      <c r="N2167"/>
      <c r="O2167"/>
      <c r="P2167"/>
    </row>
    <row r="2168" spans="1:16" ht="15" x14ac:dyDescent="0.2">
      <c r="A2168"/>
      <c r="B2168"/>
      <c r="C2168"/>
      <c r="D2168"/>
      <c r="E2168"/>
      <c r="F2168"/>
      <c r="G2168"/>
      <c r="H2168"/>
      <c r="I2168"/>
      <c r="J2168"/>
      <c r="K2168"/>
      <c r="L2168"/>
      <c r="M2168" s="16"/>
      <c r="N2168"/>
      <c r="O2168"/>
      <c r="P2168"/>
    </row>
    <row r="2169" spans="1:16" ht="15" x14ac:dyDescent="0.2">
      <c r="A2169"/>
      <c r="B2169"/>
      <c r="C2169"/>
      <c r="D2169"/>
      <c r="E2169"/>
      <c r="F2169"/>
      <c r="G2169"/>
      <c r="H2169"/>
      <c r="I2169"/>
      <c r="J2169"/>
      <c r="K2169"/>
      <c r="L2169"/>
      <c r="M2169" s="16"/>
      <c r="N2169"/>
      <c r="O2169"/>
      <c r="P2169"/>
    </row>
    <row r="2170" spans="1:16" ht="15" x14ac:dyDescent="0.2">
      <c r="A2170"/>
      <c r="B2170"/>
      <c r="C2170"/>
      <c r="D2170"/>
      <c r="E2170"/>
      <c r="F2170"/>
      <c r="G2170"/>
      <c r="H2170"/>
      <c r="I2170"/>
      <c r="J2170"/>
      <c r="K2170"/>
      <c r="L2170"/>
      <c r="M2170" s="16"/>
      <c r="N2170"/>
      <c r="O2170"/>
      <c r="P2170"/>
    </row>
    <row r="2171" spans="1:16" ht="15" x14ac:dyDescent="0.2">
      <c r="A2171"/>
      <c r="B2171"/>
      <c r="C2171"/>
      <c r="D2171"/>
      <c r="E2171"/>
      <c r="F2171"/>
      <c r="G2171"/>
      <c r="H2171"/>
      <c r="I2171"/>
      <c r="J2171"/>
      <c r="K2171"/>
      <c r="L2171"/>
      <c r="M2171" s="16"/>
      <c r="N2171"/>
      <c r="O2171"/>
      <c r="P2171"/>
    </row>
    <row r="2172" spans="1:16" ht="15" x14ac:dyDescent="0.2">
      <c r="A2172"/>
      <c r="B2172"/>
      <c r="C2172"/>
      <c r="D2172"/>
      <c r="E2172"/>
      <c r="F2172"/>
      <c r="G2172"/>
      <c r="H2172"/>
      <c r="I2172"/>
      <c r="J2172"/>
      <c r="K2172"/>
      <c r="L2172"/>
      <c r="M2172" s="16"/>
      <c r="N2172"/>
      <c r="O2172"/>
      <c r="P2172"/>
    </row>
    <row r="2173" spans="1:16" ht="15" x14ac:dyDescent="0.2">
      <c r="A2173"/>
      <c r="B2173"/>
      <c r="C2173"/>
      <c r="D2173"/>
      <c r="E2173"/>
      <c r="F2173"/>
      <c r="G2173"/>
      <c r="H2173"/>
      <c r="I2173"/>
      <c r="J2173"/>
      <c r="K2173"/>
      <c r="L2173"/>
      <c r="M2173" s="16"/>
      <c r="N2173"/>
      <c r="O2173"/>
      <c r="P2173"/>
    </row>
    <row r="2174" spans="1:16" ht="15" x14ac:dyDescent="0.2">
      <c r="A2174"/>
      <c r="B2174"/>
      <c r="C2174"/>
      <c r="D2174"/>
      <c r="E2174"/>
      <c r="F2174"/>
      <c r="G2174"/>
      <c r="H2174"/>
      <c r="I2174"/>
      <c r="J2174"/>
      <c r="K2174"/>
      <c r="L2174"/>
      <c r="M2174" s="16"/>
      <c r="N2174"/>
      <c r="O2174"/>
      <c r="P2174"/>
    </row>
    <row r="2175" spans="1:16" ht="15" x14ac:dyDescent="0.2">
      <c r="A2175"/>
      <c r="B2175"/>
      <c r="C2175"/>
      <c r="D2175"/>
      <c r="E2175"/>
      <c r="F2175"/>
      <c r="G2175"/>
      <c r="H2175"/>
      <c r="I2175"/>
      <c r="J2175"/>
      <c r="K2175"/>
      <c r="L2175"/>
      <c r="M2175" s="16"/>
      <c r="N2175"/>
      <c r="O2175"/>
      <c r="P2175"/>
    </row>
    <row r="2176" spans="1:16" ht="15" x14ac:dyDescent="0.2">
      <c r="A2176"/>
      <c r="B2176"/>
      <c r="C2176"/>
      <c r="D2176"/>
      <c r="E2176"/>
      <c r="F2176"/>
      <c r="G2176"/>
      <c r="H2176"/>
      <c r="I2176"/>
      <c r="J2176"/>
      <c r="K2176"/>
      <c r="L2176"/>
      <c r="M2176" s="16"/>
      <c r="N2176"/>
      <c r="O2176"/>
      <c r="P2176"/>
    </row>
    <row r="2177" spans="1:16" ht="15" x14ac:dyDescent="0.2">
      <c r="A2177"/>
      <c r="B2177"/>
      <c r="C2177"/>
      <c r="D2177"/>
      <c r="E2177"/>
      <c r="F2177"/>
      <c r="G2177"/>
      <c r="H2177"/>
      <c r="I2177"/>
      <c r="J2177"/>
      <c r="K2177"/>
      <c r="L2177"/>
      <c r="M2177" s="16"/>
      <c r="N2177"/>
      <c r="O2177"/>
      <c r="P2177"/>
    </row>
    <row r="2178" spans="1:16" ht="15" x14ac:dyDescent="0.2">
      <c r="A2178"/>
      <c r="B2178"/>
      <c r="C2178"/>
      <c r="D2178"/>
      <c r="E2178"/>
      <c r="F2178"/>
      <c r="G2178"/>
      <c r="H2178"/>
      <c r="I2178"/>
      <c r="J2178"/>
      <c r="K2178"/>
      <c r="L2178"/>
      <c r="M2178" s="16"/>
      <c r="N2178"/>
      <c r="O2178"/>
      <c r="P2178"/>
    </row>
    <row r="2179" spans="1:16" ht="15" x14ac:dyDescent="0.2">
      <c r="A2179"/>
      <c r="B2179"/>
      <c r="C2179"/>
      <c r="D2179"/>
      <c r="E2179"/>
      <c r="F2179"/>
      <c r="G2179"/>
      <c r="H2179"/>
      <c r="I2179"/>
      <c r="J2179"/>
      <c r="K2179"/>
      <c r="L2179"/>
      <c r="M2179" s="16"/>
      <c r="N2179"/>
      <c r="O2179"/>
      <c r="P2179"/>
    </row>
    <row r="2180" spans="1:16" ht="15" x14ac:dyDescent="0.2">
      <c r="A2180"/>
      <c r="B2180"/>
      <c r="C2180"/>
      <c r="D2180"/>
      <c r="E2180"/>
      <c r="F2180"/>
      <c r="G2180"/>
      <c r="H2180"/>
      <c r="I2180"/>
      <c r="J2180"/>
      <c r="K2180"/>
      <c r="L2180"/>
      <c r="M2180" s="16"/>
      <c r="N2180"/>
      <c r="O2180"/>
      <c r="P2180"/>
    </row>
    <row r="2181" spans="1:16" ht="15" x14ac:dyDescent="0.2">
      <c r="A2181"/>
      <c r="B2181"/>
      <c r="C2181"/>
      <c r="D2181"/>
      <c r="E2181"/>
      <c r="F2181"/>
      <c r="G2181"/>
      <c r="H2181"/>
      <c r="I2181"/>
      <c r="J2181"/>
      <c r="K2181"/>
      <c r="L2181"/>
      <c r="M2181" s="16"/>
      <c r="N2181"/>
      <c r="O2181"/>
      <c r="P2181"/>
    </row>
    <row r="2182" spans="1:16" ht="15" x14ac:dyDescent="0.2">
      <c r="A2182"/>
      <c r="B2182"/>
      <c r="C2182"/>
      <c r="D2182"/>
      <c r="E2182"/>
      <c r="F2182"/>
      <c r="G2182"/>
      <c r="H2182"/>
      <c r="I2182"/>
      <c r="J2182"/>
      <c r="K2182"/>
      <c r="L2182"/>
      <c r="M2182" s="16"/>
      <c r="N2182"/>
      <c r="O2182"/>
      <c r="P2182"/>
    </row>
    <row r="2183" spans="1:16" ht="15" x14ac:dyDescent="0.2">
      <c r="A2183"/>
      <c r="B2183"/>
      <c r="C2183"/>
      <c r="D2183"/>
      <c r="E2183"/>
      <c r="F2183"/>
      <c r="G2183"/>
      <c r="H2183"/>
      <c r="I2183"/>
      <c r="J2183"/>
      <c r="K2183"/>
      <c r="L2183"/>
      <c r="M2183" s="16"/>
      <c r="N2183"/>
      <c r="O2183"/>
      <c r="P2183"/>
    </row>
    <row r="2184" spans="1:16" ht="15" x14ac:dyDescent="0.2">
      <c r="A2184"/>
      <c r="B2184"/>
      <c r="C2184"/>
      <c r="D2184"/>
      <c r="E2184"/>
      <c r="F2184"/>
      <c r="G2184"/>
      <c r="H2184"/>
      <c r="I2184"/>
      <c r="J2184"/>
      <c r="K2184"/>
      <c r="L2184"/>
      <c r="M2184" s="16"/>
      <c r="N2184"/>
      <c r="O2184"/>
      <c r="P2184"/>
    </row>
    <row r="2185" spans="1:16" ht="15" x14ac:dyDescent="0.2">
      <c r="A2185"/>
      <c r="B2185"/>
      <c r="C2185"/>
      <c r="D2185"/>
      <c r="E2185"/>
      <c r="F2185"/>
      <c r="G2185"/>
      <c r="H2185"/>
      <c r="I2185"/>
      <c r="J2185"/>
      <c r="K2185"/>
      <c r="L2185"/>
      <c r="M2185" s="16"/>
      <c r="N2185"/>
      <c r="O2185"/>
      <c r="P2185"/>
    </row>
    <row r="2186" spans="1:16" ht="15" x14ac:dyDescent="0.2">
      <c r="A2186"/>
      <c r="B2186"/>
      <c r="C2186"/>
      <c r="D2186"/>
      <c r="E2186"/>
      <c r="F2186"/>
      <c r="G2186"/>
      <c r="H2186"/>
      <c r="I2186"/>
      <c r="J2186"/>
      <c r="K2186"/>
      <c r="L2186"/>
      <c r="M2186" s="16"/>
      <c r="N2186"/>
      <c r="O2186"/>
      <c r="P2186"/>
    </row>
    <row r="2187" spans="1:16" ht="15" x14ac:dyDescent="0.2">
      <c r="A2187"/>
      <c r="B2187"/>
      <c r="C2187"/>
      <c r="D2187"/>
      <c r="E2187"/>
      <c r="F2187"/>
      <c r="G2187"/>
      <c r="H2187"/>
      <c r="I2187"/>
      <c r="J2187"/>
      <c r="K2187"/>
      <c r="L2187"/>
      <c r="M2187" s="16"/>
      <c r="N2187"/>
      <c r="O2187"/>
      <c r="P2187"/>
    </row>
    <row r="2188" spans="1:16" ht="15" x14ac:dyDescent="0.2">
      <c r="A2188"/>
      <c r="B2188"/>
      <c r="C2188"/>
      <c r="D2188"/>
      <c r="E2188"/>
      <c r="F2188"/>
      <c r="G2188"/>
      <c r="H2188"/>
      <c r="I2188"/>
      <c r="J2188"/>
      <c r="K2188"/>
      <c r="L2188"/>
      <c r="M2188" s="16"/>
      <c r="N2188"/>
      <c r="O2188"/>
      <c r="P2188"/>
    </row>
    <row r="2189" spans="1:16" ht="15" x14ac:dyDescent="0.2">
      <c r="A2189"/>
      <c r="B2189"/>
      <c r="C2189"/>
      <c r="D2189"/>
      <c r="E2189"/>
      <c r="F2189"/>
      <c r="G2189"/>
      <c r="H2189"/>
      <c r="I2189"/>
      <c r="J2189"/>
      <c r="K2189"/>
      <c r="L2189"/>
      <c r="M2189" s="16"/>
      <c r="N2189"/>
      <c r="O2189"/>
      <c r="P2189"/>
    </row>
    <row r="2190" spans="1:16" ht="15" x14ac:dyDescent="0.2">
      <c r="A2190"/>
      <c r="B2190"/>
      <c r="C2190"/>
      <c r="D2190"/>
      <c r="E2190"/>
      <c r="F2190"/>
      <c r="G2190"/>
      <c r="H2190"/>
      <c r="I2190"/>
      <c r="J2190"/>
      <c r="K2190"/>
      <c r="L2190"/>
      <c r="M2190" s="16"/>
      <c r="N2190"/>
      <c r="O2190"/>
      <c r="P2190"/>
    </row>
    <row r="2191" spans="1:16" ht="15" x14ac:dyDescent="0.2">
      <c r="A2191"/>
      <c r="B2191"/>
      <c r="C2191"/>
      <c r="D2191"/>
      <c r="E2191"/>
      <c r="F2191"/>
      <c r="G2191"/>
      <c r="H2191"/>
      <c r="I2191"/>
      <c r="J2191"/>
      <c r="K2191"/>
      <c r="L2191"/>
      <c r="M2191" s="16"/>
      <c r="N2191"/>
      <c r="O2191"/>
      <c r="P2191"/>
    </row>
    <row r="2192" spans="1:16" ht="15" x14ac:dyDescent="0.2">
      <c r="A2192"/>
      <c r="B2192"/>
      <c r="C2192"/>
      <c r="D2192"/>
      <c r="E2192"/>
      <c r="F2192"/>
      <c r="G2192"/>
      <c r="H2192"/>
      <c r="I2192"/>
      <c r="J2192"/>
      <c r="K2192"/>
      <c r="L2192"/>
      <c r="M2192" s="16"/>
      <c r="N2192"/>
      <c r="O2192"/>
      <c r="P2192"/>
    </row>
    <row r="2193" spans="1:16" ht="15" x14ac:dyDescent="0.2">
      <c r="A2193"/>
      <c r="B2193"/>
      <c r="C2193"/>
      <c r="D2193"/>
      <c r="E2193"/>
      <c r="F2193"/>
      <c r="G2193"/>
      <c r="H2193"/>
      <c r="I2193"/>
      <c r="J2193"/>
      <c r="K2193"/>
      <c r="L2193"/>
      <c r="M2193" s="16"/>
      <c r="N2193"/>
      <c r="O2193"/>
      <c r="P2193"/>
    </row>
    <row r="2194" spans="1:16" ht="15" x14ac:dyDescent="0.2">
      <c r="A2194"/>
      <c r="B2194"/>
      <c r="C2194"/>
      <c r="D2194"/>
      <c r="E2194"/>
      <c r="F2194"/>
      <c r="G2194"/>
      <c r="H2194"/>
      <c r="I2194"/>
      <c r="J2194"/>
      <c r="K2194"/>
      <c r="L2194"/>
      <c r="M2194" s="16"/>
      <c r="N2194"/>
      <c r="O2194"/>
      <c r="P2194"/>
    </row>
    <row r="2195" spans="1:16" ht="15" x14ac:dyDescent="0.2">
      <c r="A2195"/>
      <c r="B2195"/>
      <c r="C2195"/>
      <c r="D2195"/>
      <c r="E2195"/>
      <c r="F2195"/>
      <c r="G2195"/>
      <c r="H2195"/>
      <c r="I2195"/>
      <c r="J2195"/>
      <c r="K2195"/>
      <c r="L2195"/>
      <c r="M2195" s="16"/>
      <c r="N2195"/>
      <c r="O2195"/>
      <c r="P2195"/>
    </row>
    <row r="2196" spans="1:16" ht="15" x14ac:dyDescent="0.2">
      <c r="A2196"/>
      <c r="B2196"/>
      <c r="C2196"/>
      <c r="D2196"/>
      <c r="E2196"/>
      <c r="F2196"/>
      <c r="G2196"/>
      <c r="H2196"/>
      <c r="I2196"/>
      <c r="J2196"/>
      <c r="K2196"/>
      <c r="L2196"/>
      <c r="M2196" s="16"/>
      <c r="N2196"/>
      <c r="O2196"/>
      <c r="P2196"/>
    </row>
    <row r="2197" spans="1:16" ht="15" x14ac:dyDescent="0.2">
      <c r="A2197"/>
      <c r="B2197"/>
      <c r="C2197"/>
      <c r="D2197"/>
      <c r="E2197"/>
      <c r="F2197"/>
      <c r="G2197"/>
      <c r="H2197"/>
      <c r="I2197"/>
      <c r="J2197"/>
      <c r="K2197"/>
      <c r="L2197"/>
      <c r="M2197" s="16"/>
      <c r="N2197"/>
      <c r="O2197"/>
      <c r="P2197"/>
    </row>
    <row r="2198" spans="1:16" ht="15" x14ac:dyDescent="0.2">
      <c r="A2198"/>
      <c r="B2198"/>
      <c r="C2198"/>
      <c r="D2198"/>
      <c r="E2198"/>
      <c r="F2198"/>
      <c r="G2198"/>
      <c r="H2198"/>
      <c r="I2198"/>
      <c r="J2198"/>
      <c r="K2198"/>
      <c r="L2198"/>
      <c r="M2198" s="16"/>
      <c r="N2198"/>
      <c r="O2198"/>
      <c r="P2198"/>
    </row>
    <row r="2199" spans="1:16" ht="15" x14ac:dyDescent="0.2">
      <c r="A2199"/>
      <c r="B2199"/>
      <c r="C2199"/>
      <c r="D2199"/>
      <c r="E2199"/>
      <c r="F2199"/>
      <c r="G2199"/>
      <c r="H2199"/>
      <c r="I2199"/>
      <c r="J2199"/>
      <c r="K2199"/>
      <c r="L2199"/>
      <c r="M2199" s="16"/>
      <c r="N2199"/>
      <c r="O2199"/>
      <c r="P2199"/>
    </row>
    <row r="2200" spans="1:16" ht="15" x14ac:dyDescent="0.2">
      <c r="A2200"/>
      <c r="B2200"/>
      <c r="C2200"/>
      <c r="D2200"/>
      <c r="E2200"/>
      <c r="F2200"/>
      <c r="G2200"/>
      <c r="H2200"/>
      <c r="I2200"/>
      <c r="J2200"/>
      <c r="K2200"/>
      <c r="L2200"/>
      <c r="M2200" s="16"/>
      <c r="N2200"/>
      <c r="O2200"/>
      <c r="P2200"/>
    </row>
    <row r="2201" spans="1:16" ht="15" x14ac:dyDescent="0.2">
      <c r="A2201"/>
      <c r="B2201"/>
      <c r="C2201"/>
      <c r="D2201"/>
      <c r="E2201"/>
      <c r="F2201"/>
      <c r="G2201"/>
      <c r="H2201"/>
      <c r="I2201"/>
      <c r="J2201"/>
      <c r="K2201"/>
      <c r="L2201"/>
      <c r="M2201" s="16"/>
      <c r="N2201"/>
      <c r="O2201"/>
      <c r="P2201"/>
    </row>
    <row r="2202" spans="1:16" ht="15" x14ac:dyDescent="0.2">
      <c r="A2202"/>
      <c r="B2202"/>
      <c r="C2202"/>
      <c r="D2202"/>
      <c r="E2202"/>
      <c r="F2202"/>
      <c r="G2202"/>
      <c r="H2202"/>
      <c r="I2202"/>
      <c r="J2202"/>
      <c r="K2202"/>
      <c r="L2202"/>
      <c r="M2202" s="16"/>
      <c r="N2202"/>
      <c r="O2202"/>
      <c r="P2202"/>
    </row>
    <row r="2203" spans="1:16" ht="15" x14ac:dyDescent="0.2">
      <c r="A2203"/>
      <c r="B2203"/>
      <c r="C2203"/>
      <c r="D2203"/>
      <c r="E2203"/>
      <c r="F2203"/>
      <c r="G2203"/>
      <c r="H2203"/>
      <c r="I2203"/>
      <c r="J2203"/>
      <c r="K2203"/>
      <c r="L2203"/>
      <c r="M2203" s="16"/>
      <c r="N2203"/>
      <c r="O2203"/>
      <c r="P2203"/>
    </row>
    <row r="2204" spans="1:16" ht="15" x14ac:dyDescent="0.2">
      <c r="A2204"/>
      <c r="B2204"/>
      <c r="C2204"/>
      <c r="D2204"/>
      <c r="E2204"/>
      <c r="F2204"/>
      <c r="G2204"/>
      <c r="H2204"/>
      <c r="I2204"/>
      <c r="J2204"/>
      <c r="K2204"/>
      <c r="L2204"/>
      <c r="M2204" s="16"/>
      <c r="N2204"/>
      <c r="O2204"/>
      <c r="P2204"/>
    </row>
    <row r="2205" spans="1:16" ht="15" x14ac:dyDescent="0.2">
      <c r="A2205"/>
      <c r="B2205"/>
      <c r="C2205"/>
      <c r="D2205"/>
      <c r="E2205"/>
      <c r="F2205"/>
      <c r="G2205"/>
      <c r="H2205"/>
      <c r="I2205"/>
      <c r="J2205"/>
      <c r="K2205"/>
      <c r="L2205"/>
      <c r="M2205" s="16"/>
      <c r="N2205"/>
      <c r="O2205"/>
      <c r="P2205"/>
    </row>
    <row r="2206" spans="1:16" ht="15" x14ac:dyDescent="0.2">
      <c r="A2206"/>
      <c r="B2206"/>
      <c r="C2206"/>
      <c r="D2206"/>
      <c r="E2206"/>
      <c r="F2206"/>
      <c r="G2206"/>
      <c r="H2206"/>
      <c r="I2206"/>
      <c r="J2206"/>
      <c r="K2206"/>
      <c r="L2206"/>
      <c r="M2206" s="16"/>
      <c r="N2206"/>
      <c r="O2206"/>
      <c r="P2206"/>
    </row>
    <row r="2207" spans="1:16" ht="15" x14ac:dyDescent="0.2">
      <c r="A2207"/>
      <c r="B2207"/>
      <c r="C2207"/>
      <c r="D2207"/>
      <c r="E2207"/>
      <c r="F2207"/>
      <c r="G2207"/>
      <c r="H2207"/>
      <c r="I2207"/>
      <c r="J2207"/>
      <c r="K2207"/>
      <c r="L2207"/>
      <c r="M2207" s="16"/>
      <c r="N2207"/>
      <c r="O2207"/>
      <c r="P2207"/>
    </row>
    <row r="2208" spans="1:16" ht="15" x14ac:dyDescent="0.2">
      <c r="A2208"/>
      <c r="B2208"/>
      <c r="C2208"/>
      <c r="D2208"/>
      <c r="E2208"/>
      <c r="F2208"/>
      <c r="G2208"/>
      <c r="H2208"/>
      <c r="I2208"/>
      <c r="J2208"/>
      <c r="K2208"/>
      <c r="L2208"/>
      <c r="M2208" s="16"/>
      <c r="N2208"/>
      <c r="O2208"/>
      <c r="P2208"/>
    </row>
    <row r="2209" spans="1:16" ht="15" x14ac:dyDescent="0.2">
      <c r="A2209"/>
      <c r="B2209"/>
      <c r="C2209"/>
      <c r="D2209"/>
      <c r="E2209"/>
      <c r="F2209"/>
      <c r="G2209"/>
      <c r="H2209"/>
      <c r="I2209"/>
      <c r="J2209"/>
      <c r="K2209"/>
      <c r="L2209"/>
      <c r="M2209" s="16"/>
      <c r="N2209"/>
      <c r="O2209"/>
      <c r="P2209"/>
    </row>
    <row r="2210" spans="1:16" ht="15" x14ac:dyDescent="0.2">
      <c r="A2210"/>
      <c r="B2210"/>
      <c r="C2210"/>
      <c r="D2210"/>
      <c r="E2210"/>
      <c r="F2210"/>
      <c r="G2210"/>
      <c r="H2210"/>
      <c r="I2210"/>
      <c r="J2210"/>
      <c r="K2210"/>
      <c r="L2210"/>
      <c r="M2210" s="16"/>
      <c r="N2210"/>
      <c r="O2210"/>
      <c r="P2210"/>
    </row>
    <row r="2211" spans="1:16" ht="15" x14ac:dyDescent="0.2">
      <c r="A2211"/>
      <c r="B2211"/>
      <c r="C2211"/>
      <c r="D2211"/>
      <c r="E2211"/>
      <c r="F2211"/>
      <c r="G2211"/>
      <c r="H2211"/>
      <c r="I2211"/>
      <c r="J2211"/>
      <c r="K2211"/>
      <c r="L2211"/>
      <c r="M2211" s="16"/>
      <c r="N2211"/>
      <c r="O2211"/>
      <c r="P2211"/>
    </row>
    <row r="2212" spans="1:16" ht="15" x14ac:dyDescent="0.2">
      <c r="A2212"/>
      <c r="B2212"/>
      <c r="C2212"/>
      <c r="D2212"/>
      <c r="E2212"/>
      <c r="F2212"/>
      <c r="G2212"/>
      <c r="H2212"/>
      <c r="I2212"/>
      <c r="J2212"/>
      <c r="K2212"/>
      <c r="L2212"/>
      <c r="M2212" s="16"/>
      <c r="N2212"/>
      <c r="O2212"/>
      <c r="P2212"/>
    </row>
    <row r="2213" spans="1:16" ht="15" x14ac:dyDescent="0.2">
      <c r="A2213"/>
      <c r="B2213"/>
      <c r="C2213"/>
      <c r="D2213"/>
      <c r="E2213"/>
      <c r="F2213"/>
      <c r="G2213"/>
      <c r="H2213"/>
      <c r="I2213"/>
      <c r="J2213"/>
      <c r="K2213"/>
      <c r="L2213"/>
      <c r="M2213" s="16"/>
      <c r="N2213"/>
      <c r="O2213"/>
      <c r="P2213"/>
    </row>
    <row r="2214" spans="1:16" ht="15" x14ac:dyDescent="0.2">
      <c r="A2214"/>
      <c r="B2214"/>
      <c r="C2214"/>
      <c r="D2214"/>
      <c r="E2214"/>
      <c r="F2214"/>
      <c r="G2214"/>
      <c r="H2214"/>
      <c r="I2214"/>
      <c r="J2214"/>
      <c r="K2214"/>
      <c r="L2214"/>
      <c r="M2214" s="16"/>
      <c r="N2214"/>
      <c r="O2214"/>
      <c r="P2214"/>
    </row>
    <row r="2215" spans="1:16" ht="15" x14ac:dyDescent="0.2">
      <c r="A2215"/>
      <c r="B2215"/>
      <c r="C2215"/>
      <c r="D2215"/>
      <c r="E2215"/>
      <c r="F2215"/>
      <c r="G2215"/>
      <c r="H2215"/>
      <c r="I2215"/>
      <c r="J2215"/>
      <c r="K2215"/>
      <c r="L2215"/>
      <c r="M2215" s="16"/>
      <c r="N2215"/>
      <c r="O2215"/>
      <c r="P2215"/>
    </row>
    <row r="2216" spans="1:16" ht="15" x14ac:dyDescent="0.2">
      <c r="A2216"/>
      <c r="B2216"/>
      <c r="C2216"/>
      <c r="D2216"/>
      <c r="E2216"/>
      <c r="F2216"/>
      <c r="G2216"/>
      <c r="H2216"/>
      <c r="I2216"/>
      <c r="J2216"/>
      <c r="K2216"/>
      <c r="L2216"/>
      <c r="M2216" s="16"/>
      <c r="N2216"/>
      <c r="O2216"/>
      <c r="P2216"/>
    </row>
    <row r="2217" spans="1:16" ht="15" x14ac:dyDescent="0.2">
      <c r="A2217"/>
      <c r="B2217"/>
      <c r="C2217"/>
      <c r="D2217"/>
      <c r="E2217"/>
      <c r="F2217"/>
      <c r="G2217"/>
      <c r="H2217"/>
      <c r="I2217"/>
      <c r="J2217"/>
      <c r="K2217"/>
      <c r="L2217"/>
      <c r="M2217" s="16"/>
      <c r="N2217"/>
      <c r="O2217"/>
      <c r="P2217"/>
    </row>
    <row r="2218" spans="1:16" ht="15" x14ac:dyDescent="0.2">
      <c r="A2218"/>
      <c r="B2218"/>
      <c r="C2218"/>
      <c r="D2218"/>
      <c r="E2218"/>
      <c r="F2218"/>
      <c r="G2218"/>
      <c r="H2218"/>
      <c r="I2218"/>
      <c r="J2218"/>
      <c r="K2218"/>
      <c r="L2218"/>
      <c r="M2218" s="16"/>
      <c r="N2218"/>
      <c r="O2218"/>
      <c r="P2218"/>
    </row>
    <row r="2219" spans="1:16" ht="15" x14ac:dyDescent="0.2">
      <c r="A2219"/>
      <c r="B2219"/>
      <c r="C2219"/>
      <c r="D2219"/>
      <c r="E2219"/>
      <c r="F2219"/>
      <c r="G2219"/>
      <c r="H2219"/>
      <c r="I2219"/>
      <c r="J2219"/>
      <c r="K2219"/>
      <c r="L2219"/>
      <c r="M2219" s="16"/>
      <c r="N2219"/>
      <c r="O2219"/>
      <c r="P2219"/>
    </row>
    <row r="2220" spans="1:16" ht="15" x14ac:dyDescent="0.2">
      <c r="A2220"/>
      <c r="B2220"/>
      <c r="C2220"/>
      <c r="D2220"/>
      <c r="E2220"/>
      <c r="F2220"/>
      <c r="G2220"/>
      <c r="H2220"/>
      <c r="I2220"/>
      <c r="J2220"/>
      <c r="K2220"/>
      <c r="L2220"/>
      <c r="M2220" s="16"/>
      <c r="N2220"/>
      <c r="O2220"/>
      <c r="P2220"/>
    </row>
    <row r="2221" spans="1:16" ht="15" x14ac:dyDescent="0.2">
      <c r="A2221"/>
      <c r="B2221"/>
      <c r="C2221"/>
      <c r="D2221"/>
      <c r="E2221"/>
      <c r="F2221"/>
      <c r="G2221"/>
      <c r="H2221"/>
      <c r="I2221"/>
      <c r="J2221"/>
      <c r="K2221"/>
      <c r="L2221"/>
      <c r="M2221" s="16"/>
      <c r="N2221"/>
      <c r="O2221"/>
      <c r="P2221"/>
    </row>
    <row r="2222" spans="1:16" ht="15" x14ac:dyDescent="0.2">
      <c r="A2222"/>
      <c r="B2222"/>
      <c r="C2222"/>
      <c r="D2222"/>
      <c r="E2222"/>
      <c r="F2222"/>
      <c r="G2222"/>
      <c r="H2222"/>
      <c r="I2222"/>
      <c r="J2222"/>
      <c r="K2222"/>
      <c r="L2222"/>
      <c r="M2222" s="16"/>
      <c r="N2222"/>
      <c r="O2222"/>
      <c r="P2222"/>
    </row>
    <row r="2223" spans="1:16" ht="15" x14ac:dyDescent="0.2">
      <c r="A2223"/>
      <c r="B2223"/>
      <c r="C2223"/>
      <c r="D2223"/>
      <c r="E2223"/>
      <c r="F2223"/>
      <c r="G2223"/>
      <c r="H2223"/>
      <c r="I2223"/>
      <c r="J2223"/>
      <c r="K2223"/>
      <c r="L2223"/>
      <c r="M2223" s="16"/>
      <c r="N2223"/>
      <c r="O2223"/>
      <c r="P2223"/>
    </row>
    <row r="2224" spans="1:16" ht="15" x14ac:dyDescent="0.2">
      <c r="A2224"/>
      <c r="B2224"/>
      <c r="C2224"/>
      <c r="D2224"/>
      <c r="E2224"/>
      <c r="F2224"/>
      <c r="G2224"/>
      <c r="H2224"/>
      <c r="I2224"/>
      <c r="J2224"/>
      <c r="K2224"/>
      <c r="L2224"/>
      <c r="M2224" s="16"/>
      <c r="N2224"/>
      <c r="O2224"/>
      <c r="P2224"/>
    </row>
    <row r="2225" spans="1:16" ht="15" x14ac:dyDescent="0.2">
      <c r="A2225"/>
      <c r="B2225"/>
      <c r="C2225"/>
      <c r="D2225"/>
      <c r="E2225"/>
      <c r="F2225"/>
      <c r="G2225"/>
      <c r="H2225"/>
      <c r="I2225"/>
      <c r="J2225"/>
      <c r="K2225"/>
      <c r="L2225"/>
      <c r="M2225" s="16"/>
      <c r="N2225"/>
      <c r="O2225"/>
      <c r="P2225"/>
    </row>
    <row r="2226" spans="1:16" ht="15" x14ac:dyDescent="0.2">
      <c r="A2226"/>
      <c r="B2226"/>
      <c r="C2226"/>
      <c r="D2226"/>
      <c r="E2226"/>
      <c r="F2226"/>
      <c r="G2226"/>
      <c r="H2226"/>
      <c r="I2226"/>
      <c r="J2226"/>
      <c r="K2226"/>
      <c r="L2226"/>
      <c r="M2226" s="16"/>
      <c r="N2226"/>
      <c r="O2226"/>
      <c r="P2226"/>
    </row>
    <row r="2227" spans="1:16" ht="15" x14ac:dyDescent="0.2">
      <c r="A2227"/>
      <c r="B2227"/>
      <c r="C2227"/>
      <c r="D2227"/>
      <c r="E2227"/>
      <c r="F2227"/>
      <c r="G2227"/>
      <c r="H2227"/>
      <c r="I2227"/>
      <c r="J2227"/>
      <c r="K2227"/>
      <c r="L2227"/>
      <c r="M2227" s="16"/>
      <c r="N2227"/>
      <c r="O2227"/>
      <c r="P2227"/>
    </row>
    <row r="2228" spans="1:16" ht="15" x14ac:dyDescent="0.2">
      <c r="A2228"/>
      <c r="B2228"/>
      <c r="C2228"/>
      <c r="D2228"/>
      <c r="E2228"/>
      <c r="F2228"/>
      <c r="G2228"/>
      <c r="H2228"/>
      <c r="I2228"/>
      <c r="J2228"/>
      <c r="K2228"/>
      <c r="L2228"/>
      <c r="M2228" s="16"/>
      <c r="N2228"/>
      <c r="O2228"/>
      <c r="P2228"/>
    </row>
    <row r="2229" spans="1:16" ht="15" x14ac:dyDescent="0.2">
      <c r="A2229"/>
      <c r="B2229"/>
      <c r="C2229"/>
      <c r="D2229"/>
      <c r="E2229"/>
      <c r="F2229"/>
      <c r="G2229"/>
      <c r="H2229"/>
      <c r="I2229"/>
      <c r="J2229"/>
      <c r="K2229"/>
      <c r="L2229"/>
      <c r="M2229" s="16"/>
      <c r="N2229"/>
      <c r="O2229"/>
      <c r="P2229"/>
    </row>
    <row r="2230" spans="1:16" ht="15" x14ac:dyDescent="0.2">
      <c r="A2230"/>
      <c r="B2230"/>
      <c r="C2230"/>
      <c r="D2230"/>
      <c r="E2230"/>
      <c r="F2230"/>
      <c r="G2230"/>
      <c r="H2230"/>
      <c r="I2230"/>
      <c r="J2230"/>
      <c r="K2230"/>
      <c r="L2230"/>
      <c r="M2230" s="16"/>
      <c r="N2230"/>
      <c r="O2230"/>
      <c r="P2230"/>
    </row>
    <row r="2231" spans="1:16" ht="15" x14ac:dyDescent="0.2">
      <c r="A2231"/>
      <c r="B2231"/>
      <c r="C2231"/>
      <c r="D2231"/>
      <c r="E2231"/>
      <c r="F2231"/>
      <c r="G2231"/>
      <c r="H2231"/>
      <c r="I2231"/>
      <c r="J2231"/>
      <c r="K2231"/>
      <c r="L2231"/>
      <c r="M2231" s="16"/>
      <c r="N2231"/>
      <c r="O2231"/>
      <c r="P2231"/>
    </row>
    <row r="2232" spans="1:16" ht="15" x14ac:dyDescent="0.2">
      <c r="A2232"/>
      <c r="B2232"/>
      <c r="C2232"/>
      <c r="D2232"/>
      <c r="E2232"/>
      <c r="F2232"/>
      <c r="G2232"/>
      <c r="H2232"/>
      <c r="I2232"/>
      <c r="J2232"/>
      <c r="K2232"/>
      <c r="L2232"/>
      <c r="M2232" s="16"/>
      <c r="N2232"/>
      <c r="O2232"/>
      <c r="P2232"/>
    </row>
    <row r="2233" spans="1:16" ht="15" x14ac:dyDescent="0.2">
      <c r="A2233"/>
      <c r="B2233"/>
      <c r="C2233"/>
      <c r="D2233"/>
      <c r="E2233"/>
      <c r="F2233"/>
      <c r="G2233"/>
      <c r="H2233"/>
      <c r="I2233"/>
      <c r="J2233"/>
      <c r="K2233"/>
      <c r="L2233"/>
      <c r="M2233" s="16"/>
      <c r="N2233"/>
      <c r="O2233"/>
      <c r="P2233"/>
    </row>
    <row r="2234" spans="1:16" ht="15" x14ac:dyDescent="0.2">
      <c r="A2234"/>
      <c r="B2234"/>
      <c r="C2234"/>
      <c r="D2234"/>
      <c r="E2234"/>
      <c r="F2234"/>
      <c r="G2234"/>
      <c r="H2234"/>
      <c r="I2234"/>
      <c r="J2234"/>
      <c r="K2234"/>
      <c r="L2234"/>
      <c r="M2234" s="16"/>
      <c r="N2234"/>
      <c r="O2234"/>
      <c r="P2234"/>
    </row>
    <row r="2235" spans="1:16" ht="15" x14ac:dyDescent="0.2">
      <c r="A2235"/>
      <c r="B2235"/>
      <c r="C2235"/>
      <c r="D2235"/>
      <c r="E2235"/>
      <c r="F2235"/>
      <c r="G2235"/>
      <c r="H2235"/>
      <c r="I2235"/>
      <c r="J2235"/>
      <c r="K2235"/>
      <c r="L2235"/>
      <c r="M2235" s="16"/>
      <c r="N2235"/>
      <c r="O2235"/>
      <c r="P2235"/>
    </row>
    <row r="2236" spans="1:16" ht="15" x14ac:dyDescent="0.2">
      <c r="A2236"/>
      <c r="B2236"/>
      <c r="C2236"/>
      <c r="D2236"/>
      <c r="E2236"/>
      <c r="F2236"/>
      <c r="G2236"/>
      <c r="H2236"/>
      <c r="I2236"/>
      <c r="J2236"/>
      <c r="K2236"/>
      <c r="L2236"/>
      <c r="M2236" s="16"/>
      <c r="N2236"/>
      <c r="O2236"/>
      <c r="P2236"/>
    </row>
    <row r="2237" spans="1:16" ht="15" x14ac:dyDescent="0.2">
      <c r="A2237"/>
      <c r="B2237"/>
      <c r="C2237"/>
      <c r="D2237"/>
      <c r="E2237"/>
      <c r="F2237"/>
      <c r="G2237"/>
      <c r="H2237"/>
      <c r="I2237"/>
      <c r="J2237"/>
      <c r="K2237"/>
      <c r="L2237"/>
      <c r="M2237" s="16"/>
      <c r="N2237"/>
      <c r="O2237"/>
      <c r="P2237"/>
    </row>
    <row r="2238" spans="1:16" ht="15" x14ac:dyDescent="0.2">
      <c r="A2238"/>
      <c r="B2238"/>
      <c r="C2238"/>
      <c r="D2238"/>
      <c r="E2238"/>
      <c r="F2238"/>
      <c r="G2238"/>
      <c r="H2238"/>
      <c r="I2238"/>
      <c r="J2238"/>
      <c r="K2238"/>
      <c r="L2238"/>
      <c r="M2238" s="16"/>
      <c r="N2238"/>
      <c r="O2238"/>
      <c r="P2238"/>
    </row>
    <row r="2239" spans="1:16" ht="15" x14ac:dyDescent="0.2">
      <c r="A2239"/>
      <c r="B2239"/>
      <c r="C2239"/>
      <c r="D2239"/>
      <c r="E2239"/>
      <c r="F2239"/>
      <c r="G2239"/>
      <c r="H2239"/>
      <c r="I2239"/>
      <c r="J2239"/>
      <c r="K2239"/>
      <c r="L2239"/>
      <c r="M2239" s="16"/>
      <c r="N2239"/>
      <c r="O2239"/>
      <c r="P2239"/>
    </row>
    <row r="2240" spans="1:16" ht="15" x14ac:dyDescent="0.2">
      <c r="A2240"/>
      <c r="B2240"/>
      <c r="C2240"/>
      <c r="D2240"/>
      <c r="E2240"/>
      <c r="F2240"/>
      <c r="G2240"/>
      <c r="H2240"/>
      <c r="I2240"/>
      <c r="J2240"/>
      <c r="K2240"/>
      <c r="L2240"/>
      <c r="M2240" s="16"/>
      <c r="N2240"/>
      <c r="O2240"/>
      <c r="P2240"/>
    </row>
    <row r="2241" spans="1:16" ht="15" x14ac:dyDescent="0.2">
      <c r="A2241"/>
      <c r="B2241"/>
      <c r="C2241"/>
      <c r="D2241"/>
      <c r="E2241"/>
      <c r="F2241"/>
      <c r="G2241"/>
      <c r="H2241"/>
      <c r="I2241"/>
      <c r="J2241"/>
      <c r="K2241"/>
      <c r="L2241"/>
      <c r="M2241" s="16"/>
      <c r="N2241"/>
      <c r="O2241"/>
      <c r="P2241"/>
    </row>
    <row r="2242" spans="1:16" ht="15" x14ac:dyDescent="0.2">
      <c r="A2242"/>
      <c r="B2242"/>
      <c r="C2242"/>
      <c r="D2242"/>
      <c r="E2242"/>
      <c r="F2242"/>
      <c r="G2242"/>
      <c r="H2242"/>
      <c r="I2242"/>
      <c r="J2242"/>
      <c r="K2242"/>
      <c r="L2242"/>
      <c r="M2242" s="16"/>
      <c r="N2242"/>
      <c r="O2242"/>
      <c r="P2242"/>
    </row>
    <row r="2243" spans="1:16" ht="15" x14ac:dyDescent="0.2">
      <c r="A2243"/>
      <c r="B2243"/>
      <c r="C2243"/>
      <c r="D2243"/>
      <c r="E2243"/>
      <c r="F2243"/>
      <c r="G2243"/>
      <c r="H2243"/>
      <c r="I2243"/>
      <c r="J2243"/>
      <c r="K2243"/>
      <c r="L2243"/>
      <c r="M2243" s="16"/>
      <c r="N2243"/>
      <c r="O2243"/>
      <c r="P2243"/>
    </row>
    <row r="2244" spans="1:16" ht="15" x14ac:dyDescent="0.2">
      <c r="A2244"/>
      <c r="B2244"/>
      <c r="C2244"/>
      <c r="D2244"/>
      <c r="E2244"/>
      <c r="F2244"/>
      <c r="G2244"/>
      <c r="H2244"/>
      <c r="I2244"/>
      <c r="J2244"/>
      <c r="K2244"/>
      <c r="L2244"/>
      <c r="M2244" s="16"/>
      <c r="N2244"/>
      <c r="O2244"/>
      <c r="P2244"/>
    </row>
    <row r="2245" spans="1:16" ht="15" x14ac:dyDescent="0.2">
      <c r="A2245"/>
      <c r="B2245"/>
      <c r="C2245"/>
      <c r="D2245"/>
      <c r="E2245"/>
      <c r="F2245"/>
      <c r="G2245"/>
      <c r="H2245"/>
      <c r="I2245"/>
      <c r="J2245"/>
      <c r="K2245"/>
      <c r="L2245"/>
      <c r="M2245" s="16"/>
      <c r="N2245"/>
      <c r="O2245"/>
      <c r="P2245"/>
    </row>
    <row r="2246" spans="1:16" ht="15" x14ac:dyDescent="0.2">
      <c r="A2246"/>
      <c r="B2246"/>
      <c r="C2246"/>
      <c r="D2246"/>
      <c r="E2246"/>
      <c r="F2246"/>
      <c r="G2246"/>
      <c r="H2246"/>
      <c r="I2246"/>
      <c r="J2246"/>
      <c r="K2246"/>
      <c r="L2246"/>
      <c r="M2246" s="16"/>
      <c r="N2246"/>
      <c r="O2246"/>
      <c r="P2246"/>
    </row>
    <row r="2247" spans="1:16" ht="15" x14ac:dyDescent="0.2">
      <c r="A2247"/>
      <c r="B2247"/>
      <c r="C2247"/>
      <c r="D2247"/>
      <c r="E2247"/>
      <c r="F2247"/>
      <c r="G2247"/>
      <c r="H2247"/>
      <c r="I2247"/>
      <c r="J2247"/>
      <c r="K2247"/>
      <c r="L2247"/>
      <c r="M2247" s="16"/>
      <c r="N2247"/>
      <c r="O2247"/>
      <c r="P2247"/>
    </row>
    <row r="2248" spans="1:16" ht="15" x14ac:dyDescent="0.2">
      <c r="A2248"/>
      <c r="B2248"/>
      <c r="C2248"/>
      <c r="D2248"/>
      <c r="E2248"/>
      <c r="F2248"/>
      <c r="G2248"/>
      <c r="H2248"/>
      <c r="I2248"/>
      <c r="J2248"/>
      <c r="K2248"/>
      <c r="L2248"/>
      <c r="M2248" s="16"/>
      <c r="N2248"/>
      <c r="O2248"/>
      <c r="P2248"/>
    </row>
    <row r="2249" spans="1:16" ht="15" x14ac:dyDescent="0.2">
      <c r="A2249"/>
      <c r="B2249"/>
      <c r="C2249"/>
      <c r="D2249"/>
      <c r="E2249"/>
      <c r="F2249"/>
      <c r="G2249"/>
      <c r="H2249"/>
      <c r="I2249"/>
      <c r="J2249"/>
      <c r="K2249"/>
      <c r="L2249"/>
      <c r="M2249" s="16"/>
      <c r="N2249"/>
      <c r="O2249"/>
      <c r="P2249"/>
    </row>
    <row r="2250" spans="1:16" ht="15" x14ac:dyDescent="0.2">
      <c r="A2250"/>
      <c r="B2250"/>
      <c r="C2250"/>
      <c r="D2250"/>
      <c r="E2250"/>
      <c r="F2250"/>
      <c r="G2250"/>
      <c r="H2250"/>
      <c r="I2250"/>
      <c r="J2250"/>
      <c r="K2250"/>
      <c r="L2250"/>
      <c r="M2250" s="16"/>
      <c r="N2250"/>
      <c r="O2250"/>
      <c r="P2250"/>
    </row>
    <row r="2251" spans="1:16" ht="15" x14ac:dyDescent="0.2">
      <c r="A2251"/>
      <c r="B2251"/>
      <c r="C2251"/>
      <c r="D2251"/>
      <c r="E2251"/>
      <c r="F2251"/>
      <c r="G2251"/>
      <c r="H2251"/>
      <c r="I2251"/>
      <c r="J2251"/>
      <c r="K2251"/>
      <c r="L2251"/>
      <c r="M2251" s="16"/>
      <c r="N2251"/>
      <c r="O2251"/>
      <c r="P2251"/>
    </row>
    <row r="2252" spans="1:16" ht="15" x14ac:dyDescent="0.2">
      <c r="A2252"/>
      <c r="B2252"/>
      <c r="C2252"/>
      <c r="D2252"/>
      <c r="E2252"/>
      <c r="F2252"/>
      <c r="G2252"/>
      <c r="H2252"/>
      <c r="I2252"/>
      <c r="J2252"/>
      <c r="K2252"/>
      <c r="L2252"/>
      <c r="M2252" s="16"/>
      <c r="N2252"/>
      <c r="O2252"/>
      <c r="P2252"/>
    </row>
    <row r="2253" spans="1:16" ht="15" x14ac:dyDescent="0.2">
      <c r="A2253"/>
      <c r="B2253"/>
      <c r="C2253"/>
      <c r="D2253"/>
      <c r="E2253"/>
      <c r="F2253"/>
      <c r="G2253"/>
      <c r="H2253"/>
      <c r="I2253"/>
      <c r="J2253"/>
      <c r="K2253"/>
      <c r="L2253"/>
      <c r="M2253" s="16"/>
      <c r="N2253"/>
      <c r="O2253"/>
      <c r="P2253"/>
    </row>
    <row r="2254" spans="1:16" ht="15" x14ac:dyDescent="0.2">
      <c r="A2254"/>
      <c r="B2254"/>
      <c r="C2254"/>
      <c r="D2254"/>
      <c r="E2254"/>
      <c r="F2254"/>
      <c r="G2254"/>
      <c r="H2254"/>
      <c r="I2254"/>
      <c r="J2254"/>
      <c r="K2254"/>
      <c r="L2254"/>
      <c r="M2254" s="16"/>
      <c r="N2254"/>
      <c r="O2254"/>
      <c r="P2254"/>
    </row>
    <row r="2255" spans="1:16" ht="15" x14ac:dyDescent="0.2">
      <c r="A2255"/>
      <c r="B2255"/>
      <c r="C2255"/>
      <c r="D2255"/>
      <c r="E2255"/>
      <c r="F2255"/>
      <c r="G2255"/>
      <c r="H2255"/>
      <c r="I2255"/>
      <c r="J2255"/>
      <c r="K2255"/>
      <c r="L2255"/>
      <c r="M2255" s="16"/>
      <c r="N2255"/>
      <c r="O2255"/>
      <c r="P2255"/>
    </row>
    <row r="2256" spans="1:16" ht="15" x14ac:dyDescent="0.2">
      <c r="A2256"/>
      <c r="B2256"/>
      <c r="C2256"/>
      <c r="D2256"/>
      <c r="E2256"/>
      <c r="F2256"/>
      <c r="G2256"/>
      <c r="H2256"/>
      <c r="I2256"/>
      <c r="J2256"/>
      <c r="K2256"/>
      <c r="L2256"/>
      <c r="M2256" s="16"/>
      <c r="N2256"/>
      <c r="O2256"/>
      <c r="P2256"/>
    </row>
    <row r="2257" spans="1:16" ht="15" x14ac:dyDescent="0.2">
      <c r="A2257"/>
      <c r="B2257"/>
      <c r="C2257"/>
      <c r="D2257"/>
      <c r="E2257"/>
      <c r="F2257"/>
      <c r="G2257"/>
      <c r="H2257"/>
      <c r="I2257"/>
      <c r="J2257"/>
      <c r="K2257"/>
      <c r="L2257"/>
      <c r="M2257" s="16"/>
      <c r="N2257"/>
      <c r="O2257"/>
      <c r="P2257"/>
    </row>
    <row r="2258" spans="1:16" ht="15" x14ac:dyDescent="0.2">
      <c r="A2258"/>
      <c r="B2258"/>
      <c r="C2258"/>
      <c r="D2258"/>
      <c r="E2258"/>
      <c r="F2258"/>
      <c r="G2258"/>
      <c r="H2258"/>
      <c r="I2258"/>
      <c r="J2258"/>
      <c r="K2258"/>
      <c r="L2258"/>
      <c r="M2258" s="16"/>
      <c r="N2258"/>
      <c r="O2258"/>
      <c r="P2258"/>
    </row>
    <row r="2259" spans="1:16" ht="15" x14ac:dyDescent="0.2">
      <c r="A2259"/>
      <c r="B2259"/>
      <c r="C2259"/>
      <c r="D2259"/>
      <c r="E2259"/>
      <c r="F2259"/>
      <c r="G2259"/>
      <c r="H2259"/>
      <c r="I2259"/>
      <c r="J2259"/>
      <c r="K2259"/>
      <c r="L2259"/>
      <c r="M2259" s="16"/>
      <c r="N2259"/>
      <c r="O2259"/>
      <c r="P2259"/>
    </row>
    <row r="2260" spans="1:16" ht="15" x14ac:dyDescent="0.2">
      <c r="A2260"/>
      <c r="B2260"/>
      <c r="C2260"/>
      <c r="D2260"/>
      <c r="E2260"/>
      <c r="F2260"/>
      <c r="G2260"/>
      <c r="H2260"/>
      <c r="I2260"/>
      <c r="J2260"/>
      <c r="K2260"/>
      <c r="L2260"/>
      <c r="M2260" s="16"/>
      <c r="N2260"/>
      <c r="O2260"/>
      <c r="P2260"/>
    </row>
    <row r="2261" spans="1:16" ht="15" x14ac:dyDescent="0.2">
      <c r="A2261"/>
      <c r="B2261"/>
      <c r="C2261"/>
      <c r="D2261"/>
      <c r="E2261"/>
      <c r="F2261"/>
      <c r="G2261"/>
      <c r="H2261"/>
      <c r="I2261"/>
      <c r="J2261"/>
      <c r="K2261"/>
      <c r="L2261"/>
      <c r="M2261" s="16"/>
      <c r="N2261"/>
      <c r="O2261"/>
      <c r="P2261"/>
    </row>
    <row r="2262" spans="1:16" ht="15" x14ac:dyDescent="0.2">
      <c r="A2262"/>
      <c r="B2262"/>
      <c r="C2262"/>
      <c r="D2262"/>
      <c r="E2262"/>
      <c r="F2262"/>
      <c r="G2262"/>
      <c r="H2262"/>
      <c r="I2262"/>
      <c r="J2262"/>
      <c r="K2262"/>
      <c r="L2262"/>
      <c r="M2262" s="16"/>
      <c r="N2262"/>
      <c r="O2262"/>
      <c r="P2262"/>
    </row>
    <row r="2263" spans="1:16" ht="15" x14ac:dyDescent="0.2">
      <c r="A2263"/>
      <c r="B2263"/>
      <c r="C2263"/>
      <c r="D2263"/>
      <c r="E2263"/>
      <c r="F2263"/>
      <c r="G2263"/>
      <c r="H2263"/>
      <c r="I2263"/>
      <c r="J2263"/>
      <c r="K2263"/>
      <c r="L2263"/>
      <c r="M2263" s="16"/>
      <c r="N2263"/>
      <c r="O2263"/>
      <c r="P2263"/>
    </row>
    <row r="2264" spans="1:16" ht="15" x14ac:dyDescent="0.2">
      <c r="A2264"/>
      <c r="B2264"/>
      <c r="C2264"/>
      <c r="D2264"/>
      <c r="E2264"/>
      <c r="F2264"/>
      <c r="G2264"/>
      <c r="H2264"/>
      <c r="I2264"/>
      <c r="J2264"/>
      <c r="K2264"/>
      <c r="L2264"/>
      <c r="M2264" s="16"/>
      <c r="N2264"/>
      <c r="O2264"/>
      <c r="P2264"/>
    </row>
    <row r="2265" spans="1:16" ht="15" x14ac:dyDescent="0.2">
      <c r="A2265"/>
      <c r="B2265"/>
      <c r="C2265"/>
      <c r="D2265"/>
      <c r="E2265"/>
      <c r="F2265"/>
      <c r="G2265"/>
      <c r="H2265"/>
      <c r="I2265"/>
      <c r="J2265"/>
      <c r="K2265"/>
      <c r="L2265"/>
      <c r="M2265" s="16"/>
      <c r="N2265"/>
      <c r="O2265"/>
      <c r="P2265"/>
    </row>
    <row r="2266" spans="1:16" ht="15" x14ac:dyDescent="0.2">
      <c r="A2266"/>
      <c r="B2266"/>
      <c r="C2266"/>
      <c r="D2266"/>
      <c r="E2266"/>
      <c r="F2266"/>
      <c r="G2266"/>
      <c r="H2266"/>
      <c r="I2266"/>
      <c r="J2266"/>
      <c r="K2266"/>
      <c r="L2266"/>
      <c r="M2266" s="16"/>
      <c r="N2266"/>
      <c r="O2266"/>
      <c r="P2266"/>
    </row>
    <row r="2267" spans="1:16" ht="15" x14ac:dyDescent="0.2">
      <c r="A2267"/>
      <c r="B2267"/>
      <c r="C2267"/>
      <c r="D2267"/>
      <c r="E2267"/>
      <c r="F2267"/>
      <c r="G2267"/>
      <c r="H2267"/>
      <c r="I2267"/>
      <c r="J2267"/>
      <c r="K2267"/>
      <c r="L2267"/>
      <c r="M2267" s="16"/>
      <c r="N2267"/>
      <c r="O2267"/>
      <c r="P2267"/>
    </row>
    <row r="2268" spans="1:16" ht="15" x14ac:dyDescent="0.2">
      <c r="A2268"/>
      <c r="B2268"/>
      <c r="C2268"/>
      <c r="D2268"/>
      <c r="E2268"/>
      <c r="F2268"/>
      <c r="G2268"/>
      <c r="H2268"/>
      <c r="I2268"/>
      <c r="J2268"/>
      <c r="K2268"/>
      <c r="L2268"/>
      <c r="M2268" s="16"/>
      <c r="N2268"/>
      <c r="O2268"/>
      <c r="P2268"/>
    </row>
    <row r="2269" spans="1:16" ht="15" x14ac:dyDescent="0.2">
      <c r="A2269"/>
      <c r="B2269"/>
      <c r="C2269"/>
      <c r="D2269"/>
      <c r="E2269"/>
      <c r="F2269"/>
      <c r="G2269"/>
      <c r="H2269"/>
      <c r="I2269"/>
      <c r="J2269"/>
      <c r="K2269"/>
      <c r="L2269"/>
      <c r="M2269" s="16"/>
      <c r="N2269"/>
      <c r="O2269"/>
      <c r="P2269"/>
    </row>
    <row r="2270" spans="1:16" ht="15" x14ac:dyDescent="0.2">
      <c r="A2270"/>
      <c r="B2270"/>
      <c r="C2270"/>
      <c r="D2270"/>
      <c r="E2270"/>
      <c r="F2270"/>
      <c r="G2270"/>
      <c r="H2270"/>
      <c r="I2270"/>
      <c r="J2270"/>
      <c r="K2270"/>
      <c r="L2270"/>
      <c r="M2270" s="16"/>
      <c r="N2270"/>
      <c r="O2270"/>
      <c r="P2270"/>
    </row>
    <row r="2271" spans="1:16" ht="15" x14ac:dyDescent="0.2">
      <c r="A2271"/>
      <c r="B2271"/>
      <c r="C2271"/>
      <c r="D2271"/>
      <c r="E2271"/>
      <c r="F2271"/>
      <c r="G2271"/>
      <c r="H2271"/>
      <c r="I2271"/>
      <c r="J2271"/>
      <c r="K2271"/>
      <c r="L2271"/>
      <c r="M2271" s="16"/>
      <c r="N2271"/>
      <c r="O2271"/>
      <c r="P2271"/>
    </row>
    <row r="2272" spans="1:16" ht="15" x14ac:dyDescent="0.2">
      <c r="A2272"/>
      <c r="B2272"/>
      <c r="C2272"/>
      <c r="D2272"/>
      <c r="E2272"/>
      <c r="F2272"/>
      <c r="G2272"/>
      <c r="H2272"/>
      <c r="I2272"/>
      <c r="J2272"/>
      <c r="K2272"/>
      <c r="L2272"/>
      <c r="M2272" s="16"/>
      <c r="N2272"/>
      <c r="O2272"/>
      <c r="P2272"/>
    </row>
    <row r="2273" spans="1:16" ht="15" x14ac:dyDescent="0.2">
      <c r="A2273"/>
      <c r="B2273"/>
      <c r="C2273"/>
      <c r="D2273"/>
      <c r="E2273"/>
      <c r="F2273"/>
      <c r="G2273"/>
      <c r="H2273"/>
      <c r="I2273"/>
      <c r="J2273"/>
      <c r="K2273"/>
      <c r="L2273"/>
      <c r="M2273" s="16"/>
      <c r="N2273"/>
      <c r="O2273"/>
      <c r="P2273"/>
    </row>
    <row r="2274" spans="1:16" ht="15" x14ac:dyDescent="0.2">
      <c r="A2274"/>
      <c r="B2274"/>
      <c r="C2274"/>
      <c r="D2274"/>
      <c r="E2274"/>
      <c r="F2274"/>
      <c r="G2274"/>
      <c r="H2274"/>
      <c r="I2274"/>
      <c r="J2274"/>
      <c r="K2274"/>
      <c r="L2274"/>
      <c r="M2274" s="16"/>
      <c r="N2274"/>
      <c r="O2274"/>
      <c r="P2274"/>
    </row>
    <row r="2275" spans="1:16" ht="15" x14ac:dyDescent="0.2">
      <c r="A2275"/>
      <c r="B2275"/>
      <c r="C2275"/>
      <c r="D2275"/>
      <c r="E2275"/>
      <c r="F2275"/>
      <c r="G2275"/>
      <c r="H2275"/>
      <c r="I2275"/>
      <c r="J2275"/>
      <c r="K2275"/>
      <c r="L2275"/>
      <c r="M2275" s="16"/>
      <c r="N2275"/>
      <c r="O2275"/>
      <c r="P2275"/>
    </row>
    <row r="2276" spans="1:16" ht="15" x14ac:dyDescent="0.2">
      <c r="A2276"/>
      <c r="B2276"/>
      <c r="C2276"/>
      <c r="D2276"/>
      <c r="E2276"/>
      <c r="F2276"/>
      <c r="G2276"/>
      <c r="H2276"/>
      <c r="I2276"/>
      <c r="J2276"/>
      <c r="K2276"/>
      <c r="L2276"/>
      <c r="M2276" s="16"/>
      <c r="N2276"/>
      <c r="O2276"/>
      <c r="P2276"/>
    </row>
    <row r="2277" spans="1:16" ht="15" x14ac:dyDescent="0.2">
      <c r="A2277"/>
      <c r="B2277"/>
      <c r="C2277"/>
      <c r="D2277"/>
      <c r="E2277"/>
      <c r="F2277"/>
      <c r="G2277"/>
      <c r="H2277"/>
      <c r="I2277"/>
      <c r="J2277"/>
      <c r="K2277"/>
      <c r="L2277"/>
      <c r="M2277" s="16"/>
      <c r="N2277"/>
      <c r="O2277"/>
      <c r="P2277"/>
    </row>
    <row r="2278" spans="1:16" ht="15" x14ac:dyDescent="0.2">
      <c r="A2278"/>
      <c r="B2278"/>
      <c r="C2278"/>
      <c r="D2278"/>
      <c r="E2278"/>
      <c r="F2278"/>
      <c r="G2278"/>
      <c r="H2278"/>
      <c r="I2278"/>
      <c r="J2278"/>
      <c r="K2278"/>
      <c r="L2278"/>
      <c r="M2278" s="16"/>
      <c r="N2278"/>
      <c r="O2278"/>
      <c r="P2278"/>
    </row>
    <row r="2279" spans="1:16" ht="15" x14ac:dyDescent="0.2">
      <c r="A2279"/>
      <c r="B2279"/>
      <c r="C2279"/>
      <c r="D2279"/>
      <c r="E2279"/>
      <c r="F2279"/>
      <c r="G2279"/>
      <c r="H2279"/>
      <c r="I2279"/>
      <c r="J2279"/>
      <c r="K2279"/>
      <c r="L2279"/>
      <c r="M2279" s="16"/>
      <c r="N2279"/>
      <c r="O2279"/>
      <c r="P2279"/>
    </row>
    <row r="2280" spans="1:16" ht="15" x14ac:dyDescent="0.2">
      <c r="A2280"/>
      <c r="B2280"/>
      <c r="C2280"/>
      <c r="D2280"/>
      <c r="E2280"/>
      <c r="F2280"/>
      <c r="G2280"/>
      <c r="H2280"/>
      <c r="I2280"/>
      <c r="J2280"/>
      <c r="K2280"/>
      <c r="L2280"/>
      <c r="M2280" s="16"/>
      <c r="N2280"/>
      <c r="O2280"/>
      <c r="P2280"/>
    </row>
    <row r="2281" spans="1:16" ht="15" x14ac:dyDescent="0.2">
      <c r="A2281"/>
      <c r="B2281"/>
      <c r="C2281"/>
      <c r="D2281"/>
      <c r="E2281"/>
      <c r="F2281"/>
      <c r="G2281"/>
      <c r="H2281"/>
      <c r="I2281"/>
      <c r="J2281"/>
      <c r="K2281"/>
      <c r="L2281"/>
      <c r="M2281" s="16"/>
      <c r="N2281"/>
      <c r="O2281"/>
      <c r="P2281"/>
    </row>
    <row r="2282" spans="1:16" ht="15" x14ac:dyDescent="0.2">
      <c r="A2282"/>
      <c r="B2282"/>
      <c r="C2282"/>
      <c r="D2282"/>
      <c r="E2282"/>
      <c r="F2282"/>
      <c r="G2282"/>
      <c r="H2282"/>
      <c r="I2282"/>
      <c r="J2282"/>
      <c r="K2282"/>
      <c r="L2282"/>
      <c r="M2282" s="16"/>
      <c r="N2282"/>
      <c r="O2282"/>
      <c r="P2282"/>
    </row>
    <row r="2283" spans="1:16" ht="15" x14ac:dyDescent="0.2">
      <c r="A2283"/>
      <c r="B2283"/>
      <c r="C2283"/>
      <c r="D2283"/>
      <c r="E2283"/>
      <c r="F2283"/>
      <c r="G2283"/>
      <c r="H2283"/>
      <c r="I2283"/>
      <c r="J2283"/>
      <c r="K2283"/>
      <c r="L2283"/>
      <c r="M2283" s="16"/>
      <c r="N2283"/>
      <c r="O2283"/>
      <c r="P2283"/>
    </row>
    <row r="2284" spans="1:16" ht="15" x14ac:dyDescent="0.2">
      <c r="A2284"/>
      <c r="B2284"/>
      <c r="C2284"/>
      <c r="D2284"/>
      <c r="E2284"/>
      <c r="F2284"/>
      <c r="G2284"/>
      <c r="H2284"/>
      <c r="I2284"/>
      <c r="J2284"/>
      <c r="K2284"/>
      <c r="L2284"/>
      <c r="M2284" s="16"/>
      <c r="N2284"/>
      <c r="O2284"/>
      <c r="P2284"/>
    </row>
    <row r="2285" spans="1:16" ht="15" x14ac:dyDescent="0.2">
      <c r="A2285"/>
      <c r="B2285"/>
      <c r="C2285"/>
      <c r="D2285"/>
      <c r="E2285"/>
      <c r="F2285"/>
      <c r="G2285"/>
      <c r="H2285"/>
      <c r="I2285"/>
      <c r="J2285"/>
      <c r="K2285"/>
      <c r="L2285"/>
      <c r="M2285" s="16"/>
      <c r="N2285"/>
      <c r="O2285"/>
      <c r="P2285"/>
    </row>
    <row r="2286" spans="1:16" ht="15" x14ac:dyDescent="0.2">
      <c r="A2286"/>
      <c r="B2286"/>
      <c r="C2286"/>
      <c r="D2286"/>
      <c r="E2286"/>
      <c r="F2286"/>
      <c r="G2286"/>
      <c r="H2286"/>
      <c r="I2286"/>
      <c r="J2286"/>
      <c r="K2286"/>
      <c r="L2286"/>
      <c r="M2286" s="16"/>
      <c r="N2286"/>
      <c r="O2286"/>
      <c r="P2286"/>
    </row>
    <row r="2287" spans="1:16" ht="15" x14ac:dyDescent="0.2">
      <c r="A2287"/>
      <c r="B2287"/>
      <c r="C2287"/>
      <c r="D2287"/>
      <c r="E2287"/>
      <c r="F2287"/>
      <c r="G2287"/>
      <c r="H2287"/>
      <c r="I2287"/>
      <c r="J2287"/>
      <c r="K2287"/>
      <c r="L2287"/>
      <c r="M2287" s="16"/>
      <c r="N2287"/>
      <c r="O2287"/>
      <c r="P2287"/>
    </row>
    <row r="2288" spans="1:16" ht="15" x14ac:dyDescent="0.2">
      <c r="A2288"/>
      <c r="B2288"/>
      <c r="C2288"/>
      <c r="D2288"/>
      <c r="E2288"/>
      <c r="F2288"/>
      <c r="G2288"/>
      <c r="H2288"/>
      <c r="I2288"/>
      <c r="J2288"/>
      <c r="K2288"/>
      <c r="L2288"/>
      <c r="M2288" s="16"/>
      <c r="N2288"/>
      <c r="O2288"/>
      <c r="P2288"/>
    </row>
    <row r="2289" spans="1:16" ht="15" x14ac:dyDescent="0.2">
      <c r="A2289"/>
      <c r="B2289"/>
      <c r="C2289"/>
      <c r="D2289"/>
      <c r="E2289"/>
      <c r="F2289"/>
      <c r="G2289"/>
      <c r="H2289"/>
      <c r="I2289"/>
      <c r="J2289"/>
      <c r="K2289"/>
      <c r="L2289"/>
      <c r="M2289" s="16"/>
      <c r="N2289"/>
      <c r="O2289"/>
      <c r="P2289"/>
    </row>
    <row r="2290" spans="1:16" ht="15" x14ac:dyDescent="0.2">
      <c r="A2290"/>
      <c r="B2290"/>
      <c r="C2290"/>
      <c r="D2290"/>
      <c r="E2290"/>
      <c r="F2290"/>
      <c r="G2290"/>
      <c r="H2290"/>
      <c r="I2290"/>
      <c r="J2290"/>
      <c r="K2290"/>
      <c r="L2290"/>
      <c r="M2290" s="16"/>
      <c r="N2290"/>
      <c r="O2290"/>
      <c r="P2290"/>
    </row>
    <row r="2291" spans="1:16" ht="15" x14ac:dyDescent="0.2">
      <c r="A2291"/>
      <c r="B2291"/>
      <c r="C2291"/>
      <c r="D2291"/>
      <c r="E2291"/>
      <c r="F2291"/>
      <c r="G2291"/>
      <c r="H2291"/>
      <c r="I2291"/>
      <c r="J2291"/>
      <c r="K2291"/>
      <c r="L2291"/>
      <c r="M2291" s="16"/>
      <c r="N2291"/>
      <c r="O2291"/>
      <c r="P2291"/>
    </row>
    <row r="2292" spans="1:16" ht="15" x14ac:dyDescent="0.2">
      <c r="A2292"/>
      <c r="B2292"/>
      <c r="C2292"/>
      <c r="D2292"/>
      <c r="E2292"/>
      <c r="F2292"/>
      <c r="G2292"/>
      <c r="H2292"/>
      <c r="I2292"/>
      <c r="J2292"/>
      <c r="K2292"/>
      <c r="L2292"/>
      <c r="M2292" s="16"/>
      <c r="N2292"/>
      <c r="O2292"/>
      <c r="P2292"/>
    </row>
    <row r="2293" spans="1:16" ht="15" x14ac:dyDescent="0.2">
      <c r="A2293"/>
      <c r="B2293"/>
      <c r="C2293"/>
      <c r="D2293"/>
      <c r="E2293"/>
      <c r="F2293"/>
      <c r="G2293"/>
      <c r="H2293"/>
      <c r="I2293"/>
      <c r="J2293"/>
      <c r="K2293"/>
      <c r="L2293"/>
      <c r="M2293" s="16"/>
      <c r="N2293"/>
      <c r="O2293"/>
      <c r="P2293"/>
    </row>
    <row r="2294" spans="1:16" ht="15" x14ac:dyDescent="0.2">
      <c r="A2294"/>
      <c r="B2294"/>
      <c r="C2294"/>
      <c r="D2294"/>
      <c r="E2294"/>
      <c r="F2294"/>
      <c r="G2294"/>
      <c r="H2294"/>
      <c r="I2294"/>
      <c r="J2294"/>
      <c r="K2294"/>
      <c r="L2294"/>
      <c r="M2294" s="16"/>
      <c r="N2294"/>
      <c r="O2294"/>
      <c r="P2294"/>
    </row>
    <row r="2295" spans="1:16" ht="15" x14ac:dyDescent="0.2">
      <c r="A2295"/>
      <c r="B2295"/>
      <c r="C2295"/>
      <c r="D2295"/>
      <c r="E2295"/>
      <c r="F2295"/>
      <c r="G2295"/>
      <c r="H2295"/>
      <c r="I2295"/>
      <c r="J2295"/>
      <c r="K2295"/>
      <c r="L2295"/>
      <c r="M2295" s="16"/>
      <c r="N2295"/>
      <c r="O2295"/>
      <c r="P2295"/>
    </row>
    <row r="2296" spans="1:16" ht="15" x14ac:dyDescent="0.2">
      <c r="A2296"/>
      <c r="B2296"/>
      <c r="C2296"/>
      <c r="D2296"/>
      <c r="E2296"/>
      <c r="F2296"/>
      <c r="G2296"/>
      <c r="H2296"/>
      <c r="I2296"/>
      <c r="J2296"/>
      <c r="K2296"/>
      <c r="L2296"/>
      <c r="M2296" s="16"/>
      <c r="N2296"/>
      <c r="O2296"/>
      <c r="P2296"/>
    </row>
    <row r="2297" spans="1:16" ht="15" x14ac:dyDescent="0.2">
      <c r="A2297"/>
      <c r="B2297"/>
      <c r="C2297"/>
      <c r="D2297"/>
      <c r="E2297"/>
      <c r="F2297"/>
      <c r="G2297"/>
      <c r="H2297"/>
      <c r="I2297"/>
      <c r="J2297"/>
      <c r="K2297"/>
      <c r="L2297"/>
      <c r="M2297" s="16"/>
      <c r="N2297"/>
      <c r="O2297"/>
      <c r="P2297"/>
    </row>
    <row r="2298" spans="1:16" ht="15" x14ac:dyDescent="0.2">
      <c r="A2298"/>
      <c r="B2298"/>
      <c r="C2298"/>
      <c r="D2298"/>
      <c r="E2298"/>
      <c r="F2298"/>
      <c r="G2298"/>
      <c r="H2298"/>
      <c r="I2298"/>
      <c r="J2298"/>
      <c r="K2298"/>
      <c r="L2298"/>
      <c r="M2298" s="16"/>
      <c r="N2298"/>
      <c r="O2298"/>
      <c r="P2298"/>
    </row>
    <row r="2299" spans="1:16" ht="15" x14ac:dyDescent="0.2">
      <c r="A2299"/>
      <c r="B2299"/>
      <c r="C2299"/>
      <c r="D2299"/>
      <c r="E2299"/>
      <c r="F2299"/>
      <c r="G2299"/>
      <c r="H2299"/>
      <c r="I2299"/>
      <c r="J2299"/>
      <c r="K2299"/>
      <c r="L2299"/>
      <c r="M2299" s="16"/>
      <c r="N2299"/>
      <c r="O2299"/>
      <c r="P2299"/>
    </row>
    <row r="2300" spans="1:16" ht="15" x14ac:dyDescent="0.2">
      <c r="A2300"/>
      <c r="B2300"/>
      <c r="C2300"/>
      <c r="D2300"/>
      <c r="E2300"/>
      <c r="F2300"/>
      <c r="G2300"/>
      <c r="H2300"/>
      <c r="I2300"/>
      <c r="J2300"/>
      <c r="K2300"/>
      <c r="L2300"/>
      <c r="M2300" s="16"/>
      <c r="N2300"/>
      <c r="O2300"/>
      <c r="P2300"/>
    </row>
    <row r="2301" spans="1:16" ht="15" x14ac:dyDescent="0.2">
      <c r="A2301"/>
      <c r="B2301"/>
      <c r="C2301"/>
      <c r="D2301"/>
      <c r="E2301"/>
      <c r="F2301"/>
      <c r="G2301"/>
      <c r="H2301"/>
      <c r="I2301"/>
      <c r="J2301"/>
      <c r="K2301"/>
      <c r="L2301"/>
      <c r="M2301" s="16"/>
      <c r="N2301"/>
      <c r="O2301"/>
      <c r="P2301"/>
    </row>
    <row r="2302" spans="1:16" ht="15" x14ac:dyDescent="0.2">
      <c r="A2302"/>
      <c r="B2302"/>
      <c r="C2302"/>
      <c r="D2302"/>
      <c r="E2302"/>
      <c r="F2302"/>
      <c r="G2302"/>
      <c r="H2302"/>
      <c r="I2302"/>
      <c r="J2302"/>
      <c r="K2302"/>
      <c r="L2302"/>
      <c r="M2302" s="16"/>
      <c r="N2302"/>
      <c r="O2302"/>
      <c r="P2302"/>
    </row>
    <row r="2303" spans="1:16" ht="15" x14ac:dyDescent="0.2">
      <c r="A2303"/>
      <c r="B2303"/>
      <c r="C2303"/>
      <c r="D2303"/>
      <c r="E2303"/>
      <c r="F2303"/>
      <c r="G2303"/>
      <c r="H2303"/>
      <c r="I2303"/>
      <c r="J2303"/>
      <c r="K2303"/>
      <c r="L2303"/>
      <c r="M2303" s="16"/>
      <c r="N2303"/>
      <c r="O2303"/>
      <c r="P2303"/>
    </row>
    <row r="2304" spans="1:16" ht="15" x14ac:dyDescent="0.2">
      <c r="A2304"/>
      <c r="B2304"/>
      <c r="C2304"/>
      <c r="D2304"/>
      <c r="E2304"/>
      <c r="F2304"/>
      <c r="G2304"/>
      <c r="H2304"/>
      <c r="I2304"/>
      <c r="J2304"/>
      <c r="K2304"/>
      <c r="L2304"/>
      <c r="M2304" s="16"/>
      <c r="N2304"/>
      <c r="O2304"/>
      <c r="P2304"/>
    </row>
    <row r="2305" spans="1:16" ht="15" x14ac:dyDescent="0.2">
      <c r="A2305"/>
      <c r="B2305"/>
      <c r="C2305"/>
      <c r="D2305"/>
      <c r="E2305"/>
      <c r="F2305"/>
      <c r="G2305"/>
      <c r="H2305"/>
      <c r="I2305"/>
      <c r="J2305"/>
      <c r="K2305"/>
      <c r="L2305"/>
      <c r="M2305" s="16"/>
      <c r="N2305"/>
      <c r="O2305"/>
      <c r="P2305"/>
    </row>
    <row r="2306" spans="1:16" ht="15" x14ac:dyDescent="0.2">
      <c r="A2306"/>
      <c r="B2306"/>
      <c r="C2306"/>
      <c r="D2306"/>
      <c r="E2306"/>
      <c r="F2306"/>
      <c r="G2306"/>
      <c r="H2306"/>
      <c r="I2306"/>
      <c r="J2306"/>
      <c r="K2306"/>
      <c r="L2306"/>
      <c r="M2306" s="16"/>
      <c r="N2306"/>
      <c r="O2306"/>
      <c r="P2306"/>
    </row>
    <row r="2307" spans="1:16" ht="15" x14ac:dyDescent="0.2">
      <c r="A2307"/>
      <c r="B2307"/>
      <c r="C2307"/>
      <c r="D2307"/>
      <c r="E2307"/>
      <c r="F2307"/>
      <c r="G2307"/>
      <c r="H2307"/>
      <c r="I2307"/>
      <c r="J2307"/>
      <c r="K2307"/>
      <c r="L2307"/>
      <c r="M2307" s="16"/>
      <c r="N2307"/>
      <c r="O2307"/>
      <c r="P2307"/>
    </row>
    <row r="2308" spans="1:16" ht="15" x14ac:dyDescent="0.2">
      <c r="A2308"/>
      <c r="B2308"/>
      <c r="C2308"/>
      <c r="D2308"/>
      <c r="E2308"/>
      <c r="F2308"/>
      <c r="G2308"/>
      <c r="H2308"/>
      <c r="I2308"/>
      <c r="J2308"/>
      <c r="K2308"/>
      <c r="L2308"/>
      <c r="M2308" s="16"/>
      <c r="N2308"/>
      <c r="O2308"/>
      <c r="P2308"/>
    </row>
    <row r="2309" spans="1:16" ht="15" x14ac:dyDescent="0.2">
      <c r="A2309"/>
      <c r="B2309"/>
      <c r="C2309"/>
      <c r="D2309"/>
      <c r="E2309"/>
      <c r="F2309"/>
      <c r="G2309"/>
      <c r="H2309"/>
      <c r="I2309"/>
      <c r="J2309"/>
      <c r="K2309"/>
      <c r="L2309"/>
      <c r="M2309" s="16"/>
      <c r="N2309"/>
      <c r="O2309"/>
      <c r="P2309"/>
    </row>
    <row r="2310" spans="1:16" ht="15" x14ac:dyDescent="0.2">
      <c r="A2310"/>
      <c r="B2310"/>
      <c r="C2310"/>
      <c r="D2310"/>
      <c r="E2310"/>
      <c r="F2310"/>
      <c r="G2310"/>
      <c r="H2310"/>
      <c r="I2310"/>
      <c r="J2310"/>
      <c r="K2310"/>
      <c r="L2310"/>
      <c r="M2310" s="16"/>
      <c r="N2310"/>
      <c r="O2310"/>
      <c r="P2310"/>
    </row>
    <row r="2311" spans="1:16" ht="15" x14ac:dyDescent="0.2">
      <c r="A2311"/>
      <c r="B2311"/>
      <c r="C2311"/>
      <c r="D2311"/>
      <c r="E2311"/>
      <c r="F2311"/>
      <c r="G2311"/>
      <c r="H2311"/>
      <c r="I2311"/>
      <c r="J2311"/>
      <c r="K2311"/>
      <c r="L2311"/>
      <c r="M2311" s="16"/>
      <c r="N2311"/>
      <c r="O2311"/>
      <c r="P2311"/>
    </row>
    <row r="2312" spans="1:16" ht="15" x14ac:dyDescent="0.2">
      <c r="A2312"/>
      <c r="B2312"/>
      <c r="C2312"/>
      <c r="D2312"/>
      <c r="E2312"/>
      <c r="F2312"/>
      <c r="G2312"/>
      <c r="H2312"/>
      <c r="I2312"/>
      <c r="J2312"/>
      <c r="K2312"/>
      <c r="L2312"/>
      <c r="M2312" s="16"/>
      <c r="N2312"/>
      <c r="O2312"/>
      <c r="P2312"/>
    </row>
    <row r="2313" spans="1:16" ht="15" x14ac:dyDescent="0.2">
      <c r="A2313"/>
      <c r="B2313"/>
      <c r="C2313"/>
      <c r="D2313"/>
      <c r="E2313"/>
      <c r="F2313"/>
      <c r="G2313"/>
      <c r="H2313"/>
      <c r="I2313"/>
      <c r="J2313"/>
      <c r="K2313"/>
      <c r="L2313"/>
      <c r="M2313" s="16"/>
      <c r="N2313"/>
      <c r="O2313"/>
      <c r="P2313"/>
    </row>
    <row r="2314" spans="1:16" ht="15" x14ac:dyDescent="0.2">
      <c r="A2314"/>
      <c r="B2314"/>
      <c r="C2314"/>
      <c r="D2314"/>
      <c r="E2314"/>
      <c r="F2314"/>
      <c r="G2314"/>
      <c r="H2314"/>
      <c r="I2314"/>
      <c r="J2314"/>
      <c r="K2314"/>
      <c r="L2314"/>
      <c r="M2314" s="16"/>
      <c r="N2314"/>
      <c r="O2314"/>
      <c r="P2314"/>
    </row>
    <row r="2315" spans="1:16" ht="15" x14ac:dyDescent="0.2">
      <c r="A2315"/>
      <c r="B2315"/>
      <c r="C2315"/>
      <c r="D2315"/>
      <c r="E2315"/>
      <c r="F2315"/>
      <c r="G2315"/>
      <c r="H2315"/>
      <c r="I2315"/>
      <c r="J2315"/>
      <c r="K2315"/>
      <c r="L2315"/>
      <c r="M2315" s="16"/>
      <c r="N2315"/>
      <c r="O2315"/>
      <c r="P2315"/>
    </row>
    <row r="2316" spans="1:16" ht="15" x14ac:dyDescent="0.2">
      <c r="A2316"/>
      <c r="B2316"/>
      <c r="C2316"/>
      <c r="D2316"/>
      <c r="E2316"/>
      <c r="F2316"/>
      <c r="G2316"/>
      <c r="H2316"/>
      <c r="I2316"/>
      <c r="J2316"/>
      <c r="K2316"/>
      <c r="L2316"/>
      <c r="M2316" s="16"/>
      <c r="N2316"/>
      <c r="O2316"/>
      <c r="P2316"/>
    </row>
    <row r="2317" spans="1:16" ht="15" x14ac:dyDescent="0.2">
      <c r="A2317"/>
      <c r="B2317"/>
      <c r="C2317"/>
      <c r="D2317"/>
      <c r="E2317"/>
      <c r="F2317"/>
      <c r="G2317"/>
      <c r="H2317"/>
      <c r="I2317"/>
      <c r="J2317"/>
      <c r="K2317"/>
      <c r="L2317"/>
      <c r="M2317" s="16"/>
      <c r="N2317"/>
      <c r="O2317"/>
      <c r="P2317"/>
    </row>
    <row r="2318" spans="1:16" ht="15" x14ac:dyDescent="0.2">
      <c r="A2318"/>
      <c r="B2318"/>
      <c r="C2318"/>
      <c r="D2318"/>
      <c r="E2318"/>
      <c r="F2318"/>
      <c r="G2318"/>
      <c r="H2318"/>
      <c r="I2318"/>
      <c r="J2318"/>
      <c r="K2318"/>
      <c r="L2318"/>
      <c r="M2318" s="16"/>
      <c r="N2318"/>
      <c r="O2318"/>
      <c r="P2318"/>
    </row>
    <row r="2319" spans="1:16" ht="15" x14ac:dyDescent="0.2">
      <c r="A2319"/>
      <c r="B2319"/>
      <c r="C2319"/>
      <c r="D2319"/>
      <c r="E2319"/>
      <c r="F2319"/>
      <c r="G2319"/>
      <c r="H2319"/>
      <c r="I2319"/>
      <c r="J2319"/>
      <c r="K2319"/>
      <c r="L2319"/>
      <c r="M2319" s="16"/>
      <c r="N2319"/>
      <c r="O2319"/>
      <c r="P2319"/>
    </row>
    <row r="2320" spans="1:16" ht="15" x14ac:dyDescent="0.2">
      <c r="A2320"/>
      <c r="B2320"/>
      <c r="C2320"/>
      <c r="D2320"/>
      <c r="E2320"/>
      <c r="F2320"/>
      <c r="G2320"/>
      <c r="H2320"/>
      <c r="I2320"/>
      <c r="J2320"/>
      <c r="K2320"/>
      <c r="L2320"/>
      <c r="M2320" s="16"/>
      <c r="N2320"/>
      <c r="O2320"/>
      <c r="P2320"/>
    </row>
    <row r="2321" spans="1:16" ht="15" x14ac:dyDescent="0.2">
      <c r="A2321"/>
      <c r="B2321"/>
      <c r="C2321"/>
      <c r="D2321"/>
      <c r="E2321"/>
      <c r="F2321"/>
      <c r="G2321"/>
      <c r="H2321"/>
      <c r="I2321"/>
      <c r="J2321"/>
      <c r="K2321"/>
      <c r="L2321"/>
      <c r="M2321" s="16"/>
      <c r="N2321"/>
      <c r="O2321"/>
      <c r="P2321"/>
    </row>
    <row r="2322" spans="1:16" ht="15" x14ac:dyDescent="0.2">
      <c r="A2322"/>
      <c r="B2322"/>
      <c r="C2322"/>
      <c r="D2322"/>
      <c r="E2322"/>
      <c r="F2322"/>
      <c r="G2322"/>
      <c r="H2322"/>
      <c r="I2322"/>
      <c r="J2322"/>
      <c r="K2322"/>
      <c r="L2322"/>
      <c r="M2322" s="16"/>
      <c r="N2322"/>
      <c r="O2322"/>
      <c r="P2322"/>
    </row>
    <row r="2323" spans="1:16" ht="15" x14ac:dyDescent="0.2">
      <c r="A2323"/>
      <c r="B2323"/>
      <c r="C2323"/>
      <c r="D2323"/>
      <c r="E2323"/>
      <c r="F2323"/>
      <c r="G2323"/>
      <c r="H2323"/>
      <c r="I2323"/>
      <c r="J2323"/>
      <c r="K2323"/>
      <c r="L2323"/>
      <c r="M2323" s="16"/>
      <c r="N2323"/>
      <c r="O2323"/>
      <c r="P2323"/>
    </row>
    <row r="2324" spans="1:16" ht="15" x14ac:dyDescent="0.2">
      <c r="A2324"/>
      <c r="B2324"/>
      <c r="C2324"/>
      <c r="D2324"/>
      <c r="E2324"/>
      <c r="F2324"/>
      <c r="G2324"/>
      <c r="H2324"/>
      <c r="I2324"/>
      <c r="J2324"/>
      <c r="K2324"/>
      <c r="L2324"/>
      <c r="M2324" s="16"/>
      <c r="N2324"/>
      <c r="O2324"/>
      <c r="P2324"/>
    </row>
    <row r="2325" spans="1:16" ht="15" x14ac:dyDescent="0.2">
      <c r="A2325"/>
      <c r="B2325"/>
      <c r="C2325"/>
      <c r="D2325"/>
      <c r="E2325"/>
      <c r="F2325"/>
      <c r="G2325"/>
      <c r="H2325"/>
      <c r="I2325"/>
      <c r="J2325"/>
      <c r="K2325"/>
      <c r="L2325"/>
      <c r="M2325" s="16"/>
      <c r="N2325"/>
      <c r="O2325"/>
      <c r="P2325"/>
    </row>
    <row r="2326" spans="1:16" ht="15" x14ac:dyDescent="0.2">
      <c r="A2326"/>
      <c r="B2326"/>
      <c r="C2326"/>
      <c r="D2326"/>
      <c r="E2326"/>
      <c r="F2326"/>
      <c r="G2326"/>
      <c r="H2326"/>
      <c r="I2326"/>
      <c r="J2326"/>
      <c r="K2326"/>
      <c r="L2326"/>
      <c r="M2326" s="16"/>
      <c r="N2326"/>
      <c r="O2326"/>
      <c r="P2326"/>
    </row>
    <row r="2327" spans="1:16" ht="15" x14ac:dyDescent="0.2">
      <c r="A2327"/>
      <c r="B2327"/>
      <c r="C2327"/>
      <c r="D2327"/>
      <c r="E2327"/>
      <c r="F2327"/>
      <c r="G2327"/>
      <c r="H2327"/>
      <c r="I2327"/>
      <c r="J2327"/>
      <c r="K2327"/>
      <c r="L2327"/>
      <c r="M2327" s="16"/>
      <c r="N2327"/>
      <c r="O2327"/>
      <c r="P2327"/>
    </row>
    <row r="2328" spans="1:16" ht="15" x14ac:dyDescent="0.2">
      <c r="A2328"/>
      <c r="B2328"/>
      <c r="C2328"/>
      <c r="D2328"/>
      <c r="E2328"/>
      <c r="F2328"/>
      <c r="G2328"/>
      <c r="H2328"/>
      <c r="I2328"/>
      <c r="J2328"/>
      <c r="K2328"/>
      <c r="L2328"/>
      <c r="M2328" s="16"/>
      <c r="N2328"/>
      <c r="O2328"/>
      <c r="P2328"/>
    </row>
    <row r="2329" spans="1:16" ht="15" x14ac:dyDescent="0.2">
      <c r="A2329"/>
      <c r="B2329"/>
      <c r="C2329"/>
      <c r="D2329"/>
      <c r="E2329"/>
      <c r="F2329"/>
      <c r="G2329"/>
      <c r="H2329"/>
      <c r="I2329"/>
      <c r="J2329"/>
      <c r="K2329"/>
      <c r="L2329"/>
      <c r="M2329" s="16"/>
      <c r="N2329"/>
      <c r="O2329"/>
      <c r="P2329"/>
    </row>
    <row r="2330" spans="1:16" ht="15" x14ac:dyDescent="0.2">
      <c r="A2330"/>
      <c r="B2330"/>
      <c r="C2330"/>
      <c r="D2330"/>
      <c r="E2330"/>
      <c r="F2330"/>
      <c r="G2330"/>
      <c r="H2330"/>
      <c r="I2330"/>
      <c r="J2330"/>
      <c r="K2330"/>
      <c r="L2330"/>
      <c r="M2330" s="16"/>
      <c r="N2330"/>
      <c r="O2330"/>
      <c r="P2330"/>
    </row>
    <row r="2331" spans="1:16" ht="15" x14ac:dyDescent="0.2">
      <c r="A2331"/>
      <c r="B2331"/>
      <c r="C2331"/>
      <c r="D2331"/>
      <c r="E2331"/>
      <c r="F2331"/>
      <c r="G2331"/>
      <c r="H2331"/>
      <c r="I2331"/>
      <c r="J2331"/>
      <c r="K2331"/>
      <c r="L2331"/>
      <c r="M2331" s="16"/>
      <c r="N2331"/>
      <c r="O2331"/>
      <c r="P2331"/>
    </row>
    <row r="2332" spans="1:16" ht="15" x14ac:dyDescent="0.2">
      <c r="A2332"/>
      <c r="B2332"/>
      <c r="C2332"/>
      <c r="D2332"/>
      <c r="E2332"/>
      <c r="F2332"/>
      <c r="G2332"/>
      <c r="H2332"/>
      <c r="I2332"/>
      <c r="J2332"/>
      <c r="K2332"/>
      <c r="L2332"/>
      <c r="M2332" s="16"/>
      <c r="N2332"/>
      <c r="O2332"/>
      <c r="P2332"/>
    </row>
    <row r="2333" spans="1:16" ht="15" x14ac:dyDescent="0.2">
      <c r="A2333"/>
      <c r="B2333"/>
      <c r="C2333"/>
      <c r="D2333"/>
      <c r="E2333"/>
      <c r="F2333"/>
      <c r="G2333"/>
      <c r="H2333"/>
      <c r="I2333"/>
      <c r="J2333"/>
      <c r="K2333"/>
      <c r="L2333"/>
      <c r="M2333" s="16"/>
      <c r="N2333"/>
      <c r="O2333"/>
      <c r="P2333"/>
    </row>
    <row r="2334" spans="1:16" ht="15" x14ac:dyDescent="0.2">
      <c r="A2334"/>
      <c r="B2334"/>
      <c r="C2334"/>
      <c r="D2334"/>
      <c r="E2334"/>
      <c r="F2334"/>
      <c r="G2334"/>
      <c r="H2334"/>
      <c r="I2334"/>
      <c r="J2334"/>
      <c r="K2334"/>
      <c r="L2334"/>
      <c r="M2334" s="16"/>
      <c r="N2334"/>
      <c r="O2334"/>
      <c r="P2334"/>
    </row>
    <row r="2335" spans="1:16" ht="15" x14ac:dyDescent="0.2">
      <c r="A2335"/>
      <c r="B2335"/>
      <c r="C2335"/>
      <c r="D2335"/>
      <c r="E2335"/>
      <c r="F2335"/>
      <c r="G2335"/>
      <c r="H2335"/>
      <c r="I2335"/>
      <c r="J2335"/>
      <c r="K2335"/>
      <c r="L2335"/>
      <c r="M2335" s="16"/>
      <c r="N2335"/>
      <c r="O2335"/>
      <c r="P2335"/>
    </row>
    <row r="2336" spans="1:16" ht="15" x14ac:dyDescent="0.2">
      <c r="A2336"/>
      <c r="B2336"/>
      <c r="C2336"/>
      <c r="D2336"/>
      <c r="E2336"/>
      <c r="F2336"/>
      <c r="G2336"/>
      <c r="H2336"/>
      <c r="I2336"/>
      <c r="J2336"/>
      <c r="K2336"/>
      <c r="L2336"/>
      <c r="M2336" s="16"/>
      <c r="N2336"/>
      <c r="O2336"/>
      <c r="P2336"/>
    </row>
    <row r="2337" spans="1:16" ht="15" x14ac:dyDescent="0.2">
      <c r="A2337"/>
      <c r="B2337"/>
      <c r="C2337"/>
      <c r="D2337"/>
      <c r="E2337"/>
      <c r="F2337"/>
      <c r="G2337"/>
      <c r="H2337"/>
      <c r="I2337"/>
      <c r="J2337"/>
      <c r="K2337"/>
      <c r="L2337"/>
      <c r="M2337" s="16"/>
      <c r="N2337"/>
      <c r="O2337"/>
      <c r="P2337"/>
    </row>
    <row r="2338" spans="1:16" ht="15" x14ac:dyDescent="0.2">
      <c r="A2338"/>
      <c r="B2338"/>
      <c r="C2338"/>
      <c r="D2338"/>
      <c r="E2338"/>
      <c r="F2338"/>
      <c r="G2338"/>
      <c r="H2338"/>
      <c r="I2338"/>
      <c r="J2338"/>
      <c r="K2338"/>
      <c r="L2338"/>
      <c r="M2338" s="16"/>
      <c r="N2338"/>
      <c r="O2338"/>
      <c r="P2338"/>
    </row>
    <row r="2339" spans="1:16" ht="15" x14ac:dyDescent="0.2">
      <c r="A2339"/>
      <c r="B2339"/>
      <c r="C2339"/>
      <c r="D2339"/>
      <c r="E2339"/>
      <c r="F2339"/>
      <c r="G2339"/>
      <c r="H2339"/>
      <c r="I2339"/>
      <c r="J2339"/>
      <c r="K2339"/>
      <c r="L2339"/>
      <c r="M2339" s="16"/>
      <c r="N2339"/>
      <c r="O2339"/>
      <c r="P2339"/>
    </row>
    <row r="2340" spans="1:16" ht="15" x14ac:dyDescent="0.2">
      <c r="A2340"/>
      <c r="B2340"/>
      <c r="C2340"/>
      <c r="D2340"/>
      <c r="E2340"/>
      <c r="F2340"/>
      <c r="G2340"/>
      <c r="H2340"/>
      <c r="I2340"/>
      <c r="J2340"/>
      <c r="K2340"/>
      <c r="L2340"/>
      <c r="M2340" s="16"/>
      <c r="N2340"/>
      <c r="O2340"/>
      <c r="P2340"/>
    </row>
    <row r="2341" spans="1:16" ht="15" x14ac:dyDescent="0.2">
      <c r="A2341"/>
      <c r="B2341"/>
      <c r="C2341"/>
      <c r="D2341"/>
      <c r="E2341"/>
      <c r="F2341"/>
      <c r="G2341"/>
      <c r="H2341"/>
      <c r="I2341"/>
      <c r="J2341"/>
      <c r="K2341"/>
      <c r="L2341"/>
      <c r="M2341" s="16"/>
      <c r="N2341"/>
      <c r="O2341"/>
      <c r="P2341"/>
    </row>
    <row r="2342" spans="1:16" ht="15" x14ac:dyDescent="0.2">
      <c r="A2342"/>
      <c r="B2342"/>
      <c r="C2342"/>
      <c r="D2342"/>
      <c r="E2342"/>
      <c r="F2342"/>
      <c r="G2342"/>
      <c r="H2342"/>
      <c r="I2342"/>
      <c r="J2342"/>
      <c r="K2342"/>
      <c r="L2342"/>
      <c r="M2342" s="16"/>
      <c r="N2342"/>
      <c r="O2342"/>
      <c r="P2342"/>
    </row>
    <row r="2343" spans="1:16" ht="15" x14ac:dyDescent="0.2">
      <c r="A2343"/>
      <c r="B2343"/>
      <c r="C2343"/>
      <c r="D2343"/>
      <c r="E2343"/>
      <c r="F2343"/>
      <c r="G2343"/>
      <c r="H2343"/>
      <c r="I2343"/>
      <c r="J2343"/>
      <c r="K2343"/>
      <c r="L2343"/>
      <c r="M2343" s="16"/>
      <c r="N2343"/>
      <c r="O2343"/>
      <c r="P2343"/>
    </row>
    <row r="2344" spans="1:16" ht="15" x14ac:dyDescent="0.2">
      <c r="A2344"/>
      <c r="B2344"/>
      <c r="C2344"/>
      <c r="D2344"/>
      <c r="E2344"/>
      <c r="F2344"/>
      <c r="G2344"/>
      <c r="H2344"/>
      <c r="I2344"/>
      <c r="J2344"/>
      <c r="K2344"/>
      <c r="L2344"/>
      <c r="M2344" s="16"/>
      <c r="N2344"/>
      <c r="O2344"/>
      <c r="P2344"/>
    </row>
    <row r="2345" spans="1:16" ht="15" x14ac:dyDescent="0.2">
      <c r="A2345"/>
      <c r="B2345"/>
      <c r="C2345"/>
      <c r="D2345"/>
      <c r="E2345"/>
      <c r="F2345"/>
      <c r="G2345"/>
      <c r="H2345"/>
      <c r="I2345"/>
      <c r="J2345"/>
      <c r="K2345"/>
      <c r="L2345"/>
      <c r="M2345" s="16"/>
      <c r="N2345"/>
      <c r="O2345"/>
      <c r="P2345"/>
    </row>
    <row r="2346" spans="1:16" ht="15" x14ac:dyDescent="0.2">
      <c r="A2346"/>
      <c r="B2346"/>
      <c r="C2346"/>
      <c r="D2346"/>
      <c r="E2346"/>
      <c r="F2346"/>
      <c r="G2346"/>
      <c r="H2346"/>
      <c r="I2346"/>
      <c r="J2346"/>
      <c r="K2346"/>
      <c r="L2346"/>
      <c r="M2346" s="16"/>
      <c r="N2346"/>
      <c r="O2346"/>
      <c r="P2346"/>
    </row>
    <row r="2347" spans="1:16" ht="15" x14ac:dyDescent="0.2">
      <c r="A2347"/>
      <c r="B2347"/>
      <c r="C2347"/>
      <c r="D2347"/>
      <c r="E2347"/>
      <c r="F2347"/>
      <c r="G2347"/>
      <c r="H2347"/>
      <c r="I2347"/>
      <c r="J2347"/>
      <c r="K2347"/>
      <c r="L2347"/>
      <c r="M2347" s="16"/>
      <c r="N2347"/>
      <c r="O2347"/>
      <c r="P2347"/>
    </row>
    <row r="2348" spans="1:16" ht="15" x14ac:dyDescent="0.2">
      <c r="A2348"/>
      <c r="B2348"/>
      <c r="C2348"/>
      <c r="D2348"/>
      <c r="E2348"/>
      <c r="F2348"/>
      <c r="G2348"/>
      <c r="H2348"/>
      <c r="I2348"/>
      <c r="J2348"/>
      <c r="K2348"/>
      <c r="L2348"/>
      <c r="M2348" s="16"/>
      <c r="N2348"/>
      <c r="O2348"/>
      <c r="P2348"/>
    </row>
    <row r="2349" spans="1:16" ht="15" x14ac:dyDescent="0.2">
      <c r="A2349"/>
      <c r="B2349"/>
      <c r="C2349"/>
      <c r="D2349"/>
      <c r="E2349"/>
      <c r="F2349"/>
      <c r="G2349"/>
      <c r="H2349"/>
      <c r="I2349"/>
      <c r="J2349"/>
      <c r="K2349"/>
      <c r="L2349"/>
      <c r="M2349" s="16"/>
      <c r="N2349"/>
      <c r="O2349"/>
      <c r="P2349"/>
    </row>
    <row r="2350" spans="1:16" ht="15" x14ac:dyDescent="0.2">
      <c r="A2350"/>
      <c r="B2350"/>
      <c r="C2350"/>
      <c r="D2350"/>
      <c r="E2350"/>
      <c r="F2350"/>
      <c r="G2350"/>
      <c r="H2350"/>
      <c r="I2350"/>
      <c r="J2350"/>
      <c r="K2350"/>
      <c r="L2350"/>
      <c r="M2350" s="16"/>
      <c r="N2350"/>
      <c r="O2350"/>
      <c r="P2350"/>
    </row>
    <row r="2351" spans="1:16" ht="15" x14ac:dyDescent="0.2">
      <c r="A2351"/>
      <c r="B2351"/>
      <c r="C2351"/>
      <c r="D2351"/>
      <c r="E2351"/>
      <c r="F2351"/>
      <c r="G2351"/>
      <c r="H2351"/>
      <c r="I2351"/>
      <c r="J2351"/>
      <c r="K2351"/>
      <c r="L2351"/>
      <c r="M2351" s="16"/>
      <c r="N2351"/>
      <c r="O2351"/>
      <c r="P2351"/>
    </row>
    <row r="2352" spans="1:16" ht="15" x14ac:dyDescent="0.2">
      <c r="A2352"/>
      <c r="B2352"/>
      <c r="C2352"/>
      <c r="D2352"/>
      <c r="E2352"/>
      <c r="F2352"/>
      <c r="G2352"/>
      <c r="H2352"/>
      <c r="I2352"/>
      <c r="J2352"/>
      <c r="K2352"/>
      <c r="L2352"/>
      <c r="M2352" s="16"/>
      <c r="N2352"/>
      <c r="O2352"/>
      <c r="P2352"/>
    </row>
    <row r="2353" spans="1:16" ht="15" x14ac:dyDescent="0.2">
      <c r="A2353"/>
      <c r="B2353"/>
      <c r="C2353"/>
      <c r="D2353"/>
      <c r="E2353"/>
      <c r="F2353"/>
      <c r="G2353"/>
      <c r="H2353"/>
      <c r="I2353"/>
      <c r="J2353"/>
      <c r="K2353"/>
      <c r="L2353"/>
      <c r="M2353" s="16"/>
      <c r="N2353"/>
      <c r="O2353"/>
      <c r="P2353"/>
    </row>
    <row r="2354" spans="1:16" ht="15" x14ac:dyDescent="0.2">
      <c r="A2354"/>
      <c r="B2354"/>
      <c r="C2354"/>
      <c r="D2354"/>
      <c r="E2354"/>
      <c r="F2354"/>
      <c r="G2354"/>
      <c r="H2354"/>
      <c r="I2354"/>
      <c r="J2354"/>
      <c r="K2354"/>
      <c r="L2354"/>
      <c r="M2354" s="16"/>
      <c r="N2354"/>
      <c r="O2354"/>
      <c r="P2354"/>
    </row>
    <row r="2355" spans="1:16" ht="15" x14ac:dyDescent="0.2">
      <c r="A2355"/>
      <c r="B2355"/>
      <c r="C2355"/>
      <c r="D2355"/>
      <c r="E2355"/>
      <c r="F2355"/>
      <c r="G2355"/>
      <c r="H2355"/>
      <c r="I2355"/>
      <c r="J2355"/>
      <c r="K2355"/>
      <c r="L2355"/>
      <c r="M2355" s="16"/>
      <c r="N2355"/>
      <c r="O2355"/>
      <c r="P2355"/>
    </row>
    <row r="2356" spans="1:16" ht="15" x14ac:dyDescent="0.2">
      <c r="A2356"/>
      <c r="B2356"/>
      <c r="C2356"/>
      <c r="D2356"/>
      <c r="E2356"/>
      <c r="F2356"/>
      <c r="G2356"/>
      <c r="H2356"/>
      <c r="I2356"/>
      <c r="J2356"/>
      <c r="K2356"/>
      <c r="L2356"/>
      <c r="M2356" s="16"/>
      <c r="N2356"/>
      <c r="O2356"/>
      <c r="P2356"/>
    </row>
    <row r="2357" spans="1:16" ht="15" x14ac:dyDescent="0.2">
      <c r="A2357"/>
      <c r="B2357"/>
      <c r="C2357"/>
      <c r="D2357"/>
      <c r="E2357"/>
      <c r="F2357"/>
      <c r="G2357"/>
      <c r="H2357"/>
      <c r="I2357"/>
      <c r="J2357"/>
      <c r="K2357"/>
      <c r="L2357"/>
      <c r="M2357" s="16"/>
      <c r="N2357"/>
      <c r="O2357"/>
      <c r="P2357"/>
    </row>
    <row r="2358" spans="1:16" ht="15" x14ac:dyDescent="0.2">
      <c r="A2358"/>
      <c r="B2358"/>
      <c r="C2358"/>
      <c r="D2358"/>
      <c r="E2358"/>
      <c r="F2358"/>
      <c r="G2358"/>
      <c r="H2358"/>
      <c r="I2358"/>
      <c r="J2358"/>
      <c r="K2358"/>
      <c r="L2358"/>
      <c r="M2358" s="16"/>
      <c r="N2358"/>
      <c r="O2358" s="13"/>
      <c r="P2358"/>
    </row>
    <row r="2359" spans="1:16" ht="15" x14ac:dyDescent="0.2">
      <c r="A2359"/>
      <c r="B2359"/>
      <c r="C2359"/>
      <c r="D2359"/>
      <c r="E2359"/>
      <c r="F2359"/>
      <c r="G2359"/>
      <c r="H2359"/>
      <c r="I2359"/>
      <c r="J2359"/>
      <c r="K2359"/>
      <c r="L2359"/>
      <c r="M2359" s="16"/>
      <c r="N2359"/>
      <c r="O2359"/>
      <c r="P2359"/>
    </row>
    <row r="2360" spans="1:16" ht="15" x14ac:dyDescent="0.2">
      <c r="A2360"/>
      <c r="B2360"/>
      <c r="C2360"/>
      <c r="D2360"/>
      <c r="E2360"/>
      <c r="F2360"/>
      <c r="G2360"/>
      <c r="H2360"/>
      <c r="I2360"/>
      <c r="J2360"/>
      <c r="K2360"/>
      <c r="L2360"/>
      <c r="M2360" s="16"/>
      <c r="N2360"/>
      <c r="O2360"/>
      <c r="P2360"/>
    </row>
    <row r="2361" spans="1:16" ht="15" x14ac:dyDescent="0.2">
      <c r="A2361"/>
      <c r="B2361"/>
      <c r="C2361"/>
      <c r="D2361"/>
      <c r="E2361"/>
      <c r="F2361"/>
      <c r="G2361"/>
      <c r="H2361"/>
      <c r="I2361"/>
      <c r="J2361"/>
      <c r="K2361"/>
      <c r="L2361"/>
      <c r="M2361" s="16"/>
      <c r="N2361"/>
      <c r="O2361" s="13"/>
      <c r="P2361"/>
    </row>
    <row r="2362" spans="1:16" ht="15" x14ac:dyDescent="0.2">
      <c r="A2362"/>
      <c r="B2362"/>
      <c r="C2362"/>
      <c r="D2362"/>
      <c r="E2362"/>
      <c r="F2362"/>
      <c r="G2362"/>
      <c r="H2362"/>
      <c r="I2362"/>
      <c r="J2362"/>
      <c r="K2362"/>
      <c r="L2362"/>
      <c r="M2362" s="16"/>
      <c r="N2362"/>
      <c r="O2362"/>
      <c r="P2362"/>
    </row>
    <row r="2363" spans="1:16" ht="15" x14ac:dyDescent="0.2">
      <c r="A2363"/>
      <c r="B2363"/>
      <c r="C2363"/>
      <c r="D2363"/>
      <c r="E2363"/>
      <c r="F2363"/>
      <c r="G2363"/>
      <c r="H2363"/>
      <c r="I2363"/>
      <c r="J2363"/>
      <c r="K2363"/>
      <c r="L2363"/>
      <c r="M2363" s="16"/>
      <c r="N2363"/>
      <c r="O2363"/>
      <c r="P2363"/>
    </row>
    <row r="2364" spans="1:16" ht="15" x14ac:dyDescent="0.2">
      <c r="A2364"/>
      <c r="B2364"/>
      <c r="C2364"/>
      <c r="D2364"/>
      <c r="E2364"/>
      <c r="F2364"/>
      <c r="G2364"/>
      <c r="H2364"/>
      <c r="I2364"/>
      <c r="J2364"/>
      <c r="K2364"/>
      <c r="L2364"/>
      <c r="M2364" s="16"/>
      <c r="N2364"/>
      <c r="O2364" s="13"/>
      <c r="P2364"/>
    </row>
    <row r="2365" spans="1:16" ht="15" x14ac:dyDescent="0.2">
      <c r="A2365"/>
      <c r="B2365"/>
      <c r="C2365"/>
      <c r="D2365"/>
      <c r="E2365"/>
      <c r="F2365"/>
      <c r="G2365"/>
      <c r="H2365"/>
      <c r="I2365"/>
      <c r="J2365"/>
      <c r="K2365"/>
      <c r="L2365"/>
      <c r="M2365" s="16"/>
      <c r="N2365"/>
      <c r="O2365"/>
      <c r="P2365"/>
    </row>
    <row r="2366" spans="1:16" ht="15" x14ac:dyDescent="0.2">
      <c r="A2366"/>
      <c r="B2366"/>
      <c r="C2366"/>
      <c r="D2366"/>
      <c r="E2366"/>
      <c r="F2366"/>
      <c r="G2366"/>
      <c r="H2366"/>
      <c r="I2366"/>
      <c r="J2366"/>
      <c r="K2366"/>
      <c r="L2366"/>
      <c r="M2366" s="16"/>
      <c r="N2366"/>
      <c r="O2366"/>
      <c r="P2366"/>
    </row>
    <row r="2367" spans="1:16" ht="15" x14ac:dyDescent="0.2">
      <c r="A2367"/>
      <c r="B2367"/>
      <c r="C2367"/>
      <c r="D2367"/>
      <c r="E2367"/>
      <c r="F2367"/>
      <c r="G2367"/>
      <c r="H2367"/>
      <c r="I2367"/>
      <c r="J2367"/>
      <c r="K2367"/>
      <c r="L2367"/>
      <c r="M2367" s="16"/>
      <c r="N2367"/>
      <c r="O2367"/>
      <c r="P2367"/>
    </row>
    <row r="2368" spans="1:16" ht="15" x14ac:dyDescent="0.2">
      <c r="A2368"/>
      <c r="B2368"/>
      <c r="C2368"/>
      <c r="D2368"/>
      <c r="E2368"/>
      <c r="F2368"/>
      <c r="G2368"/>
      <c r="H2368"/>
      <c r="I2368"/>
      <c r="J2368"/>
      <c r="K2368"/>
      <c r="L2368"/>
      <c r="M2368" s="16"/>
      <c r="N2368"/>
      <c r="O2368" s="13"/>
      <c r="P2368"/>
    </row>
    <row r="2369" spans="1:16" ht="15" x14ac:dyDescent="0.2">
      <c r="A2369"/>
      <c r="B2369"/>
      <c r="C2369"/>
      <c r="D2369"/>
      <c r="E2369"/>
      <c r="F2369"/>
      <c r="G2369"/>
      <c r="H2369"/>
      <c r="I2369"/>
      <c r="J2369"/>
      <c r="K2369"/>
      <c r="L2369"/>
      <c r="M2369" s="16"/>
      <c r="N2369"/>
      <c r="O2369"/>
      <c r="P2369"/>
    </row>
    <row r="2370" spans="1:16" ht="15" x14ac:dyDescent="0.2">
      <c r="A2370"/>
      <c r="B2370"/>
      <c r="C2370"/>
      <c r="D2370"/>
      <c r="E2370"/>
      <c r="F2370"/>
      <c r="G2370"/>
      <c r="H2370"/>
      <c r="I2370"/>
      <c r="J2370"/>
      <c r="K2370"/>
      <c r="L2370"/>
      <c r="M2370" s="16"/>
      <c r="N2370"/>
      <c r="O2370"/>
      <c r="P2370"/>
    </row>
    <row r="2371" spans="1:16" ht="15" x14ac:dyDescent="0.2">
      <c r="A2371"/>
      <c r="B2371"/>
      <c r="C2371"/>
      <c r="D2371"/>
      <c r="E2371"/>
      <c r="F2371"/>
      <c r="G2371"/>
      <c r="H2371"/>
      <c r="I2371"/>
      <c r="J2371"/>
      <c r="K2371"/>
      <c r="L2371"/>
      <c r="M2371" s="16"/>
      <c r="N2371"/>
      <c r="O2371" s="13"/>
      <c r="P2371"/>
    </row>
    <row r="2372" spans="1:16" ht="15" x14ac:dyDescent="0.2">
      <c r="A2372"/>
      <c r="B2372"/>
      <c r="C2372"/>
      <c r="D2372"/>
      <c r="E2372"/>
      <c r="F2372"/>
      <c r="G2372"/>
      <c r="H2372"/>
      <c r="I2372"/>
      <c r="J2372"/>
      <c r="K2372"/>
      <c r="L2372"/>
      <c r="M2372" s="16"/>
      <c r="N2372"/>
      <c r="O2372"/>
      <c r="P2372"/>
    </row>
    <row r="2373" spans="1:16" ht="15" x14ac:dyDescent="0.2">
      <c r="A2373"/>
      <c r="B2373"/>
      <c r="C2373"/>
      <c r="D2373"/>
      <c r="E2373"/>
      <c r="F2373"/>
      <c r="G2373"/>
      <c r="H2373"/>
      <c r="I2373"/>
      <c r="J2373"/>
      <c r="K2373"/>
      <c r="L2373"/>
      <c r="M2373" s="16"/>
      <c r="N2373"/>
      <c r="O2373"/>
      <c r="P2373"/>
    </row>
    <row r="2374" spans="1:16" ht="15" x14ac:dyDescent="0.2">
      <c r="A2374"/>
      <c r="B2374"/>
      <c r="C2374"/>
      <c r="D2374"/>
      <c r="E2374"/>
      <c r="F2374"/>
      <c r="G2374"/>
      <c r="H2374"/>
      <c r="I2374"/>
      <c r="J2374"/>
      <c r="K2374"/>
      <c r="L2374"/>
      <c r="M2374" s="16"/>
      <c r="N2374"/>
      <c r="O2374"/>
      <c r="P2374"/>
    </row>
    <row r="2375" spans="1:16" ht="15" x14ac:dyDescent="0.2">
      <c r="A2375"/>
      <c r="B2375"/>
      <c r="C2375"/>
      <c r="D2375"/>
      <c r="E2375"/>
      <c r="F2375"/>
      <c r="G2375"/>
      <c r="H2375"/>
      <c r="I2375"/>
      <c r="J2375"/>
      <c r="K2375"/>
      <c r="L2375"/>
      <c r="M2375" s="16"/>
      <c r="N2375"/>
      <c r="O2375" s="13"/>
      <c r="P2375"/>
    </row>
    <row r="2376" spans="1:16" ht="15" x14ac:dyDescent="0.2">
      <c r="A2376"/>
      <c r="B2376"/>
      <c r="C2376"/>
      <c r="D2376"/>
      <c r="E2376"/>
      <c r="F2376"/>
      <c r="G2376"/>
      <c r="H2376"/>
      <c r="I2376"/>
      <c r="J2376"/>
      <c r="K2376"/>
      <c r="L2376"/>
      <c r="M2376" s="16"/>
      <c r="N2376"/>
      <c r="O2376"/>
      <c r="P2376"/>
    </row>
    <row r="2377" spans="1:16" ht="15" x14ac:dyDescent="0.2">
      <c r="A2377"/>
      <c r="B2377"/>
      <c r="C2377"/>
      <c r="D2377"/>
      <c r="E2377"/>
      <c r="F2377"/>
      <c r="G2377"/>
      <c r="H2377"/>
      <c r="I2377"/>
      <c r="J2377"/>
      <c r="K2377"/>
      <c r="L2377"/>
      <c r="M2377" s="16"/>
      <c r="N2377"/>
      <c r="O2377" s="13"/>
      <c r="P2377"/>
    </row>
    <row r="2378" spans="1:16" ht="15" x14ac:dyDescent="0.2">
      <c r="A2378"/>
      <c r="B2378"/>
      <c r="C2378"/>
      <c r="D2378"/>
      <c r="E2378"/>
      <c r="F2378"/>
      <c r="G2378"/>
      <c r="H2378"/>
      <c r="I2378"/>
      <c r="J2378"/>
      <c r="K2378"/>
      <c r="L2378"/>
      <c r="M2378" s="16"/>
      <c r="N2378"/>
      <c r="O2378"/>
      <c r="P2378"/>
    </row>
    <row r="2379" spans="1:16" ht="15" x14ac:dyDescent="0.2">
      <c r="A2379"/>
      <c r="B2379"/>
      <c r="C2379"/>
      <c r="D2379"/>
      <c r="E2379"/>
      <c r="F2379"/>
      <c r="G2379"/>
      <c r="H2379"/>
      <c r="I2379"/>
      <c r="J2379"/>
      <c r="K2379"/>
      <c r="L2379"/>
      <c r="M2379" s="16"/>
      <c r="N2379"/>
      <c r="O2379"/>
      <c r="P2379"/>
    </row>
    <row r="2380" spans="1:16" ht="15" x14ac:dyDescent="0.2">
      <c r="A2380"/>
      <c r="B2380"/>
      <c r="C2380"/>
      <c r="D2380"/>
      <c r="E2380"/>
      <c r="F2380"/>
      <c r="G2380"/>
      <c r="H2380"/>
      <c r="I2380"/>
      <c r="J2380"/>
      <c r="K2380"/>
      <c r="L2380"/>
      <c r="M2380" s="16"/>
      <c r="N2380"/>
      <c r="O2380"/>
      <c r="P2380"/>
    </row>
    <row r="2381" spans="1:16" ht="15" x14ac:dyDescent="0.2">
      <c r="A2381"/>
      <c r="B2381"/>
      <c r="C2381"/>
      <c r="D2381"/>
      <c r="E2381"/>
      <c r="F2381"/>
      <c r="G2381"/>
      <c r="H2381"/>
      <c r="I2381"/>
      <c r="J2381"/>
      <c r="K2381"/>
      <c r="L2381"/>
      <c r="M2381" s="16"/>
      <c r="N2381"/>
      <c r="O2381"/>
      <c r="P2381"/>
    </row>
    <row r="2382" spans="1:16" ht="15" x14ac:dyDescent="0.2">
      <c r="A2382"/>
      <c r="B2382"/>
      <c r="C2382"/>
      <c r="D2382"/>
      <c r="E2382"/>
      <c r="F2382"/>
      <c r="G2382"/>
      <c r="H2382"/>
      <c r="I2382"/>
      <c r="J2382"/>
      <c r="K2382"/>
      <c r="L2382"/>
      <c r="M2382" s="16"/>
      <c r="N2382"/>
      <c r="O2382"/>
      <c r="P2382"/>
    </row>
    <row r="2383" spans="1:16" ht="15" x14ac:dyDescent="0.2">
      <c r="A2383"/>
      <c r="B2383"/>
      <c r="C2383"/>
      <c r="D2383"/>
      <c r="E2383"/>
      <c r="F2383"/>
      <c r="G2383"/>
      <c r="H2383"/>
      <c r="I2383"/>
      <c r="J2383"/>
      <c r="K2383"/>
      <c r="L2383"/>
      <c r="M2383" s="16"/>
      <c r="N2383"/>
      <c r="O2383" s="13"/>
      <c r="P2383"/>
    </row>
    <row r="2384" spans="1:16" ht="15" x14ac:dyDescent="0.2">
      <c r="A2384"/>
      <c r="B2384"/>
      <c r="C2384"/>
      <c r="D2384"/>
      <c r="E2384"/>
      <c r="F2384"/>
      <c r="G2384"/>
      <c r="H2384"/>
      <c r="I2384"/>
      <c r="J2384"/>
      <c r="K2384"/>
      <c r="L2384"/>
      <c r="M2384" s="16"/>
      <c r="N2384"/>
      <c r="O2384" s="13"/>
      <c r="P2384"/>
    </row>
    <row r="2385" spans="1:16" ht="15" x14ac:dyDescent="0.2">
      <c r="A2385"/>
      <c r="B2385"/>
      <c r="C2385"/>
      <c r="D2385"/>
      <c r="E2385"/>
      <c r="F2385"/>
      <c r="G2385"/>
      <c r="H2385"/>
      <c r="I2385"/>
      <c r="J2385"/>
      <c r="K2385"/>
      <c r="L2385"/>
      <c r="M2385" s="16"/>
      <c r="N2385"/>
      <c r="O2385"/>
      <c r="P2385"/>
    </row>
    <row r="2386" spans="1:16" ht="15" x14ac:dyDescent="0.2">
      <c r="A2386"/>
      <c r="B2386"/>
      <c r="C2386"/>
      <c r="D2386"/>
      <c r="E2386"/>
      <c r="F2386"/>
      <c r="G2386"/>
      <c r="H2386"/>
      <c r="I2386"/>
      <c r="J2386"/>
      <c r="K2386"/>
      <c r="L2386"/>
      <c r="M2386" s="16"/>
      <c r="N2386"/>
      <c r="O2386"/>
      <c r="P2386"/>
    </row>
    <row r="2387" spans="1:16" ht="15" x14ac:dyDescent="0.2">
      <c r="A2387"/>
      <c r="B2387"/>
      <c r="C2387"/>
      <c r="D2387"/>
      <c r="E2387"/>
      <c r="F2387"/>
      <c r="G2387"/>
      <c r="H2387"/>
      <c r="I2387"/>
      <c r="J2387"/>
      <c r="K2387"/>
      <c r="L2387"/>
      <c r="M2387" s="16"/>
      <c r="N2387"/>
      <c r="O2387"/>
      <c r="P2387"/>
    </row>
    <row r="2388" spans="1:16" ht="15" x14ac:dyDescent="0.2">
      <c r="A2388"/>
      <c r="B2388"/>
      <c r="C2388"/>
      <c r="D2388"/>
      <c r="E2388"/>
      <c r="F2388"/>
      <c r="G2388"/>
      <c r="H2388"/>
      <c r="I2388"/>
      <c r="J2388"/>
      <c r="K2388"/>
      <c r="L2388"/>
      <c r="M2388" s="16"/>
      <c r="N2388"/>
      <c r="O2388"/>
      <c r="P2388"/>
    </row>
    <row r="2389" spans="1:16" ht="15" x14ac:dyDescent="0.2">
      <c r="A2389"/>
      <c r="B2389"/>
      <c r="C2389"/>
      <c r="D2389"/>
      <c r="E2389"/>
      <c r="F2389"/>
      <c r="G2389"/>
      <c r="H2389"/>
      <c r="I2389"/>
      <c r="J2389"/>
      <c r="K2389"/>
      <c r="L2389"/>
      <c r="M2389" s="16"/>
      <c r="N2389"/>
      <c r="O2389"/>
      <c r="P2389"/>
    </row>
    <row r="2390" spans="1:16" ht="15" x14ac:dyDescent="0.2">
      <c r="A2390"/>
      <c r="B2390"/>
      <c r="C2390"/>
      <c r="D2390"/>
      <c r="E2390"/>
      <c r="F2390"/>
      <c r="G2390"/>
      <c r="H2390"/>
      <c r="I2390"/>
      <c r="J2390"/>
      <c r="K2390"/>
      <c r="L2390"/>
      <c r="M2390" s="16"/>
      <c r="N2390"/>
      <c r="O2390"/>
      <c r="P2390"/>
    </row>
    <row r="2391" spans="1:16" ht="15" x14ac:dyDescent="0.2">
      <c r="A2391"/>
      <c r="B2391"/>
      <c r="C2391"/>
      <c r="D2391"/>
      <c r="E2391"/>
      <c r="F2391"/>
      <c r="G2391"/>
      <c r="H2391"/>
      <c r="I2391"/>
      <c r="J2391"/>
      <c r="K2391"/>
      <c r="L2391"/>
      <c r="M2391" s="16"/>
      <c r="N2391"/>
      <c r="O2391" s="13"/>
      <c r="P2391"/>
    </row>
    <row r="2392" spans="1:16" ht="15" x14ac:dyDescent="0.2">
      <c r="A2392"/>
      <c r="B2392"/>
      <c r="C2392"/>
      <c r="D2392"/>
      <c r="E2392"/>
      <c r="F2392"/>
      <c r="G2392"/>
      <c r="H2392"/>
      <c r="I2392"/>
      <c r="J2392"/>
      <c r="K2392"/>
      <c r="L2392"/>
      <c r="M2392" s="16"/>
      <c r="N2392"/>
      <c r="O2392" s="13"/>
      <c r="P2392"/>
    </row>
    <row r="2393" spans="1:16" ht="15" x14ac:dyDescent="0.2">
      <c r="A2393"/>
      <c r="B2393"/>
      <c r="C2393"/>
      <c r="D2393"/>
      <c r="E2393"/>
      <c r="F2393"/>
      <c r="G2393"/>
      <c r="H2393"/>
      <c r="I2393"/>
      <c r="J2393"/>
      <c r="K2393"/>
      <c r="L2393"/>
      <c r="M2393" s="16"/>
      <c r="N2393"/>
      <c r="O2393"/>
      <c r="P2393"/>
    </row>
    <row r="2394" spans="1:16" ht="15" x14ac:dyDescent="0.2">
      <c r="A2394"/>
      <c r="B2394"/>
      <c r="C2394"/>
      <c r="D2394"/>
      <c r="E2394"/>
      <c r="F2394"/>
      <c r="G2394"/>
      <c r="H2394"/>
      <c r="I2394"/>
      <c r="J2394"/>
      <c r="K2394"/>
      <c r="L2394"/>
      <c r="M2394" s="16"/>
      <c r="N2394"/>
      <c r="O2394" s="13"/>
      <c r="P2394"/>
    </row>
    <row r="2395" spans="1:16" ht="15" x14ac:dyDescent="0.2">
      <c r="A2395"/>
      <c r="B2395"/>
      <c r="C2395"/>
      <c r="D2395"/>
      <c r="E2395"/>
      <c r="F2395"/>
      <c r="G2395"/>
      <c r="H2395"/>
      <c r="I2395"/>
      <c r="J2395"/>
      <c r="K2395"/>
      <c r="L2395"/>
      <c r="M2395" s="16"/>
      <c r="N2395"/>
      <c r="O2395"/>
      <c r="P2395"/>
    </row>
    <row r="2396" spans="1:16" ht="15" x14ac:dyDescent="0.2">
      <c r="A2396"/>
      <c r="B2396"/>
      <c r="C2396"/>
      <c r="D2396"/>
      <c r="E2396"/>
      <c r="F2396"/>
      <c r="G2396"/>
      <c r="H2396"/>
      <c r="I2396"/>
      <c r="J2396"/>
      <c r="K2396"/>
      <c r="L2396"/>
      <c r="M2396" s="16"/>
      <c r="N2396"/>
      <c r="O2396"/>
      <c r="P2396"/>
    </row>
    <row r="2397" spans="1:16" ht="15" x14ac:dyDescent="0.2">
      <c r="A2397"/>
      <c r="B2397"/>
      <c r="C2397"/>
      <c r="D2397"/>
      <c r="E2397"/>
      <c r="F2397"/>
      <c r="G2397"/>
      <c r="H2397"/>
      <c r="I2397"/>
      <c r="J2397"/>
      <c r="K2397"/>
      <c r="L2397"/>
      <c r="M2397" s="16"/>
      <c r="N2397"/>
      <c r="O2397" s="13"/>
      <c r="P2397"/>
    </row>
    <row r="2398" spans="1:16" ht="15" x14ac:dyDescent="0.2">
      <c r="A2398"/>
      <c r="B2398"/>
      <c r="C2398"/>
      <c r="D2398"/>
      <c r="E2398"/>
      <c r="F2398"/>
      <c r="G2398"/>
      <c r="H2398"/>
      <c r="I2398"/>
      <c r="J2398"/>
      <c r="K2398"/>
      <c r="L2398"/>
      <c r="M2398" s="16"/>
      <c r="N2398"/>
      <c r="O2398"/>
      <c r="P2398"/>
    </row>
    <row r="2399" spans="1:16" ht="15" x14ac:dyDescent="0.2">
      <c r="A2399"/>
      <c r="B2399"/>
      <c r="C2399"/>
      <c r="D2399"/>
      <c r="E2399"/>
      <c r="F2399"/>
      <c r="G2399"/>
      <c r="H2399"/>
      <c r="I2399"/>
      <c r="J2399"/>
      <c r="K2399"/>
      <c r="L2399"/>
      <c r="M2399" s="16"/>
      <c r="N2399"/>
      <c r="O2399" s="13"/>
      <c r="P2399"/>
    </row>
    <row r="2400" spans="1:16" ht="15" x14ac:dyDescent="0.2">
      <c r="A2400"/>
      <c r="B2400"/>
      <c r="C2400"/>
      <c r="D2400"/>
      <c r="E2400"/>
      <c r="F2400"/>
      <c r="G2400"/>
      <c r="H2400"/>
      <c r="I2400"/>
      <c r="J2400"/>
      <c r="K2400"/>
      <c r="L2400"/>
      <c r="M2400" s="16"/>
      <c r="N2400"/>
      <c r="O2400"/>
      <c r="P2400"/>
    </row>
    <row r="2401" spans="1:16" ht="15" x14ac:dyDescent="0.2">
      <c r="A2401"/>
      <c r="B2401"/>
      <c r="C2401"/>
      <c r="D2401"/>
      <c r="E2401"/>
      <c r="F2401"/>
      <c r="G2401"/>
      <c r="H2401"/>
      <c r="I2401"/>
      <c r="J2401"/>
      <c r="K2401"/>
      <c r="L2401"/>
      <c r="M2401" s="16"/>
      <c r="N2401"/>
      <c r="O2401"/>
      <c r="P2401"/>
    </row>
    <row r="2402" spans="1:16" ht="15" x14ac:dyDescent="0.2">
      <c r="A2402"/>
      <c r="B2402"/>
      <c r="C2402"/>
      <c r="D2402"/>
      <c r="E2402"/>
      <c r="F2402"/>
      <c r="G2402"/>
      <c r="H2402"/>
      <c r="I2402"/>
      <c r="J2402"/>
      <c r="K2402"/>
      <c r="L2402"/>
      <c r="M2402" s="16"/>
      <c r="N2402"/>
      <c r="O2402"/>
      <c r="P2402"/>
    </row>
    <row r="2403" spans="1:16" ht="15" x14ac:dyDescent="0.2">
      <c r="A2403"/>
      <c r="B2403"/>
      <c r="C2403"/>
      <c r="D2403"/>
      <c r="E2403"/>
      <c r="F2403"/>
      <c r="G2403"/>
      <c r="H2403"/>
      <c r="I2403"/>
      <c r="J2403"/>
      <c r="K2403"/>
      <c r="L2403"/>
      <c r="M2403" s="16"/>
      <c r="N2403"/>
      <c r="O2403"/>
      <c r="P2403"/>
    </row>
    <row r="2404" spans="1:16" ht="15" x14ac:dyDescent="0.2">
      <c r="A2404"/>
      <c r="B2404"/>
      <c r="C2404"/>
      <c r="D2404"/>
      <c r="E2404"/>
      <c r="F2404"/>
      <c r="G2404"/>
      <c r="H2404"/>
      <c r="I2404"/>
      <c r="J2404"/>
      <c r="K2404"/>
      <c r="L2404"/>
      <c r="M2404" s="16"/>
      <c r="N2404"/>
      <c r="O2404"/>
      <c r="P2404"/>
    </row>
    <row r="2405" spans="1:16" ht="15" x14ac:dyDescent="0.2">
      <c r="A2405"/>
      <c r="B2405"/>
      <c r="C2405"/>
      <c r="D2405"/>
      <c r="E2405"/>
      <c r="F2405"/>
      <c r="G2405"/>
      <c r="H2405"/>
      <c r="I2405"/>
      <c r="J2405"/>
      <c r="K2405"/>
      <c r="L2405"/>
      <c r="M2405" s="16"/>
      <c r="N2405"/>
      <c r="O2405" s="13"/>
      <c r="P2405"/>
    </row>
    <row r="2406" spans="1:16" ht="15" x14ac:dyDescent="0.2">
      <c r="A2406"/>
      <c r="B2406"/>
      <c r="C2406"/>
      <c r="D2406"/>
      <c r="E2406"/>
      <c r="F2406"/>
      <c r="G2406"/>
      <c r="H2406"/>
      <c r="I2406"/>
      <c r="J2406"/>
      <c r="K2406"/>
      <c r="L2406"/>
      <c r="M2406" s="16"/>
      <c r="N2406"/>
      <c r="O2406"/>
      <c r="P2406"/>
    </row>
    <row r="2407" spans="1:16" ht="15" x14ac:dyDescent="0.2">
      <c r="A2407"/>
      <c r="B2407"/>
      <c r="C2407"/>
      <c r="D2407"/>
      <c r="E2407"/>
      <c r="F2407"/>
      <c r="G2407"/>
      <c r="H2407"/>
      <c r="I2407"/>
      <c r="J2407"/>
      <c r="K2407"/>
      <c r="L2407"/>
      <c r="M2407" s="16"/>
      <c r="N2407"/>
      <c r="O2407" s="13"/>
      <c r="P2407"/>
    </row>
    <row r="2408" spans="1:16" ht="15" x14ac:dyDescent="0.2">
      <c r="A2408"/>
      <c r="B2408"/>
      <c r="C2408"/>
      <c r="D2408"/>
      <c r="E2408"/>
      <c r="F2408"/>
      <c r="G2408"/>
      <c r="H2408"/>
      <c r="I2408"/>
      <c r="J2408"/>
      <c r="K2408"/>
      <c r="L2408"/>
      <c r="M2408" s="16"/>
      <c r="N2408"/>
      <c r="O2408" s="13"/>
      <c r="P2408"/>
    </row>
    <row r="2409" spans="1:16" ht="15" x14ac:dyDescent="0.2">
      <c r="A2409"/>
      <c r="B2409"/>
      <c r="C2409"/>
      <c r="D2409"/>
      <c r="E2409"/>
      <c r="F2409"/>
      <c r="G2409"/>
      <c r="H2409"/>
      <c r="I2409"/>
      <c r="J2409"/>
      <c r="K2409"/>
      <c r="L2409"/>
      <c r="M2409" s="16"/>
      <c r="N2409"/>
      <c r="O2409"/>
      <c r="P2409"/>
    </row>
    <row r="2410" spans="1:16" ht="15" x14ac:dyDescent="0.2">
      <c r="A2410"/>
      <c r="B2410"/>
      <c r="C2410"/>
      <c r="D2410"/>
      <c r="E2410"/>
      <c r="F2410"/>
      <c r="G2410"/>
      <c r="H2410"/>
      <c r="I2410"/>
      <c r="J2410"/>
      <c r="K2410"/>
      <c r="L2410"/>
      <c r="M2410" s="16"/>
      <c r="N2410"/>
      <c r="O2410" s="13"/>
      <c r="P2410"/>
    </row>
    <row r="2411" spans="1:16" ht="15" x14ac:dyDescent="0.2">
      <c r="A2411"/>
      <c r="B2411"/>
      <c r="C2411"/>
      <c r="D2411"/>
      <c r="E2411"/>
      <c r="F2411"/>
      <c r="G2411"/>
      <c r="H2411"/>
      <c r="I2411"/>
      <c r="J2411"/>
      <c r="K2411"/>
      <c r="L2411"/>
      <c r="M2411" s="16"/>
      <c r="N2411"/>
      <c r="O2411"/>
      <c r="P2411"/>
    </row>
    <row r="2412" spans="1:16" ht="15" x14ac:dyDescent="0.2">
      <c r="A2412"/>
      <c r="B2412"/>
      <c r="C2412"/>
      <c r="D2412"/>
      <c r="E2412"/>
      <c r="F2412"/>
      <c r="G2412"/>
      <c r="H2412"/>
      <c r="I2412"/>
      <c r="J2412"/>
      <c r="K2412"/>
      <c r="L2412"/>
      <c r="M2412" s="16"/>
      <c r="N2412"/>
      <c r="O2412"/>
      <c r="P2412"/>
    </row>
    <row r="2413" spans="1:16" ht="15" x14ac:dyDescent="0.2">
      <c r="A2413"/>
      <c r="B2413"/>
      <c r="C2413"/>
      <c r="D2413"/>
      <c r="E2413"/>
      <c r="F2413"/>
      <c r="G2413"/>
      <c r="H2413"/>
      <c r="I2413"/>
      <c r="J2413"/>
      <c r="K2413"/>
      <c r="L2413"/>
      <c r="M2413" s="16"/>
      <c r="N2413"/>
      <c r="O2413" s="13"/>
      <c r="P2413"/>
    </row>
    <row r="2414" spans="1:16" ht="15" x14ac:dyDescent="0.2">
      <c r="A2414"/>
      <c r="B2414"/>
      <c r="C2414"/>
      <c r="D2414"/>
      <c r="E2414"/>
      <c r="F2414"/>
      <c r="G2414"/>
      <c r="H2414"/>
      <c r="I2414"/>
      <c r="J2414"/>
      <c r="K2414"/>
      <c r="L2414"/>
      <c r="M2414" s="16"/>
      <c r="N2414"/>
      <c r="O2414"/>
      <c r="P2414"/>
    </row>
    <row r="2415" spans="1:16" ht="15" x14ac:dyDescent="0.2">
      <c r="A2415"/>
      <c r="B2415"/>
      <c r="C2415"/>
      <c r="D2415"/>
      <c r="E2415"/>
      <c r="F2415"/>
      <c r="G2415"/>
      <c r="H2415"/>
      <c r="I2415"/>
      <c r="J2415"/>
      <c r="K2415"/>
      <c r="L2415"/>
      <c r="M2415" s="16"/>
      <c r="N2415"/>
      <c r="O2415"/>
      <c r="P2415"/>
    </row>
    <row r="2416" spans="1:16" ht="15" x14ac:dyDescent="0.2">
      <c r="A2416"/>
      <c r="B2416"/>
      <c r="C2416"/>
      <c r="D2416"/>
      <c r="E2416"/>
      <c r="F2416"/>
      <c r="G2416"/>
      <c r="H2416"/>
      <c r="I2416"/>
      <c r="J2416"/>
      <c r="K2416"/>
      <c r="L2416"/>
      <c r="M2416" s="16"/>
      <c r="N2416"/>
      <c r="O2416" s="13"/>
      <c r="P2416"/>
    </row>
    <row r="2417" spans="1:16" ht="15" x14ac:dyDescent="0.2">
      <c r="A2417"/>
      <c r="B2417"/>
      <c r="C2417"/>
      <c r="D2417"/>
      <c r="E2417"/>
      <c r="F2417"/>
      <c r="G2417"/>
      <c r="H2417"/>
      <c r="I2417"/>
      <c r="J2417"/>
      <c r="K2417"/>
      <c r="L2417"/>
      <c r="M2417" s="16"/>
      <c r="N2417"/>
      <c r="O2417"/>
      <c r="P2417"/>
    </row>
    <row r="2418" spans="1:16" ht="15" x14ac:dyDescent="0.2">
      <c r="A2418"/>
      <c r="B2418"/>
      <c r="C2418"/>
      <c r="D2418"/>
      <c r="E2418"/>
      <c r="F2418"/>
      <c r="G2418"/>
      <c r="H2418"/>
      <c r="I2418"/>
      <c r="J2418"/>
      <c r="K2418"/>
      <c r="L2418"/>
      <c r="M2418" s="16"/>
      <c r="N2418"/>
      <c r="O2418"/>
      <c r="P2418"/>
    </row>
    <row r="2419" spans="1:16" ht="15" x14ac:dyDescent="0.2">
      <c r="A2419"/>
      <c r="B2419"/>
      <c r="C2419"/>
      <c r="D2419"/>
      <c r="E2419"/>
      <c r="F2419"/>
      <c r="G2419"/>
      <c r="H2419"/>
      <c r="I2419"/>
      <c r="J2419"/>
      <c r="K2419"/>
      <c r="L2419"/>
      <c r="M2419" s="16"/>
      <c r="N2419"/>
      <c r="O2419"/>
      <c r="P2419"/>
    </row>
    <row r="2420" spans="1:16" ht="15" x14ac:dyDescent="0.2">
      <c r="A2420"/>
      <c r="B2420"/>
      <c r="C2420"/>
      <c r="D2420"/>
      <c r="E2420"/>
      <c r="F2420"/>
      <c r="G2420"/>
      <c r="H2420"/>
      <c r="I2420"/>
      <c r="J2420"/>
      <c r="K2420"/>
      <c r="L2420"/>
      <c r="M2420" s="16"/>
      <c r="N2420"/>
      <c r="O2420" s="13"/>
      <c r="P2420"/>
    </row>
    <row r="2421" spans="1:16" ht="15" x14ac:dyDescent="0.2">
      <c r="A2421"/>
      <c r="B2421"/>
      <c r="C2421"/>
      <c r="D2421"/>
      <c r="E2421"/>
      <c r="F2421"/>
      <c r="G2421"/>
      <c r="H2421"/>
      <c r="I2421"/>
      <c r="J2421"/>
      <c r="K2421"/>
      <c r="L2421"/>
      <c r="M2421" s="16"/>
      <c r="N2421"/>
      <c r="O2421"/>
      <c r="P2421"/>
    </row>
    <row r="2422" spans="1:16" ht="15" x14ac:dyDescent="0.2">
      <c r="A2422"/>
      <c r="B2422"/>
      <c r="C2422"/>
      <c r="D2422"/>
      <c r="E2422"/>
      <c r="F2422"/>
      <c r="G2422"/>
      <c r="H2422"/>
      <c r="I2422"/>
      <c r="J2422"/>
      <c r="K2422"/>
      <c r="L2422"/>
      <c r="M2422" s="16"/>
      <c r="N2422"/>
      <c r="O2422"/>
      <c r="P2422"/>
    </row>
    <row r="2423" spans="1:16" ht="15" x14ac:dyDescent="0.2">
      <c r="A2423"/>
      <c r="B2423"/>
      <c r="C2423"/>
      <c r="D2423"/>
      <c r="E2423"/>
      <c r="F2423"/>
      <c r="G2423"/>
      <c r="H2423"/>
      <c r="I2423"/>
      <c r="J2423"/>
      <c r="K2423"/>
      <c r="L2423"/>
      <c r="M2423" s="16"/>
      <c r="N2423"/>
      <c r="O2423" s="13"/>
      <c r="P2423"/>
    </row>
    <row r="2424" spans="1:16" ht="15" x14ac:dyDescent="0.2">
      <c r="A2424"/>
      <c r="B2424"/>
      <c r="C2424"/>
      <c r="D2424"/>
      <c r="E2424"/>
      <c r="F2424"/>
      <c r="G2424"/>
      <c r="H2424"/>
      <c r="I2424"/>
      <c r="J2424"/>
      <c r="K2424"/>
      <c r="L2424"/>
      <c r="M2424" s="16"/>
      <c r="N2424"/>
      <c r="O2424"/>
      <c r="P2424"/>
    </row>
    <row r="2425" spans="1:16" ht="15" x14ac:dyDescent="0.2">
      <c r="A2425"/>
      <c r="B2425"/>
      <c r="C2425"/>
      <c r="D2425"/>
      <c r="E2425"/>
      <c r="F2425"/>
      <c r="G2425"/>
      <c r="H2425"/>
      <c r="I2425"/>
      <c r="J2425"/>
      <c r="K2425"/>
      <c r="L2425"/>
      <c r="M2425" s="16"/>
      <c r="N2425"/>
      <c r="O2425" s="13"/>
      <c r="P2425"/>
    </row>
    <row r="2426" spans="1:16" ht="15" x14ac:dyDescent="0.2">
      <c r="A2426"/>
      <c r="B2426"/>
      <c r="C2426"/>
      <c r="D2426"/>
      <c r="E2426"/>
      <c r="F2426"/>
      <c r="G2426"/>
      <c r="H2426"/>
      <c r="I2426"/>
      <c r="J2426"/>
      <c r="K2426"/>
      <c r="L2426"/>
      <c r="M2426" s="16"/>
      <c r="N2426"/>
      <c r="O2426"/>
      <c r="P2426"/>
    </row>
    <row r="2427" spans="1:16" ht="15" x14ac:dyDescent="0.2">
      <c r="A2427"/>
      <c r="B2427"/>
      <c r="C2427"/>
      <c r="D2427"/>
      <c r="E2427"/>
      <c r="F2427"/>
      <c r="G2427"/>
      <c r="H2427"/>
      <c r="I2427"/>
      <c r="J2427"/>
      <c r="K2427"/>
      <c r="L2427"/>
      <c r="M2427" s="16"/>
      <c r="N2427"/>
      <c r="O2427"/>
      <c r="P2427"/>
    </row>
    <row r="2428" spans="1:16" ht="15" x14ac:dyDescent="0.2">
      <c r="A2428"/>
      <c r="B2428"/>
      <c r="C2428"/>
      <c r="D2428"/>
      <c r="E2428"/>
      <c r="F2428"/>
      <c r="G2428"/>
      <c r="H2428"/>
      <c r="I2428"/>
      <c r="J2428"/>
      <c r="K2428"/>
      <c r="L2428"/>
      <c r="M2428" s="16"/>
      <c r="N2428"/>
      <c r="O2428"/>
      <c r="P2428"/>
    </row>
    <row r="2429" spans="1:16" ht="15" x14ac:dyDescent="0.2">
      <c r="A2429"/>
      <c r="B2429"/>
      <c r="C2429"/>
      <c r="D2429"/>
      <c r="E2429"/>
      <c r="F2429"/>
      <c r="G2429"/>
      <c r="H2429"/>
      <c r="I2429"/>
      <c r="J2429"/>
      <c r="K2429"/>
      <c r="L2429"/>
      <c r="M2429" s="16"/>
      <c r="N2429"/>
      <c r="O2429" s="13"/>
      <c r="P2429"/>
    </row>
    <row r="2430" spans="1:16" ht="15" x14ac:dyDescent="0.2">
      <c r="A2430"/>
      <c r="B2430"/>
      <c r="C2430"/>
      <c r="D2430"/>
      <c r="E2430"/>
      <c r="F2430"/>
      <c r="G2430"/>
      <c r="H2430"/>
      <c r="I2430"/>
      <c r="J2430"/>
      <c r="K2430"/>
      <c r="L2430"/>
      <c r="M2430" s="16"/>
      <c r="N2430"/>
      <c r="O2430"/>
      <c r="P2430"/>
    </row>
    <row r="2431" spans="1:16" ht="15" x14ac:dyDescent="0.2">
      <c r="A2431"/>
      <c r="B2431"/>
      <c r="C2431"/>
      <c r="D2431"/>
      <c r="E2431"/>
      <c r="F2431"/>
      <c r="G2431"/>
      <c r="H2431"/>
      <c r="I2431"/>
      <c r="J2431"/>
      <c r="K2431"/>
      <c r="L2431"/>
      <c r="M2431" s="16"/>
      <c r="N2431"/>
      <c r="O2431"/>
      <c r="P2431"/>
    </row>
    <row r="2432" spans="1:16" ht="15" x14ac:dyDescent="0.2">
      <c r="A2432"/>
      <c r="B2432"/>
      <c r="C2432"/>
      <c r="D2432"/>
      <c r="E2432"/>
      <c r="F2432"/>
      <c r="G2432"/>
      <c r="H2432"/>
      <c r="I2432"/>
      <c r="J2432"/>
      <c r="K2432"/>
      <c r="L2432"/>
      <c r="M2432" s="16"/>
      <c r="N2432"/>
      <c r="O2432"/>
      <c r="P2432"/>
    </row>
    <row r="2433" spans="1:16" ht="15" x14ac:dyDescent="0.2">
      <c r="A2433"/>
      <c r="B2433"/>
      <c r="C2433"/>
      <c r="D2433"/>
      <c r="E2433"/>
      <c r="F2433"/>
      <c r="G2433"/>
      <c r="H2433"/>
      <c r="I2433"/>
      <c r="J2433"/>
      <c r="K2433"/>
      <c r="L2433"/>
      <c r="M2433" s="16"/>
      <c r="N2433"/>
      <c r="O2433"/>
      <c r="P2433"/>
    </row>
    <row r="2434" spans="1:16" ht="15" x14ac:dyDescent="0.2">
      <c r="A2434"/>
      <c r="B2434"/>
      <c r="C2434"/>
      <c r="D2434"/>
      <c r="E2434"/>
      <c r="F2434"/>
      <c r="G2434"/>
      <c r="H2434"/>
      <c r="I2434"/>
      <c r="J2434"/>
      <c r="K2434"/>
      <c r="L2434"/>
      <c r="M2434" s="16"/>
      <c r="N2434"/>
      <c r="O2434"/>
      <c r="P2434"/>
    </row>
    <row r="2435" spans="1:16" ht="15" x14ac:dyDescent="0.2">
      <c r="A2435"/>
      <c r="B2435"/>
      <c r="C2435"/>
      <c r="D2435"/>
      <c r="E2435"/>
      <c r="F2435"/>
      <c r="G2435"/>
      <c r="H2435"/>
      <c r="I2435"/>
      <c r="J2435"/>
      <c r="K2435"/>
      <c r="L2435"/>
      <c r="M2435" s="16"/>
      <c r="N2435"/>
      <c r="O2435" s="13"/>
      <c r="P2435"/>
    </row>
    <row r="2436" spans="1:16" ht="15" x14ac:dyDescent="0.2">
      <c r="A2436"/>
      <c r="B2436"/>
      <c r="C2436"/>
      <c r="D2436"/>
      <c r="E2436"/>
      <c r="F2436"/>
      <c r="G2436"/>
      <c r="H2436"/>
      <c r="I2436"/>
      <c r="J2436"/>
      <c r="K2436"/>
      <c r="L2436"/>
      <c r="M2436" s="16"/>
      <c r="N2436"/>
      <c r="O2436"/>
      <c r="P2436"/>
    </row>
    <row r="2437" spans="1:16" ht="15" x14ac:dyDescent="0.2">
      <c r="A2437"/>
      <c r="B2437"/>
      <c r="C2437"/>
      <c r="D2437"/>
      <c r="E2437"/>
      <c r="F2437"/>
      <c r="G2437"/>
      <c r="H2437"/>
      <c r="I2437"/>
      <c r="J2437"/>
      <c r="K2437"/>
      <c r="L2437"/>
      <c r="M2437" s="16"/>
      <c r="N2437"/>
      <c r="O2437"/>
      <c r="P2437"/>
    </row>
    <row r="2438" spans="1:16" ht="15" x14ac:dyDescent="0.2">
      <c r="A2438"/>
      <c r="B2438"/>
      <c r="C2438"/>
      <c r="D2438"/>
      <c r="E2438"/>
      <c r="F2438"/>
      <c r="G2438"/>
      <c r="H2438"/>
      <c r="I2438"/>
      <c r="J2438"/>
      <c r="K2438"/>
      <c r="L2438"/>
      <c r="M2438" s="16"/>
      <c r="N2438"/>
      <c r="O2438"/>
      <c r="P2438"/>
    </row>
    <row r="2439" spans="1:16" ht="15" x14ac:dyDescent="0.2">
      <c r="A2439"/>
      <c r="B2439"/>
      <c r="C2439"/>
      <c r="D2439"/>
      <c r="E2439"/>
      <c r="F2439"/>
      <c r="G2439"/>
      <c r="H2439"/>
      <c r="I2439"/>
      <c r="J2439"/>
      <c r="K2439"/>
      <c r="L2439"/>
      <c r="M2439" s="16"/>
      <c r="N2439"/>
      <c r="O2439"/>
      <c r="P2439"/>
    </row>
    <row r="2440" spans="1:16" ht="15" x14ac:dyDescent="0.2">
      <c r="A2440"/>
      <c r="B2440"/>
      <c r="C2440"/>
      <c r="D2440"/>
      <c r="E2440"/>
      <c r="F2440"/>
      <c r="G2440"/>
      <c r="H2440"/>
      <c r="I2440"/>
      <c r="J2440"/>
      <c r="K2440"/>
      <c r="L2440"/>
      <c r="M2440" s="16"/>
      <c r="N2440"/>
      <c r="O2440"/>
      <c r="P2440"/>
    </row>
    <row r="2441" spans="1:16" ht="15" x14ac:dyDescent="0.2">
      <c r="A2441"/>
      <c r="B2441"/>
      <c r="C2441"/>
      <c r="D2441"/>
      <c r="E2441"/>
      <c r="F2441"/>
      <c r="G2441"/>
      <c r="H2441"/>
      <c r="I2441"/>
      <c r="J2441"/>
      <c r="K2441"/>
      <c r="L2441"/>
      <c r="M2441" s="16"/>
      <c r="N2441"/>
      <c r="O2441"/>
      <c r="P2441"/>
    </row>
    <row r="2442" spans="1:16" ht="15" x14ac:dyDescent="0.2">
      <c r="A2442"/>
      <c r="B2442"/>
      <c r="C2442"/>
      <c r="D2442"/>
      <c r="E2442"/>
      <c r="F2442"/>
      <c r="G2442"/>
      <c r="H2442"/>
      <c r="I2442"/>
      <c r="J2442"/>
      <c r="K2442"/>
      <c r="L2442"/>
      <c r="M2442" s="16"/>
      <c r="N2442"/>
      <c r="O2442"/>
      <c r="P2442"/>
    </row>
    <row r="2443" spans="1:16" ht="15" x14ac:dyDescent="0.2">
      <c r="A2443"/>
      <c r="B2443"/>
      <c r="C2443"/>
      <c r="D2443"/>
      <c r="E2443"/>
      <c r="F2443"/>
      <c r="G2443"/>
      <c r="H2443"/>
      <c r="I2443"/>
      <c r="J2443"/>
      <c r="K2443"/>
      <c r="L2443"/>
      <c r="M2443" s="16"/>
      <c r="N2443"/>
      <c r="O2443"/>
      <c r="P2443"/>
    </row>
    <row r="2444" spans="1:16" ht="15" x14ac:dyDescent="0.2">
      <c r="A2444"/>
      <c r="B2444"/>
      <c r="C2444"/>
      <c r="D2444"/>
      <c r="E2444"/>
      <c r="F2444"/>
      <c r="G2444"/>
      <c r="H2444"/>
      <c r="I2444"/>
      <c r="J2444"/>
      <c r="K2444"/>
      <c r="L2444"/>
      <c r="M2444" s="16"/>
      <c r="N2444"/>
      <c r="O2444"/>
      <c r="P2444"/>
    </row>
    <row r="2445" spans="1:16" ht="15" x14ac:dyDescent="0.2">
      <c r="A2445"/>
      <c r="B2445"/>
      <c r="C2445"/>
      <c r="D2445"/>
      <c r="E2445"/>
      <c r="F2445"/>
      <c r="G2445"/>
      <c r="H2445"/>
      <c r="I2445"/>
      <c r="J2445"/>
      <c r="K2445"/>
      <c r="L2445"/>
      <c r="M2445" s="16"/>
      <c r="N2445"/>
      <c r="O2445"/>
      <c r="P2445"/>
    </row>
    <row r="2446" spans="1:16" ht="15" x14ac:dyDescent="0.2">
      <c r="A2446"/>
      <c r="B2446"/>
      <c r="C2446"/>
      <c r="D2446"/>
      <c r="E2446"/>
      <c r="F2446"/>
      <c r="G2446"/>
      <c r="H2446"/>
      <c r="I2446"/>
      <c r="J2446"/>
      <c r="K2446"/>
      <c r="L2446"/>
      <c r="M2446" s="16"/>
      <c r="N2446"/>
      <c r="O2446"/>
      <c r="P2446"/>
    </row>
    <row r="2447" spans="1:16" ht="15" x14ac:dyDescent="0.2">
      <c r="A2447"/>
      <c r="B2447"/>
      <c r="C2447"/>
      <c r="D2447"/>
      <c r="E2447"/>
      <c r="F2447"/>
      <c r="G2447"/>
      <c r="H2447"/>
      <c r="I2447"/>
      <c r="J2447"/>
      <c r="K2447"/>
      <c r="L2447"/>
      <c r="M2447" s="16"/>
      <c r="N2447"/>
      <c r="O2447"/>
      <c r="P2447"/>
    </row>
    <row r="2448" spans="1:16" ht="15" x14ac:dyDescent="0.2">
      <c r="A2448"/>
      <c r="B2448"/>
      <c r="C2448"/>
      <c r="D2448"/>
      <c r="E2448"/>
      <c r="F2448"/>
      <c r="G2448"/>
      <c r="H2448"/>
      <c r="I2448"/>
      <c r="J2448"/>
      <c r="K2448"/>
      <c r="L2448"/>
      <c r="M2448" s="16"/>
      <c r="N2448"/>
      <c r="O2448"/>
      <c r="P2448"/>
    </row>
    <row r="2449" spans="1:16" ht="15" x14ac:dyDescent="0.2">
      <c r="A2449"/>
      <c r="B2449"/>
      <c r="C2449"/>
      <c r="D2449"/>
      <c r="E2449"/>
      <c r="F2449"/>
      <c r="G2449"/>
      <c r="H2449"/>
      <c r="I2449"/>
      <c r="J2449"/>
      <c r="K2449"/>
      <c r="L2449"/>
      <c r="M2449" s="16"/>
      <c r="N2449"/>
      <c r="O2449"/>
      <c r="P2449"/>
    </row>
    <row r="2450" spans="1:16" ht="15" x14ac:dyDescent="0.2">
      <c r="A2450"/>
      <c r="B2450"/>
      <c r="C2450"/>
      <c r="D2450"/>
      <c r="E2450"/>
      <c r="F2450"/>
      <c r="G2450"/>
      <c r="H2450"/>
      <c r="I2450"/>
      <c r="J2450"/>
      <c r="K2450"/>
      <c r="L2450"/>
      <c r="M2450" s="16"/>
      <c r="N2450"/>
      <c r="O2450"/>
      <c r="P2450"/>
    </row>
    <row r="2451" spans="1:16" ht="15" x14ac:dyDescent="0.2">
      <c r="A2451"/>
      <c r="B2451"/>
      <c r="C2451"/>
      <c r="D2451"/>
      <c r="E2451"/>
      <c r="F2451"/>
      <c r="G2451"/>
      <c r="H2451"/>
      <c r="I2451"/>
      <c r="J2451"/>
      <c r="K2451"/>
      <c r="L2451"/>
      <c r="M2451" s="16"/>
      <c r="N2451"/>
      <c r="O2451"/>
      <c r="P2451"/>
    </row>
    <row r="2452" spans="1:16" ht="15" x14ac:dyDescent="0.2">
      <c r="A2452"/>
      <c r="B2452"/>
      <c r="C2452"/>
      <c r="D2452"/>
      <c r="E2452"/>
      <c r="F2452"/>
      <c r="G2452"/>
      <c r="H2452"/>
      <c r="I2452"/>
      <c r="J2452"/>
      <c r="K2452"/>
      <c r="L2452"/>
      <c r="M2452" s="16"/>
      <c r="N2452"/>
      <c r="O2452"/>
      <c r="P2452"/>
    </row>
    <row r="2453" spans="1:16" ht="15" x14ac:dyDescent="0.2">
      <c r="A2453"/>
      <c r="B2453"/>
      <c r="C2453"/>
      <c r="D2453"/>
      <c r="E2453"/>
      <c r="F2453"/>
      <c r="G2453"/>
      <c r="H2453"/>
      <c r="I2453"/>
      <c r="J2453"/>
      <c r="K2453"/>
      <c r="L2453"/>
      <c r="M2453" s="16"/>
      <c r="N2453"/>
      <c r="O2453"/>
      <c r="P2453"/>
    </row>
    <row r="2454" spans="1:16" ht="15" x14ac:dyDescent="0.2">
      <c r="A2454"/>
      <c r="B2454"/>
      <c r="C2454"/>
      <c r="D2454"/>
      <c r="E2454"/>
      <c r="F2454"/>
      <c r="G2454"/>
      <c r="H2454"/>
      <c r="I2454"/>
      <c r="J2454"/>
      <c r="K2454"/>
      <c r="L2454"/>
      <c r="M2454" s="16"/>
      <c r="N2454"/>
      <c r="O2454"/>
      <c r="P2454"/>
    </row>
    <row r="2455" spans="1:16" ht="15" x14ac:dyDescent="0.2">
      <c r="A2455"/>
      <c r="B2455"/>
      <c r="C2455"/>
      <c r="D2455"/>
      <c r="E2455"/>
      <c r="F2455"/>
      <c r="G2455"/>
      <c r="H2455"/>
      <c r="I2455"/>
      <c r="J2455"/>
      <c r="K2455"/>
      <c r="L2455"/>
      <c r="M2455" s="16"/>
      <c r="N2455"/>
      <c r="O2455"/>
      <c r="P2455"/>
    </row>
    <row r="2456" spans="1:16" ht="15" x14ac:dyDescent="0.2">
      <c r="A2456"/>
      <c r="B2456"/>
      <c r="C2456"/>
      <c r="D2456"/>
      <c r="E2456"/>
      <c r="F2456"/>
      <c r="G2456"/>
      <c r="H2456"/>
      <c r="I2456"/>
      <c r="J2456"/>
      <c r="K2456"/>
      <c r="L2456"/>
      <c r="M2456" s="16"/>
      <c r="N2456"/>
      <c r="O2456"/>
      <c r="P2456"/>
    </row>
    <row r="2457" spans="1:16" ht="15" x14ac:dyDescent="0.2">
      <c r="A2457"/>
      <c r="B2457"/>
      <c r="C2457"/>
      <c r="D2457"/>
      <c r="E2457"/>
      <c r="F2457"/>
      <c r="G2457"/>
      <c r="H2457"/>
      <c r="I2457"/>
      <c r="J2457"/>
      <c r="K2457"/>
      <c r="L2457"/>
      <c r="M2457" s="16"/>
      <c r="N2457"/>
      <c r="O2457"/>
      <c r="P2457"/>
    </row>
    <row r="2458" spans="1:16" ht="15" x14ac:dyDescent="0.2">
      <c r="A2458"/>
      <c r="B2458"/>
      <c r="C2458"/>
      <c r="D2458"/>
      <c r="E2458"/>
      <c r="F2458"/>
      <c r="G2458"/>
      <c r="H2458"/>
      <c r="I2458"/>
      <c r="J2458"/>
      <c r="K2458"/>
      <c r="L2458"/>
      <c r="M2458" s="16"/>
      <c r="N2458"/>
      <c r="O2458"/>
      <c r="P2458"/>
    </row>
    <row r="2459" spans="1:16" ht="15" x14ac:dyDescent="0.2">
      <c r="A2459"/>
      <c r="B2459"/>
      <c r="C2459"/>
      <c r="D2459"/>
      <c r="E2459"/>
      <c r="F2459"/>
      <c r="G2459"/>
      <c r="H2459"/>
      <c r="I2459"/>
      <c r="J2459"/>
      <c r="K2459"/>
      <c r="L2459"/>
      <c r="M2459" s="16"/>
      <c r="N2459"/>
      <c r="O2459"/>
      <c r="P2459"/>
    </row>
    <row r="2460" spans="1:16" ht="15" x14ac:dyDescent="0.2">
      <c r="A2460"/>
      <c r="B2460"/>
      <c r="C2460"/>
      <c r="D2460"/>
      <c r="E2460"/>
      <c r="F2460"/>
      <c r="G2460"/>
      <c r="H2460"/>
      <c r="I2460"/>
      <c r="J2460"/>
      <c r="K2460"/>
      <c r="L2460"/>
      <c r="M2460" s="16"/>
      <c r="N2460"/>
      <c r="O2460"/>
      <c r="P2460"/>
    </row>
    <row r="2461" spans="1:16" ht="15" x14ac:dyDescent="0.2">
      <c r="A2461"/>
      <c r="B2461"/>
      <c r="C2461"/>
      <c r="D2461"/>
      <c r="E2461"/>
      <c r="F2461"/>
      <c r="G2461"/>
      <c r="H2461"/>
      <c r="I2461"/>
      <c r="J2461"/>
      <c r="K2461"/>
      <c r="L2461"/>
      <c r="M2461" s="16"/>
      <c r="N2461"/>
      <c r="O2461"/>
      <c r="P2461"/>
    </row>
    <row r="2462" spans="1:16" ht="15" x14ac:dyDescent="0.2">
      <c r="A2462"/>
      <c r="B2462"/>
      <c r="C2462"/>
      <c r="D2462"/>
      <c r="E2462"/>
      <c r="F2462"/>
      <c r="G2462"/>
      <c r="H2462"/>
      <c r="I2462"/>
      <c r="J2462"/>
      <c r="K2462"/>
      <c r="L2462"/>
      <c r="M2462" s="16"/>
      <c r="N2462"/>
      <c r="O2462"/>
      <c r="P2462"/>
    </row>
    <row r="2463" spans="1:16" ht="15" x14ac:dyDescent="0.2">
      <c r="A2463"/>
      <c r="B2463"/>
      <c r="C2463"/>
      <c r="D2463"/>
      <c r="E2463"/>
      <c r="F2463"/>
      <c r="G2463"/>
      <c r="H2463"/>
      <c r="I2463"/>
      <c r="J2463"/>
      <c r="K2463"/>
      <c r="L2463"/>
      <c r="M2463" s="16"/>
      <c r="N2463"/>
      <c r="O2463"/>
      <c r="P2463"/>
    </row>
    <row r="2464" spans="1:16" ht="15" x14ac:dyDescent="0.2">
      <c r="A2464"/>
      <c r="B2464"/>
      <c r="C2464"/>
      <c r="D2464"/>
      <c r="E2464"/>
      <c r="F2464"/>
      <c r="G2464"/>
      <c r="H2464"/>
      <c r="I2464"/>
      <c r="J2464"/>
      <c r="K2464"/>
      <c r="L2464"/>
      <c r="M2464" s="16"/>
      <c r="N2464"/>
      <c r="O2464"/>
      <c r="P2464"/>
    </row>
    <row r="2465" spans="1:16" ht="15" x14ac:dyDescent="0.2">
      <c r="A2465"/>
      <c r="B2465"/>
      <c r="C2465"/>
      <c r="D2465"/>
      <c r="E2465"/>
      <c r="F2465"/>
      <c r="G2465"/>
      <c r="H2465"/>
      <c r="I2465"/>
      <c r="J2465"/>
      <c r="K2465"/>
      <c r="L2465"/>
      <c r="M2465" s="16"/>
      <c r="N2465"/>
      <c r="O2465"/>
      <c r="P2465"/>
    </row>
    <row r="2466" spans="1:16" ht="15" x14ac:dyDescent="0.2">
      <c r="A2466"/>
      <c r="B2466"/>
      <c r="C2466"/>
      <c r="D2466"/>
      <c r="E2466"/>
      <c r="F2466"/>
      <c r="G2466"/>
      <c r="H2466"/>
      <c r="I2466"/>
      <c r="J2466"/>
      <c r="K2466"/>
      <c r="L2466"/>
      <c r="M2466" s="16"/>
      <c r="N2466"/>
      <c r="O2466"/>
      <c r="P2466"/>
    </row>
    <row r="2467" spans="1:16" ht="15" x14ac:dyDescent="0.2">
      <c r="A2467"/>
      <c r="B2467"/>
      <c r="C2467"/>
      <c r="D2467"/>
      <c r="E2467"/>
      <c r="F2467"/>
      <c r="G2467"/>
      <c r="H2467"/>
      <c r="I2467"/>
      <c r="J2467"/>
      <c r="K2467"/>
      <c r="L2467"/>
      <c r="M2467" s="16"/>
      <c r="N2467"/>
      <c r="O2467"/>
      <c r="P2467"/>
    </row>
    <row r="2468" spans="1:16" ht="15" x14ac:dyDescent="0.2">
      <c r="A2468"/>
      <c r="B2468"/>
      <c r="C2468"/>
      <c r="D2468"/>
      <c r="E2468"/>
      <c r="F2468"/>
      <c r="G2468"/>
      <c r="H2468"/>
      <c r="I2468"/>
      <c r="J2468"/>
      <c r="K2468"/>
      <c r="L2468"/>
      <c r="M2468" s="16"/>
      <c r="N2468"/>
      <c r="O2468"/>
      <c r="P2468"/>
    </row>
    <row r="2469" spans="1:16" ht="15" x14ac:dyDescent="0.2">
      <c r="A2469"/>
      <c r="B2469"/>
      <c r="C2469"/>
      <c r="D2469"/>
      <c r="E2469"/>
      <c r="F2469"/>
      <c r="G2469"/>
      <c r="H2469"/>
      <c r="I2469"/>
      <c r="J2469"/>
      <c r="K2469"/>
      <c r="L2469"/>
      <c r="M2469" s="16"/>
      <c r="N2469"/>
      <c r="O2469"/>
      <c r="P2469"/>
    </row>
    <row r="2470" spans="1:16" ht="15" x14ac:dyDescent="0.2">
      <c r="A2470"/>
      <c r="B2470"/>
      <c r="C2470"/>
      <c r="D2470"/>
      <c r="E2470"/>
      <c r="F2470"/>
      <c r="G2470"/>
      <c r="H2470"/>
      <c r="I2470"/>
      <c r="J2470"/>
      <c r="K2470"/>
      <c r="L2470"/>
      <c r="M2470" s="16"/>
      <c r="N2470"/>
      <c r="O2470"/>
      <c r="P2470"/>
    </row>
    <row r="2471" spans="1:16" ht="15" x14ac:dyDescent="0.2">
      <c r="A2471"/>
      <c r="B2471"/>
      <c r="C2471"/>
      <c r="D2471"/>
      <c r="E2471"/>
      <c r="F2471"/>
      <c r="G2471"/>
      <c r="H2471"/>
      <c r="I2471"/>
      <c r="J2471"/>
      <c r="K2471"/>
      <c r="L2471"/>
      <c r="M2471" s="16"/>
      <c r="N2471"/>
      <c r="O2471"/>
      <c r="P2471"/>
    </row>
    <row r="2472" spans="1:16" ht="15" x14ac:dyDescent="0.2">
      <c r="A2472"/>
      <c r="B2472"/>
      <c r="C2472"/>
      <c r="D2472"/>
      <c r="E2472"/>
      <c r="F2472"/>
      <c r="G2472"/>
      <c r="H2472"/>
      <c r="I2472"/>
      <c r="J2472"/>
      <c r="K2472"/>
      <c r="L2472"/>
      <c r="M2472" s="16"/>
      <c r="N2472"/>
      <c r="O2472"/>
      <c r="P2472"/>
    </row>
    <row r="2473" spans="1:16" ht="15" x14ac:dyDescent="0.2">
      <c r="A2473"/>
      <c r="B2473"/>
      <c r="C2473"/>
      <c r="D2473"/>
      <c r="E2473"/>
      <c r="F2473"/>
      <c r="G2473"/>
      <c r="H2473"/>
      <c r="I2473"/>
      <c r="J2473"/>
      <c r="K2473"/>
      <c r="L2473"/>
      <c r="M2473" s="16"/>
      <c r="N2473"/>
      <c r="O2473"/>
      <c r="P2473"/>
    </row>
    <row r="2474" spans="1:16" ht="15" x14ac:dyDescent="0.2">
      <c r="A2474"/>
      <c r="B2474"/>
      <c r="C2474"/>
      <c r="D2474"/>
      <c r="E2474"/>
      <c r="F2474"/>
      <c r="G2474"/>
      <c r="H2474"/>
      <c r="I2474"/>
      <c r="J2474"/>
      <c r="K2474"/>
      <c r="L2474"/>
      <c r="M2474" s="16"/>
      <c r="N2474"/>
      <c r="O2474"/>
      <c r="P2474"/>
    </row>
    <row r="2475" spans="1:16" ht="15" x14ac:dyDescent="0.2">
      <c r="A2475"/>
      <c r="B2475"/>
      <c r="C2475"/>
      <c r="D2475"/>
      <c r="E2475"/>
      <c r="F2475"/>
      <c r="G2475"/>
      <c r="H2475"/>
      <c r="I2475"/>
      <c r="J2475"/>
      <c r="K2475"/>
      <c r="L2475"/>
      <c r="M2475" s="16"/>
      <c r="N2475"/>
      <c r="O2475"/>
      <c r="P2475"/>
    </row>
    <row r="2476" spans="1:16" ht="15" x14ac:dyDescent="0.2">
      <c r="A2476"/>
      <c r="B2476"/>
      <c r="C2476"/>
      <c r="D2476"/>
      <c r="E2476"/>
      <c r="F2476"/>
      <c r="G2476"/>
      <c r="H2476"/>
      <c r="I2476"/>
      <c r="J2476"/>
      <c r="K2476"/>
      <c r="L2476"/>
      <c r="M2476" s="16"/>
      <c r="N2476"/>
      <c r="O2476"/>
      <c r="P2476"/>
    </row>
    <row r="2477" spans="1:16" ht="15" x14ac:dyDescent="0.2">
      <c r="A2477"/>
      <c r="B2477"/>
      <c r="C2477"/>
      <c r="D2477"/>
      <c r="E2477"/>
      <c r="F2477"/>
      <c r="G2477"/>
      <c r="H2477"/>
      <c r="I2477"/>
      <c r="J2477"/>
      <c r="K2477"/>
      <c r="L2477"/>
      <c r="M2477" s="16"/>
      <c r="N2477"/>
      <c r="O2477"/>
      <c r="P2477"/>
    </row>
    <row r="2478" spans="1:16" ht="15" x14ac:dyDescent="0.2">
      <c r="A2478"/>
      <c r="B2478"/>
      <c r="C2478"/>
      <c r="D2478"/>
      <c r="E2478"/>
      <c r="F2478"/>
      <c r="G2478"/>
      <c r="H2478"/>
      <c r="I2478"/>
      <c r="J2478"/>
      <c r="K2478"/>
      <c r="L2478"/>
      <c r="M2478" s="16"/>
      <c r="N2478"/>
      <c r="O2478"/>
      <c r="P2478"/>
    </row>
    <row r="2479" spans="1:16" ht="15" x14ac:dyDescent="0.2">
      <c r="A2479"/>
      <c r="B2479"/>
      <c r="C2479"/>
      <c r="D2479"/>
      <c r="E2479"/>
      <c r="F2479"/>
      <c r="G2479"/>
      <c r="H2479"/>
      <c r="I2479"/>
      <c r="J2479"/>
      <c r="K2479"/>
      <c r="L2479"/>
      <c r="M2479" s="16"/>
      <c r="N2479"/>
      <c r="O2479"/>
      <c r="P2479"/>
    </row>
    <row r="2480" spans="1:16" ht="15" x14ac:dyDescent="0.2">
      <c r="A2480"/>
      <c r="B2480"/>
      <c r="C2480"/>
      <c r="D2480"/>
      <c r="E2480"/>
      <c r="F2480"/>
      <c r="G2480"/>
      <c r="H2480"/>
      <c r="I2480"/>
      <c r="J2480"/>
      <c r="K2480"/>
      <c r="L2480"/>
      <c r="M2480" s="16"/>
      <c r="N2480"/>
      <c r="O2480"/>
      <c r="P2480"/>
    </row>
    <row r="2481" spans="1:16" ht="15" x14ac:dyDescent="0.2">
      <c r="A2481"/>
      <c r="B2481"/>
      <c r="C2481"/>
      <c r="D2481"/>
      <c r="E2481"/>
      <c r="F2481"/>
      <c r="G2481"/>
      <c r="H2481"/>
      <c r="I2481"/>
      <c r="J2481"/>
      <c r="K2481"/>
      <c r="L2481"/>
      <c r="M2481" s="16"/>
      <c r="N2481"/>
      <c r="O2481"/>
      <c r="P2481"/>
    </row>
    <row r="2482" spans="1:16" ht="15" x14ac:dyDescent="0.2">
      <c r="A2482"/>
      <c r="B2482"/>
      <c r="C2482"/>
      <c r="D2482"/>
      <c r="E2482"/>
      <c r="F2482"/>
      <c r="G2482"/>
      <c r="H2482"/>
      <c r="I2482"/>
      <c r="J2482"/>
      <c r="K2482"/>
      <c r="L2482"/>
      <c r="M2482" s="16"/>
      <c r="N2482"/>
      <c r="O2482"/>
      <c r="P2482"/>
    </row>
    <row r="2483" spans="1:16" ht="15" x14ac:dyDescent="0.2">
      <c r="A2483"/>
      <c r="B2483"/>
      <c r="C2483"/>
      <c r="D2483"/>
      <c r="E2483"/>
      <c r="F2483"/>
      <c r="G2483"/>
      <c r="H2483"/>
      <c r="I2483"/>
      <c r="J2483"/>
      <c r="K2483"/>
      <c r="L2483"/>
      <c r="M2483" s="16"/>
      <c r="N2483"/>
      <c r="O2483"/>
      <c r="P2483"/>
    </row>
    <row r="2484" spans="1:16" ht="15" x14ac:dyDescent="0.2">
      <c r="A2484"/>
      <c r="B2484"/>
      <c r="C2484"/>
      <c r="D2484"/>
      <c r="E2484"/>
      <c r="F2484"/>
      <c r="G2484"/>
      <c r="H2484"/>
      <c r="I2484"/>
      <c r="J2484"/>
      <c r="K2484"/>
      <c r="L2484"/>
      <c r="M2484" s="16"/>
      <c r="N2484"/>
      <c r="O2484"/>
      <c r="P2484"/>
    </row>
    <row r="2485" spans="1:16" ht="15" x14ac:dyDescent="0.2">
      <c r="A2485"/>
      <c r="B2485"/>
      <c r="C2485"/>
      <c r="D2485"/>
      <c r="E2485"/>
      <c r="F2485"/>
      <c r="G2485"/>
      <c r="H2485"/>
      <c r="I2485"/>
      <c r="J2485"/>
      <c r="K2485"/>
      <c r="L2485"/>
      <c r="M2485" s="16"/>
      <c r="N2485"/>
      <c r="O2485"/>
      <c r="P2485"/>
    </row>
    <row r="2486" spans="1:16" ht="15" x14ac:dyDescent="0.2">
      <c r="A2486"/>
      <c r="B2486"/>
      <c r="C2486"/>
      <c r="D2486"/>
      <c r="E2486"/>
      <c r="F2486"/>
      <c r="G2486"/>
      <c r="H2486"/>
      <c r="I2486"/>
      <c r="J2486"/>
      <c r="K2486"/>
      <c r="L2486"/>
      <c r="M2486" s="16"/>
      <c r="N2486"/>
      <c r="O2486"/>
      <c r="P2486"/>
    </row>
    <row r="2487" spans="1:16" ht="15" x14ac:dyDescent="0.2">
      <c r="A2487"/>
      <c r="B2487"/>
      <c r="C2487"/>
      <c r="D2487"/>
      <c r="E2487"/>
      <c r="F2487"/>
      <c r="G2487"/>
      <c r="H2487"/>
      <c r="I2487"/>
      <c r="J2487"/>
      <c r="K2487"/>
      <c r="L2487"/>
      <c r="M2487" s="16"/>
      <c r="N2487"/>
      <c r="O2487" s="13"/>
      <c r="P2487"/>
    </row>
    <row r="2488" spans="1:16" ht="15" x14ac:dyDescent="0.2">
      <c r="A2488"/>
      <c r="B2488"/>
      <c r="C2488"/>
      <c r="D2488"/>
      <c r="E2488"/>
      <c r="F2488"/>
      <c r="G2488"/>
      <c r="H2488"/>
      <c r="I2488"/>
      <c r="J2488"/>
      <c r="K2488"/>
      <c r="L2488"/>
      <c r="M2488" s="16"/>
      <c r="N2488"/>
      <c r="O2488"/>
      <c r="P2488"/>
    </row>
    <row r="2489" spans="1:16" ht="15" x14ac:dyDescent="0.2">
      <c r="A2489"/>
      <c r="B2489"/>
      <c r="C2489"/>
      <c r="D2489"/>
      <c r="E2489"/>
      <c r="F2489"/>
      <c r="G2489"/>
      <c r="H2489"/>
      <c r="I2489"/>
      <c r="J2489"/>
      <c r="K2489"/>
      <c r="L2489"/>
      <c r="M2489" s="16"/>
      <c r="N2489"/>
      <c r="O2489"/>
      <c r="P2489"/>
    </row>
    <row r="2490" spans="1:16" ht="15" x14ac:dyDescent="0.2">
      <c r="A2490"/>
      <c r="B2490"/>
      <c r="C2490"/>
      <c r="D2490"/>
      <c r="E2490"/>
      <c r="F2490"/>
      <c r="G2490"/>
      <c r="H2490"/>
      <c r="I2490"/>
      <c r="J2490"/>
      <c r="K2490"/>
      <c r="L2490"/>
      <c r="M2490" s="16"/>
      <c r="N2490"/>
      <c r="O2490"/>
      <c r="P2490"/>
    </row>
    <row r="2491" spans="1:16" ht="15" x14ac:dyDescent="0.2">
      <c r="A2491"/>
      <c r="B2491"/>
      <c r="C2491"/>
      <c r="D2491"/>
      <c r="E2491"/>
      <c r="F2491"/>
      <c r="G2491"/>
      <c r="H2491"/>
      <c r="I2491"/>
      <c r="J2491"/>
      <c r="K2491"/>
      <c r="L2491"/>
      <c r="M2491" s="16"/>
      <c r="N2491"/>
      <c r="O2491"/>
      <c r="P2491"/>
    </row>
    <row r="2492" spans="1:16" ht="15" x14ac:dyDescent="0.2">
      <c r="A2492"/>
      <c r="B2492"/>
      <c r="C2492"/>
      <c r="D2492"/>
      <c r="E2492"/>
      <c r="F2492"/>
      <c r="G2492"/>
      <c r="H2492"/>
      <c r="I2492"/>
      <c r="J2492"/>
      <c r="K2492"/>
      <c r="L2492"/>
      <c r="M2492" s="16"/>
      <c r="N2492"/>
      <c r="O2492"/>
      <c r="P2492"/>
    </row>
    <row r="2493" spans="1:16" ht="15" x14ac:dyDescent="0.2">
      <c r="A2493"/>
      <c r="B2493"/>
      <c r="C2493"/>
      <c r="D2493"/>
      <c r="E2493"/>
      <c r="F2493"/>
      <c r="G2493"/>
      <c r="H2493"/>
      <c r="I2493"/>
      <c r="J2493"/>
      <c r="K2493"/>
      <c r="L2493"/>
      <c r="M2493" s="16"/>
      <c r="N2493"/>
      <c r="O2493"/>
      <c r="P2493"/>
    </row>
    <row r="2494" spans="1:16" ht="15" x14ac:dyDescent="0.2">
      <c r="A2494"/>
      <c r="B2494"/>
      <c r="C2494"/>
      <c r="D2494"/>
      <c r="E2494"/>
      <c r="F2494"/>
      <c r="G2494"/>
      <c r="H2494"/>
      <c r="I2494"/>
      <c r="J2494"/>
      <c r="K2494"/>
      <c r="L2494"/>
      <c r="M2494" s="16"/>
      <c r="N2494"/>
      <c r="O2494"/>
      <c r="P2494"/>
    </row>
    <row r="2495" spans="1:16" ht="15" x14ac:dyDescent="0.2">
      <c r="A2495"/>
      <c r="B2495"/>
      <c r="C2495"/>
      <c r="D2495"/>
      <c r="E2495"/>
      <c r="F2495"/>
      <c r="G2495"/>
      <c r="H2495"/>
      <c r="I2495"/>
      <c r="J2495"/>
      <c r="K2495"/>
      <c r="L2495"/>
      <c r="M2495" s="16"/>
      <c r="N2495"/>
      <c r="O2495"/>
      <c r="P2495"/>
    </row>
    <row r="2496" spans="1:16" ht="15" x14ac:dyDescent="0.2">
      <c r="A2496"/>
      <c r="B2496"/>
      <c r="C2496"/>
      <c r="D2496"/>
      <c r="E2496"/>
      <c r="F2496"/>
      <c r="G2496"/>
      <c r="H2496"/>
      <c r="I2496"/>
      <c r="J2496"/>
      <c r="K2496"/>
      <c r="L2496"/>
      <c r="M2496" s="16"/>
      <c r="N2496"/>
      <c r="O2496"/>
      <c r="P2496"/>
    </row>
    <row r="2497" spans="1:16" ht="15" x14ac:dyDescent="0.2">
      <c r="A2497"/>
      <c r="B2497"/>
      <c r="C2497"/>
      <c r="D2497"/>
      <c r="E2497"/>
      <c r="F2497"/>
      <c r="G2497"/>
      <c r="H2497"/>
      <c r="I2497"/>
      <c r="J2497"/>
      <c r="K2497"/>
      <c r="L2497"/>
      <c r="M2497" s="16"/>
      <c r="N2497"/>
      <c r="O2497"/>
      <c r="P2497"/>
    </row>
    <row r="2498" spans="1:16" ht="15" x14ac:dyDescent="0.2">
      <c r="A2498"/>
      <c r="B2498"/>
      <c r="C2498"/>
      <c r="D2498"/>
      <c r="E2498"/>
      <c r="F2498"/>
      <c r="G2498"/>
      <c r="H2498"/>
      <c r="I2498"/>
      <c r="J2498"/>
      <c r="K2498"/>
      <c r="L2498"/>
      <c r="M2498" s="16"/>
      <c r="N2498"/>
      <c r="O2498"/>
      <c r="P2498"/>
    </row>
    <row r="2499" spans="1:16" ht="15" x14ac:dyDescent="0.2">
      <c r="A2499"/>
      <c r="B2499"/>
      <c r="C2499"/>
      <c r="D2499"/>
      <c r="E2499"/>
      <c r="F2499"/>
      <c r="G2499"/>
      <c r="H2499"/>
      <c r="I2499"/>
      <c r="J2499"/>
      <c r="K2499"/>
      <c r="L2499"/>
      <c r="M2499" s="16"/>
      <c r="N2499"/>
      <c r="O2499" s="13"/>
      <c r="P2499"/>
    </row>
    <row r="2500" spans="1:16" ht="15" x14ac:dyDescent="0.2">
      <c r="A2500"/>
      <c r="B2500"/>
      <c r="C2500"/>
      <c r="D2500"/>
      <c r="E2500"/>
      <c r="F2500"/>
      <c r="G2500"/>
      <c r="H2500"/>
      <c r="I2500"/>
      <c r="J2500"/>
      <c r="K2500"/>
      <c r="L2500"/>
      <c r="M2500" s="16"/>
      <c r="N2500"/>
      <c r="O2500"/>
      <c r="P2500"/>
    </row>
    <row r="2501" spans="1:16" ht="15" x14ac:dyDescent="0.2">
      <c r="A2501"/>
      <c r="B2501"/>
      <c r="C2501"/>
      <c r="D2501"/>
      <c r="E2501"/>
      <c r="F2501"/>
      <c r="G2501"/>
      <c r="H2501"/>
      <c r="I2501"/>
      <c r="J2501"/>
      <c r="K2501"/>
      <c r="L2501"/>
      <c r="M2501" s="16"/>
      <c r="N2501"/>
      <c r="O2501"/>
      <c r="P2501"/>
    </row>
    <row r="2502" spans="1:16" ht="15" x14ac:dyDescent="0.2">
      <c r="A2502"/>
      <c r="B2502"/>
      <c r="C2502"/>
      <c r="D2502"/>
      <c r="E2502"/>
      <c r="F2502"/>
      <c r="G2502"/>
      <c r="H2502"/>
      <c r="I2502"/>
      <c r="J2502"/>
      <c r="K2502"/>
      <c r="L2502"/>
      <c r="M2502" s="16"/>
      <c r="N2502"/>
      <c r="O2502"/>
      <c r="P2502"/>
    </row>
    <row r="2503" spans="1:16" ht="15" x14ac:dyDescent="0.2">
      <c r="A2503"/>
      <c r="B2503"/>
      <c r="C2503"/>
      <c r="D2503"/>
      <c r="E2503"/>
      <c r="F2503"/>
      <c r="G2503"/>
      <c r="H2503"/>
      <c r="I2503"/>
      <c r="J2503"/>
      <c r="K2503"/>
      <c r="L2503"/>
      <c r="M2503" s="16"/>
      <c r="N2503"/>
      <c r="O2503"/>
      <c r="P2503"/>
    </row>
    <row r="2504" spans="1:16" ht="15" x14ac:dyDescent="0.2">
      <c r="A2504"/>
      <c r="B2504"/>
      <c r="C2504"/>
      <c r="D2504"/>
      <c r="E2504"/>
      <c r="F2504"/>
      <c r="G2504"/>
      <c r="H2504"/>
      <c r="I2504"/>
      <c r="J2504"/>
      <c r="K2504"/>
      <c r="L2504"/>
      <c r="M2504" s="16"/>
      <c r="N2504"/>
      <c r="O2504"/>
      <c r="P2504"/>
    </row>
    <row r="2505" spans="1:16" ht="15" x14ac:dyDescent="0.2">
      <c r="A2505"/>
      <c r="B2505"/>
      <c r="C2505"/>
      <c r="D2505"/>
      <c r="E2505"/>
      <c r="F2505"/>
      <c r="G2505"/>
      <c r="H2505"/>
      <c r="I2505"/>
      <c r="J2505"/>
      <c r="K2505"/>
      <c r="L2505"/>
      <c r="M2505" s="16"/>
      <c r="N2505"/>
      <c r="O2505"/>
      <c r="P2505"/>
    </row>
    <row r="2506" spans="1:16" ht="15" x14ac:dyDescent="0.2">
      <c r="A2506"/>
      <c r="B2506"/>
      <c r="C2506"/>
      <c r="D2506"/>
      <c r="E2506"/>
      <c r="F2506"/>
      <c r="G2506"/>
      <c r="H2506"/>
      <c r="I2506"/>
      <c r="J2506"/>
      <c r="K2506"/>
      <c r="L2506"/>
      <c r="M2506" s="16"/>
      <c r="N2506"/>
      <c r="O2506"/>
      <c r="P2506"/>
    </row>
    <row r="2507" spans="1:16" ht="15" x14ac:dyDescent="0.2">
      <c r="A2507"/>
      <c r="B2507"/>
      <c r="C2507"/>
      <c r="D2507"/>
      <c r="E2507"/>
      <c r="F2507"/>
      <c r="G2507"/>
      <c r="H2507"/>
      <c r="I2507"/>
      <c r="J2507"/>
      <c r="K2507"/>
      <c r="L2507"/>
      <c r="M2507" s="16"/>
      <c r="N2507"/>
      <c r="O2507"/>
      <c r="P2507"/>
    </row>
    <row r="2508" spans="1:16" ht="15" x14ac:dyDescent="0.2">
      <c r="A2508"/>
      <c r="B2508"/>
      <c r="C2508"/>
      <c r="D2508"/>
      <c r="E2508"/>
      <c r="F2508"/>
      <c r="G2508"/>
      <c r="H2508"/>
      <c r="I2508"/>
      <c r="J2508"/>
      <c r="K2508"/>
      <c r="L2508"/>
      <c r="M2508" s="16"/>
      <c r="N2508"/>
      <c r="O2508"/>
      <c r="P2508"/>
    </row>
    <row r="2509" spans="1:16" ht="15" x14ac:dyDescent="0.2">
      <c r="A2509"/>
      <c r="B2509"/>
      <c r="C2509"/>
      <c r="D2509"/>
      <c r="E2509"/>
      <c r="F2509"/>
      <c r="G2509"/>
      <c r="H2509"/>
      <c r="I2509"/>
      <c r="J2509"/>
      <c r="K2509"/>
      <c r="L2509"/>
      <c r="M2509" s="16"/>
      <c r="N2509"/>
      <c r="O2509"/>
      <c r="P2509"/>
    </row>
    <row r="2510" spans="1:16" ht="15" x14ac:dyDescent="0.2">
      <c r="A2510"/>
      <c r="B2510"/>
      <c r="C2510"/>
      <c r="D2510"/>
      <c r="E2510"/>
      <c r="F2510"/>
      <c r="G2510"/>
      <c r="H2510"/>
      <c r="I2510"/>
      <c r="J2510"/>
      <c r="K2510"/>
      <c r="L2510"/>
      <c r="M2510" s="16"/>
      <c r="N2510"/>
      <c r="O2510"/>
      <c r="P2510"/>
    </row>
    <row r="2511" spans="1:16" ht="15" x14ac:dyDescent="0.2">
      <c r="A2511"/>
      <c r="B2511"/>
      <c r="C2511"/>
      <c r="D2511"/>
      <c r="E2511"/>
      <c r="F2511"/>
      <c r="G2511"/>
      <c r="H2511"/>
      <c r="I2511"/>
      <c r="J2511"/>
      <c r="K2511"/>
      <c r="L2511"/>
      <c r="M2511" s="16"/>
      <c r="N2511"/>
      <c r="O2511"/>
      <c r="P2511"/>
    </row>
    <row r="2512" spans="1:16" ht="15" x14ac:dyDescent="0.2">
      <c r="A2512"/>
      <c r="B2512"/>
      <c r="C2512"/>
      <c r="D2512"/>
      <c r="E2512"/>
      <c r="F2512"/>
      <c r="G2512"/>
      <c r="H2512"/>
      <c r="I2512"/>
      <c r="J2512"/>
      <c r="K2512"/>
      <c r="L2512"/>
      <c r="M2512" s="16"/>
      <c r="N2512"/>
      <c r="O2512"/>
      <c r="P2512"/>
    </row>
    <row r="2513" spans="1:16" ht="15" x14ac:dyDescent="0.2">
      <c r="A2513"/>
      <c r="B2513"/>
      <c r="C2513"/>
      <c r="D2513"/>
      <c r="E2513"/>
      <c r="F2513"/>
      <c r="G2513"/>
      <c r="H2513"/>
      <c r="I2513"/>
      <c r="J2513"/>
      <c r="K2513"/>
      <c r="L2513"/>
      <c r="M2513" s="16"/>
      <c r="N2513"/>
      <c r="O2513"/>
      <c r="P2513"/>
    </row>
    <row r="2514" spans="1:16" ht="15" x14ac:dyDescent="0.2">
      <c r="A2514"/>
      <c r="B2514"/>
      <c r="C2514"/>
      <c r="D2514"/>
      <c r="E2514"/>
      <c r="F2514"/>
      <c r="G2514"/>
      <c r="H2514"/>
      <c r="I2514"/>
      <c r="J2514"/>
      <c r="K2514"/>
      <c r="L2514"/>
      <c r="M2514" s="16"/>
      <c r="N2514"/>
      <c r="O2514"/>
      <c r="P2514"/>
    </row>
    <row r="2515" spans="1:16" ht="15" x14ac:dyDescent="0.2">
      <c r="A2515"/>
      <c r="B2515"/>
      <c r="C2515"/>
      <c r="D2515"/>
      <c r="E2515"/>
      <c r="F2515"/>
      <c r="G2515"/>
      <c r="H2515"/>
      <c r="I2515"/>
      <c r="J2515"/>
      <c r="K2515"/>
      <c r="L2515"/>
      <c r="M2515" s="16"/>
      <c r="N2515"/>
      <c r="O2515"/>
      <c r="P2515"/>
    </row>
    <row r="2516" spans="1:16" ht="15" x14ac:dyDescent="0.2">
      <c r="A2516"/>
      <c r="B2516"/>
      <c r="C2516"/>
      <c r="D2516"/>
      <c r="E2516"/>
      <c r="F2516"/>
      <c r="G2516"/>
      <c r="H2516"/>
      <c r="I2516"/>
      <c r="J2516"/>
      <c r="K2516"/>
      <c r="L2516"/>
      <c r="M2516" s="16"/>
      <c r="N2516"/>
      <c r="O2516"/>
      <c r="P2516"/>
    </row>
    <row r="2517" spans="1:16" ht="15" x14ac:dyDescent="0.2">
      <c r="A2517"/>
      <c r="B2517"/>
      <c r="C2517"/>
      <c r="D2517"/>
      <c r="E2517"/>
      <c r="F2517"/>
      <c r="G2517"/>
      <c r="H2517"/>
      <c r="I2517"/>
      <c r="J2517"/>
      <c r="K2517"/>
      <c r="L2517"/>
      <c r="M2517" s="16"/>
      <c r="N2517"/>
      <c r="O2517"/>
      <c r="P2517"/>
    </row>
    <row r="2518" spans="1:16" ht="15" x14ac:dyDescent="0.2">
      <c r="A2518"/>
      <c r="B2518"/>
      <c r="C2518"/>
      <c r="D2518"/>
      <c r="E2518"/>
      <c r="F2518"/>
      <c r="G2518"/>
      <c r="H2518"/>
      <c r="I2518"/>
      <c r="J2518"/>
      <c r="K2518"/>
      <c r="L2518"/>
      <c r="M2518" s="16"/>
      <c r="N2518"/>
      <c r="O2518"/>
      <c r="P2518"/>
    </row>
    <row r="2519" spans="1:16" ht="15" x14ac:dyDescent="0.2">
      <c r="A2519"/>
      <c r="B2519"/>
      <c r="C2519"/>
      <c r="D2519"/>
      <c r="E2519"/>
      <c r="F2519"/>
      <c r="G2519"/>
      <c r="H2519"/>
      <c r="I2519"/>
      <c r="J2519"/>
      <c r="K2519"/>
      <c r="L2519"/>
      <c r="M2519" s="16"/>
      <c r="N2519"/>
      <c r="O2519"/>
      <c r="P2519"/>
    </row>
    <row r="2520" spans="1:16" ht="15" x14ac:dyDescent="0.2">
      <c r="A2520"/>
      <c r="B2520"/>
      <c r="C2520"/>
      <c r="D2520"/>
      <c r="E2520"/>
      <c r="F2520"/>
      <c r="G2520"/>
      <c r="H2520"/>
      <c r="I2520"/>
      <c r="J2520"/>
      <c r="K2520"/>
      <c r="L2520"/>
      <c r="M2520" s="16"/>
      <c r="N2520"/>
      <c r="O2520"/>
      <c r="P2520"/>
    </row>
    <row r="2521" spans="1:16" ht="15" x14ac:dyDescent="0.2">
      <c r="A2521"/>
      <c r="B2521"/>
      <c r="C2521"/>
      <c r="D2521"/>
      <c r="E2521"/>
      <c r="F2521"/>
      <c r="G2521"/>
      <c r="H2521"/>
      <c r="I2521"/>
      <c r="J2521"/>
      <c r="K2521"/>
      <c r="L2521"/>
      <c r="M2521" s="16"/>
      <c r="N2521"/>
      <c r="O2521"/>
      <c r="P2521"/>
    </row>
    <row r="2522" spans="1:16" ht="15" x14ac:dyDescent="0.2">
      <c r="A2522"/>
      <c r="B2522"/>
      <c r="C2522"/>
      <c r="D2522"/>
      <c r="E2522"/>
      <c r="F2522"/>
      <c r="G2522"/>
      <c r="H2522"/>
      <c r="I2522"/>
      <c r="J2522"/>
      <c r="K2522"/>
      <c r="L2522"/>
      <c r="M2522" s="16"/>
      <c r="N2522"/>
      <c r="O2522"/>
      <c r="P2522"/>
    </row>
    <row r="2523" spans="1:16" ht="15" x14ac:dyDescent="0.2">
      <c r="A2523"/>
      <c r="B2523"/>
      <c r="C2523"/>
      <c r="D2523"/>
      <c r="E2523"/>
      <c r="F2523"/>
      <c r="G2523"/>
      <c r="H2523"/>
      <c r="I2523"/>
      <c r="J2523"/>
      <c r="K2523"/>
      <c r="L2523"/>
      <c r="M2523" s="16"/>
      <c r="N2523"/>
      <c r="O2523"/>
      <c r="P2523"/>
    </row>
    <row r="2524" spans="1:16" ht="15" x14ac:dyDescent="0.2">
      <c r="A2524"/>
      <c r="B2524"/>
      <c r="C2524"/>
      <c r="D2524"/>
      <c r="E2524"/>
      <c r="F2524"/>
      <c r="G2524"/>
      <c r="H2524"/>
      <c r="I2524"/>
      <c r="J2524"/>
      <c r="K2524"/>
      <c r="L2524"/>
      <c r="M2524" s="16"/>
      <c r="N2524"/>
      <c r="O2524"/>
      <c r="P2524"/>
    </row>
    <row r="2525" spans="1:16" ht="15" x14ac:dyDescent="0.2">
      <c r="A2525"/>
      <c r="B2525"/>
      <c r="C2525"/>
      <c r="D2525"/>
      <c r="E2525"/>
      <c r="F2525"/>
      <c r="G2525"/>
      <c r="H2525"/>
      <c r="I2525"/>
      <c r="J2525"/>
      <c r="K2525"/>
      <c r="L2525"/>
      <c r="M2525" s="16"/>
      <c r="N2525"/>
      <c r="O2525"/>
      <c r="P2525"/>
    </row>
    <row r="2526" spans="1:16" ht="15" x14ac:dyDescent="0.2">
      <c r="A2526"/>
      <c r="B2526"/>
      <c r="C2526"/>
      <c r="D2526"/>
      <c r="E2526"/>
      <c r="F2526"/>
      <c r="G2526"/>
      <c r="H2526"/>
      <c r="I2526"/>
      <c r="J2526"/>
      <c r="K2526"/>
      <c r="L2526"/>
      <c r="M2526" s="16"/>
      <c r="N2526"/>
      <c r="O2526"/>
      <c r="P2526"/>
    </row>
    <row r="2527" spans="1:16" ht="15" x14ac:dyDescent="0.2">
      <c r="A2527"/>
      <c r="B2527"/>
      <c r="C2527"/>
      <c r="D2527"/>
      <c r="E2527"/>
      <c r="F2527"/>
      <c r="G2527"/>
      <c r="H2527"/>
      <c r="I2527"/>
      <c r="J2527"/>
      <c r="K2527"/>
      <c r="L2527"/>
      <c r="M2527" s="16"/>
      <c r="N2527"/>
      <c r="O2527"/>
      <c r="P2527"/>
    </row>
    <row r="2528" spans="1:16" ht="15" x14ac:dyDescent="0.2">
      <c r="A2528"/>
      <c r="B2528"/>
      <c r="C2528"/>
      <c r="D2528"/>
      <c r="E2528"/>
      <c r="F2528"/>
      <c r="G2528"/>
      <c r="H2528"/>
      <c r="I2528"/>
      <c r="J2528"/>
      <c r="K2528"/>
      <c r="L2528"/>
      <c r="M2528" s="16"/>
      <c r="N2528"/>
      <c r="O2528"/>
      <c r="P2528"/>
    </row>
    <row r="2529" spans="1:16" ht="15" x14ac:dyDescent="0.2">
      <c r="A2529"/>
      <c r="B2529"/>
      <c r="C2529"/>
      <c r="D2529"/>
      <c r="E2529"/>
      <c r="F2529"/>
      <c r="G2529"/>
      <c r="H2529"/>
      <c r="I2529"/>
      <c r="J2529"/>
      <c r="K2529"/>
      <c r="L2529"/>
      <c r="M2529" s="16"/>
      <c r="N2529"/>
      <c r="O2529"/>
      <c r="P2529"/>
    </row>
    <row r="2530" spans="1:16" ht="15" x14ac:dyDescent="0.2">
      <c r="A2530"/>
      <c r="B2530"/>
      <c r="C2530"/>
      <c r="D2530"/>
      <c r="E2530"/>
      <c r="F2530"/>
      <c r="G2530"/>
      <c r="H2530"/>
      <c r="I2530"/>
      <c r="J2530"/>
      <c r="K2530"/>
      <c r="L2530"/>
      <c r="M2530" s="16"/>
      <c r="N2530"/>
      <c r="O2530"/>
      <c r="P2530"/>
    </row>
    <row r="2531" spans="1:16" ht="15" x14ac:dyDescent="0.2">
      <c r="A2531"/>
      <c r="B2531"/>
      <c r="C2531"/>
      <c r="D2531"/>
      <c r="E2531"/>
      <c r="F2531"/>
      <c r="G2531"/>
      <c r="H2531"/>
      <c r="I2531"/>
      <c r="J2531"/>
      <c r="K2531"/>
      <c r="L2531"/>
      <c r="M2531" s="16"/>
      <c r="N2531"/>
      <c r="O2531"/>
      <c r="P2531"/>
    </row>
    <row r="2532" spans="1:16" ht="15" x14ac:dyDescent="0.2">
      <c r="A2532"/>
      <c r="B2532"/>
      <c r="C2532"/>
      <c r="D2532"/>
      <c r="E2532"/>
      <c r="F2532"/>
      <c r="G2532"/>
      <c r="H2532"/>
      <c r="I2532"/>
      <c r="J2532"/>
      <c r="K2532"/>
      <c r="L2532"/>
      <c r="M2532" s="16"/>
      <c r="N2532"/>
      <c r="O2532"/>
      <c r="P2532"/>
    </row>
    <row r="2533" spans="1:16" ht="15" x14ac:dyDescent="0.2">
      <c r="A2533"/>
      <c r="B2533"/>
      <c r="C2533"/>
      <c r="D2533"/>
      <c r="E2533"/>
      <c r="F2533"/>
      <c r="G2533"/>
      <c r="H2533"/>
      <c r="I2533"/>
      <c r="J2533"/>
      <c r="K2533"/>
      <c r="L2533"/>
      <c r="M2533" s="16"/>
      <c r="N2533"/>
      <c r="O2533"/>
      <c r="P2533"/>
    </row>
    <row r="2534" spans="1:16" ht="15" x14ac:dyDescent="0.2">
      <c r="A2534"/>
      <c r="B2534"/>
      <c r="C2534"/>
      <c r="D2534"/>
      <c r="E2534"/>
      <c r="F2534"/>
      <c r="G2534"/>
      <c r="H2534"/>
      <c r="I2534"/>
      <c r="J2534"/>
      <c r="K2534"/>
      <c r="L2534"/>
      <c r="M2534" s="16"/>
      <c r="N2534"/>
      <c r="O2534"/>
      <c r="P2534"/>
    </row>
    <row r="2535" spans="1:16" ht="15" x14ac:dyDescent="0.2">
      <c r="A2535"/>
      <c r="B2535"/>
      <c r="C2535"/>
      <c r="D2535"/>
      <c r="E2535"/>
      <c r="F2535"/>
      <c r="G2535"/>
      <c r="H2535"/>
      <c r="I2535"/>
      <c r="J2535"/>
      <c r="K2535"/>
      <c r="L2535"/>
      <c r="M2535" s="16"/>
      <c r="N2535"/>
      <c r="O2535"/>
      <c r="P2535"/>
    </row>
    <row r="2536" spans="1:16" ht="15" x14ac:dyDescent="0.2">
      <c r="A2536"/>
      <c r="B2536"/>
      <c r="C2536"/>
      <c r="D2536"/>
      <c r="E2536"/>
      <c r="F2536"/>
      <c r="G2536"/>
      <c r="H2536"/>
      <c r="I2536"/>
      <c r="J2536"/>
      <c r="K2536"/>
      <c r="L2536"/>
      <c r="M2536" s="16"/>
      <c r="N2536"/>
      <c r="O2536"/>
      <c r="P2536"/>
    </row>
    <row r="2537" spans="1:16" ht="15" x14ac:dyDescent="0.2">
      <c r="A2537"/>
      <c r="B2537"/>
      <c r="C2537"/>
      <c r="D2537"/>
      <c r="E2537"/>
      <c r="F2537"/>
      <c r="G2537"/>
      <c r="H2537"/>
      <c r="I2537"/>
      <c r="J2537"/>
      <c r="K2537"/>
      <c r="L2537"/>
      <c r="M2537" s="16"/>
      <c r="N2537"/>
      <c r="O2537"/>
      <c r="P2537"/>
    </row>
    <row r="2538" spans="1:16" ht="15" x14ac:dyDescent="0.2">
      <c r="A2538"/>
      <c r="B2538"/>
      <c r="C2538"/>
      <c r="D2538"/>
      <c r="E2538"/>
      <c r="F2538"/>
      <c r="G2538"/>
      <c r="H2538"/>
      <c r="I2538"/>
      <c r="J2538"/>
      <c r="K2538"/>
      <c r="L2538"/>
      <c r="M2538" s="16"/>
      <c r="N2538"/>
      <c r="O2538"/>
      <c r="P2538"/>
    </row>
    <row r="2539" spans="1:16" ht="15" x14ac:dyDescent="0.2">
      <c r="A2539"/>
      <c r="B2539"/>
      <c r="C2539"/>
      <c r="D2539"/>
      <c r="E2539"/>
      <c r="F2539"/>
      <c r="G2539"/>
      <c r="H2539"/>
      <c r="I2539"/>
      <c r="J2539"/>
      <c r="K2539"/>
      <c r="L2539"/>
      <c r="M2539" s="16"/>
      <c r="N2539"/>
      <c r="O2539"/>
      <c r="P2539"/>
    </row>
    <row r="2540" spans="1:16" ht="15" x14ac:dyDescent="0.2">
      <c r="A2540"/>
      <c r="B2540"/>
      <c r="C2540"/>
      <c r="D2540"/>
      <c r="E2540"/>
      <c r="F2540"/>
      <c r="G2540"/>
      <c r="H2540"/>
      <c r="I2540"/>
      <c r="J2540"/>
      <c r="K2540"/>
      <c r="L2540"/>
      <c r="M2540" s="16"/>
      <c r="N2540"/>
      <c r="O2540"/>
      <c r="P2540"/>
    </row>
    <row r="2541" spans="1:16" ht="15" x14ac:dyDescent="0.2">
      <c r="A2541"/>
      <c r="B2541"/>
      <c r="C2541"/>
      <c r="D2541"/>
      <c r="E2541"/>
      <c r="F2541"/>
      <c r="G2541"/>
      <c r="H2541"/>
      <c r="I2541"/>
      <c r="J2541"/>
      <c r="K2541"/>
      <c r="L2541"/>
      <c r="M2541" s="16"/>
      <c r="N2541"/>
      <c r="O2541"/>
      <c r="P2541"/>
    </row>
    <row r="2542" spans="1:16" ht="15" x14ac:dyDescent="0.2">
      <c r="A2542"/>
      <c r="B2542"/>
      <c r="C2542"/>
      <c r="D2542"/>
      <c r="E2542"/>
      <c r="F2542"/>
      <c r="G2542"/>
      <c r="H2542"/>
      <c r="I2542"/>
      <c r="J2542"/>
      <c r="K2542"/>
      <c r="L2542"/>
      <c r="M2542" s="16"/>
      <c r="N2542"/>
      <c r="O2542"/>
      <c r="P2542"/>
    </row>
    <row r="2543" spans="1:16" ht="15" x14ac:dyDescent="0.2">
      <c r="A2543"/>
      <c r="B2543"/>
      <c r="C2543"/>
      <c r="D2543"/>
      <c r="E2543"/>
      <c r="F2543"/>
      <c r="G2543"/>
      <c r="H2543"/>
      <c r="I2543"/>
      <c r="J2543"/>
      <c r="K2543"/>
      <c r="L2543"/>
      <c r="M2543" s="16"/>
      <c r="N2543"/>
      <c r="O2543"/>
      <c r="P2543"/>
    </row>
    <row r="2544" spans="1:16" ht="15" x14ac:dyDescent="0.2">
      <c r="A2544"/>
      <c r="B2544"/>
      <c r="C2544"/>
      <c r="D2544"/>
      <c r="E2544"/>
      <c r="F2544"/>
      <c r="G2544"/>
      <c r="H2544"/>
      <c r="I2544"/>
      <c r="J2544"/>
      <c r="K2544"/>
      <c r="L2544"/>
      <c r="M2544" s="16"/>
      <c r="N2544"/>
      <c r="O2544"/>
      <c r="P2544"/>
    </row>
    <row r="2545" spans="1:16" ht="15" x14ac:dyDescent="0.2">
      <c r="A2545"/>
      <c r="B2545"/>
      <c r="C2545"/>
      <c r="D2545"/>
      <c r="E2545"/>
      <c r="F2545"/>
      <c r="G2545"/>
      <c r="H2545"/>
      <c r="I2545"/>
      <c r="J2545"/>
      <c r="K2545"/>
      <c r="L2545"/>
      <c r="M2545" s="16"/>
      <c r="N2545"/>
      <c r="O2545"/>
      <c r="P2545"/>
    </row>
    <row r="2546" spans="1:16" ht="15" x14ac:dyDescent="0.2">
      <c r="A2546"/>
      <c r="B2546"/>
      <c r="C2546"/>
      <c r="D2546"/>
      <c r="E2546"/>
      <c r="F2546"/>
      <c r="G2546"/>
      <c r="H2546"/>
      <c r="I2546"/>
      <c r="J2546"/>
      <c r="K2546"/>
      <c r="L2546"/>
      <c r="M2546" s="16"/>
      <c r="N2546"/>
      <c r="O2546"/>
      <c r="P2546"/>
    </row>
    <row r="2547" spans="1:16" ht="15" x14ac:dyDescent="0.2">
      <c r="A2547"/>
      <c r="B2547"/>
      <c r="C2547"/>
      <c r="D2547"/>
      <c r="E2547"/>
      <c r="F2547"/>
      <c r="G2547"/>
      <c r="H2547"/>
      <c r="I2547"/>
      <c r="J2547"/>
      <c r="K2547"/>
      <c r="L2547"/>
      <c r="M2547" s="16"/>
      <c r="N2547"/>
      <c r="O2547"/>
      <c r="P2547"/>
    </row>
    <row r="2548" spans="1:16" ht="15" x14ac:dyDescent="0.2">
      <c r="A2548"/>
      <c r="B2548"/>
      <c r="C2548"/>
      <c r="D2548"/>
      <c r="E2548"/>
      <c r="F2548"/>
      <c r="G2548"/>
      <c r="H2548"/>
      <c r="I2548"/>
      <c r="J2548"/>
      <c r="K2548"/>
      <c r="L2548"/>
      <c r="M2548" s="16"/>
      <c r="N2548"/>
      <c r="O2548"/>
      <c r="P2548"/>
    </row>
    <row r="2549" spans="1:16" ht="15" x14ac:dyDescent="0.2">
      <c r="A2549"/>
      <c r="B2549"/>
      <c r="C2549"/>
      <c r="D2549"/>
      <c r="E2549"/>
      <c r="F2549"/>
      <c r="G2549"/>
      <c r="H2549"/>
      <c r="I2549"/>
      <c r="J2549"/>
      <c r="K2549"/>
      <c r="L2549"/>
      <c r="M2549" s="16"/>
      <c r="N2549"/>
      <c r="O2549"/>
      <c r="P2549"/>
    </row>
    <row r="2550" spans="1:16" ht="15" x14ac:dyDescent="0.2">
      <c r="A2550"/>
      <c r="B2550"/>
      <c r="C2550"/>
      <c r="D2550"/>
      <c r="E2550"/>
      <c r="F2550"/>
      <c r="G2550"/>
      <c r="H2550"/>
      <c r="I2550"/>
      <c r="J2550"/>
      <c r="K2550"/>
      <c r="L2550"/>
      <c r="M2550" s="16"/>
      <c r="N2550"/>
      <c r="O2550"/>
      <c r="P2550"/>
    </row>
    <row r="2551" spans="1:16" ht="15" x14ac:dyDescent="0.2">
      <c r="A2551"/>
      <c r="B2551"/>
      <c r="C2551"/>
      <c r="D2551"/>
      <c r="E2551"/>
      <c r="F2551"/>
      <c r="G2551"/>
      <c r="H2551"/>
      <c r="I2551"/>
      <c r="J2551"/>
      <c r="K2551"/>
      <c r="L2551"/>
      <c r="M2551" s="16"/>
      <c r="N2551"/>
      <c r="O2551"/>
      <c r="P2551"/>
    </row>
    <row r="2552" spans="1:16" ht="15" x14ac:dyDescent="0.2">
      <c r="A2552"/>
      <c r="B2552"/>
      <c r="C2552"/>
      <c r="D2552"/>
      <c r="E2552"/>
      <c r="F2552"/>
      <c r="G2552"/>
      <c r="H2552"/>
      <c r="I2552"/>
      <c r="J2552"/>
      <c r="K2552"/>
      <c r="L2552"/>
      <c r="M2552" s="16"/>
      <c r="N2552"/>
      <c r="O2552"/>
      <c r="P2552"/>
    </row>
    <row r="2553" spans="1:16" ht="15" x14ac:dyDescent="0.2">
      <c r="A2553"/>
      <c r="B2553"/>
      <c r="C2553"/>
      <c r="D2553"/>
      <c r="E2553"/>
      <c r="F2553"/>
      <c r="G2553"/>
      <c r="H2553"/>
      <c r="I2553"/>
      <c r="J2553"/>
      <c r="K2553"/>
      <c r="L2553"/>
      <c r="M2553" s="16"/>
      <c r="N2553"/>
      <c r="O2553"/>
      <c r="P2553"/>
    </row>
    <row r="2554" spans="1:16" ht="15" x14ac:dyDescent="0.2">
      <c r="A2554"/>
      <c r="B2554"/>
      <c r="C2554"/>
      <c r="D2554"/>
      <c r="E2554"/>
      <c r="F2554"/>
      <c r="G2554"/>
      <c r="H2554"/>
      <c r="I2554"/>
      <c r="J2554"/>
      <c r="K2554"/>
      <c r="L2554"/>
      <c r="M2554" s="16"/>
      <c r="N2554"/>
      <c r="O2554"/>
      <c r="P2554"/>
    </row>
    <row r="2555" spans="1:16" ht="15" x14ac:dyDescent="0.2">
      <c r="A2555"/>
      <c r="B2555"/>
      <c r="C2555"/>
      <c r="D2555"/>
      <c r="E2555"/>
      <c r="F2555"/>
      <c r="G2555"/>
      <c r="H2555"/>
      <c r="I2555"/>
      <c r="J2555"/>
      <c r="K2555"/>
      <c r="L2555"/>
      <c r="M2555" s="16"/>
      <c r="N2555"/>
      <c r="O2555"/>
      <c r="P2555"/>
    </row>
    <row r="2556" spans="1:16" ht="15" x14ac:dyDescent="0.2">
      <c r="A2556"/>
      <c r="B2556"/>
      <c r="C2556"/>
      <c r="D2556"/>
      <c r="E2556"/>
      <c r="F2556"/>
      <c r="G2556"/>
      <c r="H2556"/>
      <c r="I2556"/>
      <c r="J2556"/>
      <c r="K2556"/>
      <c r="L2556"/>
      <c r="M2556" s="16"/>
      <c r="N2556"/>
      <c r="O2556"/>
      <c r="P2556"/>
    </row>
    <row r="2557" spans="1:16" ht="15" x14ac:dyDescent="0.2">
      <c r="A2557"/>
      <c r="B2557"/>
      <c r="C2557"/>
      <c r="D2557"/>
      <c r="E2557"/>
      <c r="F2557"/>
      <c r="G2557"/>
      <c r="H2557"/>
      <c r="I2557"/>
      <c r="J2557"/>
      <c r="K2557"/>
      <c r="L2557"/>
      <c r="M2557" s="16"/>
      <c r="N2557"/>
      <c r="O2557"/>
      <c r="P2557"/>
    </row>
    <row r="2558" spans="1:16" ht="15" x14ac:dyDescent="0.2">
      <c r="A2558"/>
      <c r="B2558"/>
      <c r="C2558"/>
      <c r="D2558"/>
      <c r="E2558"/>
      <c r="F2558"/>
      <c r="G2558"/>
      <c r="H2558"/>
      <c r="I2558"/>
      <c r="J2558"/>
      <c r="K2558"/>
      <c r="L2558"/>
      <c r="M2558" s="16"/>
      <c r="N2558"/>
      <c r="O2558"/>
      <c r="P2558"/>
    </row>
    <row r="2559" spans="1:16" ht="15" x14ac:dyDescent="0.2">
      <c r="A2559"/>
      <c r="B2559"/>
      <c r="C2559"/>
      <c r="D2559"/>
      <c r="E2559"/>
      <c r="F2559"/>
      <c r="G2559"/>
      <c r="H2559"/>
      <c r="I2559"/>
      <c r="J2559"/>
      <c r="K2559"/>
      <c r="L2559"/>
      <c r="M2559" s="16"/>
      <c r="N2559"/>
      <c r="O2559"/>
      <c r="P2559"/>
    </row>
    <row r="2560" spans="1:16" ht="15" x14ac:dyDescent="0.2">
      <c r="A2560"/>
      <c r="B2560"/>
      <c r="C2560"/>
      <c r="D2560"/>
      <c r="E2560"/>
      <c r="F2560"/>
      <c r="G2560"/>
      <c r="H2560"/>
      <c r="I2560"/>
      <c r="J2560"/>
      <c r="K2560"/>
      <c r="L2560"/>
      <c r="M2560" s="16"/>
      <c r="N2560"/>
      <c r="O2560"/>
      <c r="P2560"/>
    </row>
    <row r="2561" spans="1:16" ht="15" x14ac:dyDescent="0.2">
      <c r="A2561"/>
      <c r="B2561"/>
      <c r="C2561"/>
      <c r="D2561"/>
      <c r="E2561"/>
      <c r="F2561"/>
      <c r="G2561"/>
      <c r="H2561"/>
      <c r="I2561"/>
      <c r="J2561"/>
      <c r="K2561"/>
      <c r="L2561"/>
      <c r="M2561" s="16"/>
      <c r="N2561"/>
      <c r="O2561"/>
      <c r="P2561"/>
    </row>
    <row r="2562" spans="1:16" ht="15" x14ac:dyDescent="0.2">
      <c r="A2562"/>
      <c r="B2562"/>
      <c r="C2562"/>
      <c r="D2562"/>
      <c r="E2562"/>
      <c r="F2562"/>
      <c r="G2562"/>
      <c r="H2562"/>
      <c r="I2562"/>
      <c r="J2562"/>
      <c r="K2562"/>
      <c r="L2562"/>
      <c r="M2562" s="16"/>
      <c r="N2562"/>
      <c r="O2562"/>
      <c r="P2562"/>
    </row>
    <row r="2563" spans="1:16" ht="15" x14ac:dyDescent="0.2">
      <c r="A2563"/>
      <c r="B2563"/>
      <c r="C2563"/>
      <c r="D2563"/>
      <c r="E2563"/>
      <c r="F2563"/>
      <c r="G2563"/>
      <c r="H2563"/>
      <c r="I2563"/>
      <c r="J2563"/>
      <c r="K2563"/>
      <c r="L2563"/>
      <c r="M2563" s="16"/>
      <c r="N2563"/>
      <c r="O2563"/>
      <c r="P2563"/>
    </row>
    <row r="2564" spans="1:16" ht="15" x14ac:dyDescent="0.2">
      <c r="A2564"/>
      <c r="B2564"/>
      <c r="C2564"/>
      <c r="D2564"/>
      <c r="E2564"/>
      <c r="F2564"/>
      <c r="G2564"/>
      <c r="H2564"/>
      <c r="I2564"/>
      <c r="J2564"/>
      <c r="K2564"/>
      <c r="L2564"/>
      <c r="M2564" s="16"/>
      <c r="N2564"/>
      <c r="O2564"/>
      <c r="P2564"/>
    </row>
    <row r="2565" spans="1:16" ht="15" x14ac:dyDescent="0.2">
      <c r="A2565"/>
      <c r="B2565"/>
      <c r="C2565"/>
      <c r="D2565"/>
      <c r="E2565"/>
      <c r="F2565"/>
      <c r="G2565"/>
      <c r="H2565"/>
      <c r="I2565"/>
      <c r="J2565"/>
      <c r="K2565"/>
      <c r="L2565"/>
      <c r="M2565" s="16"/>
      <c r="N2565"/>
      <c r="O2565"/>
      <c r="P2565"/>
    </row>
    <row r="2566" spans="1:16" ht="15" x14ac:dyDescent="0.2">
      <c r="A2566"/>
      <c r="B2566"/>
      <c r="C2566"/>
      <c r="D2566"/>
      <c r="E2566"/>
      <c r="F2566"/>
      <c r="G2566"/>
      <c r="H2566"/>
      <c r="I2566"/>
      <c r="J2566"/>
      <c r="K2566"/>
      <c r="L2566"/>
      <c r="M2566" s="16"/>
      <c r="N2566"/>
      <c r="O2566"/>
      <c r="P2566"/>
    </row>
    <row r="2567" spans="1:16" ht="15" x14ac:dyDescent="0.2">
      <c r="A2567"/>
      <c r="B2567"/>
      <c r="C2567"/>
      <c r="D2567"/>
      <c r="E2567"/>
      <c r="F2567"/>
      <c r="G2567"/>
      <c r="H2567"/>
      <c r="I2567"/>
      <c r="J2567"/>
      <c r="K2567"/>
      <c r="L2567"/>
      <c r="M2567" s="16"/>
      <c r="N2567"/>
      <c r="O2567"/>
      <c r="P2567"/>
    </row>
    <row r="2568" spans="1:16" ht="15" x14ac:dyDescent="0.2">
      <c r="A2568"/>
      <c r="B2568"/>
      <c r="C2568"/>
      <c r="D2568"/>
      <c r="E2568"/>
      <c r="F2568"/>
      <c r="G2568"/>
      <c r="H2568"/>
      <c r="I2568"/>
      <c r="J2568"/>
      <c r="K2568"/>
      <c r="L2568"/>
      <c r="M2568" s="16"/>
      <c r="N2568"/>
      <c r="O2568"/>
      <c r="P2568"/>
    </row>
    <row r="2569" spans="1:16" ht="15" x14ac:dyDescent="0.2">
      <c r="A2569"/>
      <c r="B2569"/>
      <c r="C2569"/>
      <c r="D2569"/>
      <c r="E2569"/>
      <c r="F2569"/>
      <c r="G2569"/>
      <c r="H2569"/>
      <c r="I2569"/>
      <c r="J2569"/>
      <c r="K2569"/>
      <c r="L2569"/>
      <c r="M2569" s="16"/>
      <c r="N2569"/>
      <c r="O2569"/>
      <c r="P2569"/>
    </row>
    <row r="2570" spans="1:16" ht="15" x14ac:dyDescent="0.2">
      <c r="A2570"/>
      <c r="B2570"/>
      <c r="C2570"/>
      <c r="D2570"/>
      <c r="E2570"/>
      <c r="F2570"/>
      <c r="G2570"/>
      <c r="H2570"/>
      <c r="I2570"/>
      <c r="J2570"/>
      <c r="K2570"/>
      <c r="L2570"/>
      <c r="M2570" s="16"/>
      <c r="N2570"/>
      <c r="O2570"/>
      <c r="P2570"/>
    </row>
    <row r="2571" spans="1:16" ht="15" x14ac:dyDescent="0.2">
      <c r="A2571"/>
      <c r="B2571"/>
      <c r="C2571"/>
      <c r="D2571"/>
      <c r="E2571"/>
      <c r="F2571"/>
      <c r="G2571"/>
      <c r="H2571"/>
      <c r="I2571"/>
      <c r="J2571"/>
      <c r="K2571"/>
      <c r="L2571"/>
      <c r="M2571" s="16"/>
      <c r="N2571"/>
      <c r="O2571"/>
      <c r="P2571"/>
    </row>
    <row r="2572" spans="1:16" ht="15" x14ac:dyDescent="0.2">
      <c r="A2572"/>
      <c r="B2572"/>
      <c r="C2572"/>
      <c r="D2572"/>
      <c r="E2572"/>
      <c r="F2572"/>
      <c r="G2572"/>
      <c r="H2572"/>
      <c r="I2572"/>
      <c r="J2572"/>
      <c r="K2572"/>
      <c r="L2572"/>
      <c r="M2572" s="16"/>
      <c r="N2572"/>
      <c r="O2572"/>
      <c r="P2572"/>
    </row>
    <row r="2573" spans="1:16" ht="15" x14ac:dyDescent="0.2">
      <c r="A2573"/>
      <c r="B2573"/>
      <c r="C2573"/>
      <c r="D2573"/>
      <c r="E2573"/>
      <c r="F2573"/>
      <c r="G2573"/>
      <c r="H2573"/>
      <c r="I2573"/>
      <c r="J2573"/>
      <c r="K2573"/>
      <c r="L2573"/>
      <c r="M2573" s="16"/>
      <c r="N2573"/>
      <c r="O2573"/>
      <c r="P2573"/>
    </row>
    <row r="2574" spans="1:16" ht="15" x14ac:dyDescent="0.2">
      <c r="A2574"/>
      <c r="B2574"/>
      <c r="C2574"/>
      <c r="D2574"/>
      <c r="E2574"/>
      <c r="F2574"/>
      <c r="G2574"/>
      <c r="H2574"/>
      <c r="I2574"/>
      <c r="J2574"/>
      <c r="K2574"/>
      <c r="L2574"/>
      <c r="M2574" s="16"/>
      <c r="N2574"/>
      <c r="O2574"/>
      <c r="P2574"/>
    </row>
    <row r="2575" spans="1:16" ht="15" x14ac:dyDescent="0.2">
      <c r="A2575"/>
      <c r="B2575"/>
      <c r="C2575"/>
      <c r="D2575"/>
      <c r="E2575"/>
      <c r="F2575"/>
      <c r="G2575"/>
      <c r="H2575"/>
      <c r="I2575"/>
      <c r="J2575"/>
      <c r="K2575"/>
      <c r="L2575"/>
      <c r="M2575" s="16"/>
      <c r="N2575"/>
      <c r="O2575"/>
      <c r="P2575"/>
    </row>
    <row r="2576" spans="1:16" ht="15" x14ac:dyDescent="0.2">
      <c r="A2576"/>
      <c r="B2576"/>
      <c r="C2576"/>
      <c r="D2576"/>
      <c r="E2576"/>
      <c r="F2576"/>
      <c r="G2576"/>
      <c r="H2576"/>
      <c r="I2576"/>
      <c r="J2576"/>
      <c r="K2576"/>
      <c r="L2576"/>
      <c r="M2576" s="16"/>
      <c r="N2576"/>
      <c r="O2576"/>
      <c r="P2576"/>
    </row>
    <row r="2577" spans="1:16" ht="15" x14ac:dyDescent="0.2">
      <c r="A2577"/>
      <c r="B2577"/>
      <c r="C2577"/>
      <c r="D2577"/>
      <c r="E2577"/>
      <c r="F2577"/>
      <c r="G2577"/>
      <c r="H2577"/>
      <c r="I2577"/>
      <c r="J2577"/>
      <c r="K2577"/>
      <c r="L2577"/>
      <c r="M2577" s="16"/>
      <c r="N2577"/>
      <c r="O2577"/>
      <c r="P2577"/>
    </row>
    <row r="2578" spans="1:16" ht="15" x14ac:dyDescent="0.2">
      <c r="A2578"/>
      <c r="B2578"/>
      <c r="C2578"/>
      <c r="D2578"/>
      <c r="E2578"/>
      <c r="F2578"/>
      <c r="G2578"/>
      <c r="H2578"/>
      <c r="I2578"/>
      <c r="J2578"/>
      <c r="K2578"/>
      <c r="L2578"/>
      <c r="M2578" s="16"/>
      <c r="N2578"/>
      <c r="O2578"/>
      <c r="P2578"/>
    </row>
    <row r="2579" spans="1:16" ht="15" x14ac:dyDescent="0.2">
      <c r="A2579"/>
      <c r="B2579"/>
      <c r="C2579"/>
      <c r="D2579"/>
      <c r="E2579"/>
      <c r="F2579"/>
      <c r="G2579"/>
      <c r="H2579"/>
      <c r="I2579"/>
      <c r="J2579"/>
      <c r="K2579"/>
      <c r="L2579"/>
      <c r="M2579" s="16"/>
      <c r="N2579"/>
      <c r="O2579"/>
      <c r="P2579"/>
    </row>
    <row r="2580" spans="1:16" ht="15" x14ac:dyDescent="0.2">
      <c r="A2580"/>
      <c r="B2580"/>
      <c r="C2580"/>
      <c r="D2580"/>
      <c r="E2580"/>
      <c r="F2580"/>
      <c r="G2580"/>
      <c r="H2580"/>
      <c r="I2580"/>
      <c r="J2580"/>
      <c r="K2580"/>
      <c r="L2580"/>
      <c r="M2580" s="16"/>
      <c r="N2580"/>
      <c r="O2580"/>
      <c r="P2580"/>
    </row>
    <row r="2581" spans="1:16" ht="15" x14ac:dyDescent="0.2">
      <c r="A2581"/>
      <c r="B2581"/>
      <c r="C2581"/>
      <c r="D2581"/>
      <c r="E2581"/>
      <c r="F2581"/>
      <c r="G2581"/>
      <c r="H2581"/>
      <c r="I2581"/>
      <c r="J2581"/>
      <c r="K2581"/>
      <c r="L2581"/>
      <c r="M2581" s="16"/>
      <c r="N2581"/>
      <c r="O2581"/>
      <c r="P2581"/>
    </row>
    <row r="2582" spans="1:16" ht="15" x14ac:dyDescent="0.2">
      <c r="A2582"/>
      <c r="B2582"/>
      <c r="C2582"/>
      <c r="D2582"/>
      <c r="E2582"/>
      <c r="F2582"/>
      <c r="G2582"/>
      <c r="H2582"/>
      <c r="I2582"/>
      <c r="J2582"/>
      <c r="K2582"/>
      <c r="L2582"/>
      <c r="M2582" s="16"/>
      <c r="N2582"/>
      <c r="O2582"/>
      <c r="P2582"/>
    </row>
    <row r="2583" spans="1:16" ht="15" x14ac:dyDescent="0.2">
      <c r="A2583"/>
      <c r="B2583"/>
      <c r="C2583"/>
      <c r="D2583"/>
      <c r="E2583"/>
      <c r="F2583"/>
      <c r="G2583"/>
      <c r="H2583"/>
      <c r="I2583"/>
      <c r="J2583"/>
      <c r="K2583"/>
      <c r="L2583"/>
      <c r="M2583" s="16"/>
      <c r="N2583"/>
      <c r="O2583"/>
      <c r="P2583"/>
    </row>
    <row r="2584" spans="1:16" ht="15" x14ac:dyDescent="0.2">
      <c r="A2584"/>
      <c r="B2584"/>
      <c r="C2584"/>
      <c r="D2584"/>
      <c r="E2584"/>
      <c r="F2584"/>
      <c r="G2584"/>
      <c r="H2584"/>
      <c r="I2584"/>
      <c r="J2584"/>
      <c r="K2584"/>
      <c r="L2584"/>
      <c r="M2584" s="16"/>
      <c r="N2584"/>
      <c r="O2584"/>
      <c r="P2584"/>
    </row>
    <row r="2585" spans="1:16" ht="15" x14ac:dyDescent="0.2">
      <c r="A2585"/>
      <c r="B2585"/>
      <c r="C2585"/>
      <c r="D2585"/>
      <c r="E2585"/>
      <c r="F2585"/>
      <c r="G2585"/>
      <c r="H2585"/>
      <c r="I2585"/>
      <c r="J2585"/>
      <c r="K2585"/>
      <c r="L2585"/>
      <c r="M2585" s="16"/>
      <c r="N2585"/>
      <c r="O2585"/>
      <c r="P2585"/>
    </row>
    <row r="2586" spans="1:16" ht="15" x14ac:dyDescent="0.2">
      <c r="A2586"/>
      <c r="B2586"/>
      <c r="C2586"/>
      <c r="D2586"/>
      <c r="E2586"/>
      <c r="F2586"/>
      <c r="G2586"/>
      <c r="H2586"/>
      <c r="I2586"/>
      <c r="J2586"/>
      <c r="K2586"/>
      <c r="L2586"/>
      <c r="M2586" s="16"/>
      <c r="N2586"/>
      <c r="O2586"/>
      <c r="P2586"/>
    </row>
    <row r="2587" spans="1:16" ht="15" x14ac:dyDescent="0.2">
      <c r="A2587"/>
      <c r="B2587"/>
      <c r="C2587"/>
      <c r="D2587"/>
      <c r="E2587"/>
      <c r="F2587"/>
      <c r="G2587"/>
      <c r="H2587"/>
      <c r="I2587"/>
      <c r="J2587"/>
      <c r="K2587"/>
      <c r="L2587"/>
      <c r="M2587" s="16"/>
      <c r="N2587"/>
      <c r="O2587"/>
      <c r="P2587"/>
    </row>
    <row r="2588" spans="1:16" ht="15" x14ac:dyDescent="0.2">
      <c r="A2588"/>
      <c r="B2588"/>
      <c r="C2588"/>
      <c r="D2588"/>
      <c r="E2588"/>
      <c r="F2588"/>
      <c r="G2588"/>
      <c r="H2588"/>
      <c r="I2588"/>
      <c r="J2588"/>
      <c r="K2588"/>
      <c r="L2588"/>
      <c r="M2588" s="16"/>
      <c r="N2588"/>
      <c r="O2588"/>
      <c r="P2588"/>
    </row>
    <row r="2589" spans="1:16" ht="15" x14ac:dyDescent="0.2">
      <c r="A2589"/>
      <c r="B2589"/>
      <c r="C2589"/>
      <c r="D2589"/>
      <c r="E2589"/>
      <c r="F2589"/>
      <c r="G2589"/>
      <c r="H2589"/>
      <c r="I2589"/>
      <c r="J2589"/>
      <c r="K2589"/>
      <c r="L2589"/>
      <c r="M2589" s="16"/>
      <c r="N2589"/>
      <c r="O2589"/>
      <c r="P2589"/>
    </row>
    <row r="2590" spans="1:16" ht="15" x14ac:dyDescent="0.2">
      <c r="A2590"/>
      <c r="B2590"/>
      <c r="C2590"/>
      <c r="D2590"/>
      <c r="E2590"/>
      <c r="F2590"/>
      <c r="G2590"/>
      <c r="H2590"/>
      <c r="I2590"/>
      <c r="J2590"/>
      <c r="K2590"/>
      <c r="L2590"/>
      <c r="M2590" s="16"/>
      <c r="N2590"/>
      <c r="O2590"/>
      <c r="P2590"/>
    </row>
    <row r="2591" spans="1:16" ht="15" x14ac:dyDescent="0.2">
      <c r="A2591"/>
      <c r="B2591"/>
      <c r="C2591"/>
      <c r="D2591"/>
      <c r="E2591"/>
      <c r="F2591"/>
      <c r="G2591"/>
      <c r="H2591"/>
      <c r="I2591"/>
      <c r="J2591"/>
      <c r="K2591"/>
      <c r="L2591"/>
      <c r="M2591" s="16"/>
      <c r="N2591"/>
      <c r="O2591"/>
      <c r="P2591"/>
    </row>
    <row r="2592" spans="1:16" ht="15" x14ac:dyDescent="0.2">
      <c r="A2592"/>
      <c r="B2592"/>
      <c r="C2592"/>
      <c r="D2592"/>
      <c r="E2592"/>
      <c r="F2592"/>
      <c r="G2592"/>
      <c r="H2592"/>
      <c r="I2592"/>
      <c r="J2592"/>
      <c r="K2592"/>
      <c r="L2592"/>
      <c r="M2592" s="16"/>
      <c r="N2592"/>
      <c r="O2592"/>
      <c r="P2592"/>
    </row>
    <row r="2593" spans="1:16" ht="15" x14ac:dyDescent="0.2">
      <c r="A2593"/>
      <c r="B2593"/>
      <c r="C2593"/>
      <c r="D2593"/>
      <c r="E2593"/>
      <c r="F2593"/>
      <c r="G2593"/>
      <c r="H2593"/>
      <c r="I2593"/>
      <c r="J2593"/>
      <c r="K2593"/>
      <c r="L2593"/>
      <c r="M2593" s="16"/>
      <c r="N2593"/>
      <c r="O2593"/>
      <c r="P2593"/>
    </row>
    <row r="2594" spans="1:16" ht="15" x14ac:dyDescent="0.2">
      <c r="A2594"/>
      <c r="B2594"/>
      <c r="C2594"/>
      <c r="D2594"/>
      <c r="E2594"/>
      <c r="F2594"/>
      <c r="G2594"/>
      <c r="H2594"/>
      <c r="I2594"/>
      <c r="J2594"/>
      <c r="K2594"/>
      <c r="L2594"/>
      <c r="M2594" s="16"/>
      <c r="N2594"/>
      <c r="O2594"/>
      <c r="P2594"/>
    </row>
    <row r="2595" spans="1:16" ht="15" x14ac:dyDescent="0.2">
      <c r="A2595"/>
      <c r="B2595"/>
      <c r="C2595"/>
      <c r="D2595"/>
      <c r="E2595"/>
      <c r="F2595"/>
      <c r="G2595"/>
      <c r="H2595"/>
      <c r="I2595"/>
      <c r="J2595"/>
      <c r="K2595"/>
      <c r="L2595"/>
      <c r="M2595" s="16"/>
      <c r="N2595"/>
      <c r="O2595"/>
      <c r="P2595"/>
    </row>
    <row r="2596" spans="1:16" ht="15" x14ac:dyDescent="0.2">
      <c r="A2596"/>
      <c r="B2596"/>
      <c r="C2596"/>
      <c r="D2596"/>
      <c r="E2596"/>
      <c r="F2596"/>
      <c r="G2596"/>
      <c r="H2596"/>
      <c r="I2596"/>
      <c r="J2596"/>
      <c r="K2596"/>
      <c r="L2596"/>
      <c r="M2596" s="16"/>
      <c r="N2596"/>
      <c r="O2596"/>
      <c r="P2596"/>
    </row>
    <row r="2597" spans="1:16" ht="15" x14ac:dyDescent="0.2">
      <c r="A2597"/>
      <c r="B2597"/>
      <c r="C2597"/>
      <c r="D2597"/>
      <c r="E2597"/>
      <c r="F2597"/>
      <c r="G2597"/>
      <c r="H2597"/>
      <c r="I2597"/>
      <c r="J2597"/>
      <c r="K2597"/>
      <c r="L2597"/>
      <c r="M2597" s="16"/>
      <c r="N2597"/>
      <c r="O2597"/>
      <c r="P2597"/>
    </row>
    <row r="2598" spans="1:16" ht="15" x14ac:dyDescent="0.2">
      <c r="A2598"/>
      <c r="B2598"/>
      <c r="C2598"/>
      <c r="D2598"/>
      <c r="E2598"/>
      <c r="F2598"/>
      <c r="G2598"/>
      <c r="H2598"/>
      <c r="I2598"/>
      <c r="J2598"/>
      <c r="K2598"/>
      <c r="L2598"/>
      <c r="M2598" s="16"/>
      <c r="N2598"/>
      <c r="O2598"/>
      <c r="P2598"/>
    </row>
    <row r="2599" spans="1:16" ht="15" x14ac:dyDescent="0.2">
      <c r="A2599"/>
      <c r="B2599"/>
      <c r="C2599"/>
      <c r="D2599"/>
      <c r="E2599"/>
      <c r="F2599"/>
      <c r="G2599"/>
      <c r="H2599"/>
      <c r="I2599"/>
      <c r="J2599"/>
      <c r="K2599"/>
      <c r="L2599"/>
      <c r="M2599" s="16"/>
      <c r="N2599"/>
      <c r="O2599"/>
      <c r="P2599"/>
    </row>
    <row r="2600" spans="1:16" ht="15" x14ac:dyDescent="0.2">
      <c r="A2600"/>
      <c r="B2600"/>
      <c r="C2600"/>
      <c r="D2600"/>
      <c r="E2600"/>
      <c r="F2600"/>
      <c r="G2600"/>
      <c r="H2600"/>
      <c r="I2600"/>
      <c r="J2600"/>
      <c r="K2600"/>
      <c r="L2600"/>
      <c r="M2600" s="16"/>
      <c r="N2600"/>
      <c r="O2600"/>
      <c r="P2600"/>
    </row>
    <row r="2601" spans="1:16" ht="15" x14ac:dyDescent="0.2">
      <c r="A2601"/>
      <c r="B2601"/>
      <c r="C2601"/>
      <c r="D2601"/>
      <c r="E2601"/>
      <c r="F2601"/>
      <c r="G2601"/>
      <c r="H2601"/>
      <c r="I2601"/>
      <c r="J2601"/>
      <c r="K2601"/>
      <c r="L2601"/>
      <c r="M2601" s="16"/>
      <c r="N2601"/>
      <c r="O2601"/>
      <c r="P2601"/>
    </row>
    <row r="2602" spans="1:16" ht="15" x14ac:dyDescent="0.2">
      <c r="A2602"/>
      <c r="B2602"/>
      <c r="C2602"/>
      <c r="D2602"/>
      <c r="E2602"/>
      <c r="F2602"/>
      <c r="G2602"/>
      <c r="H2602"/>
      <c r="I2602"/>
      <c r="J2602"/>
      <c r="K2602"/>
      <c r="L2602"/>
      <c r="M2602" s="16"/>
      <c r="N2602"/>
      <c r="O2602"/>
      <c r="P2602"/>
    </row>
    <row r="2603" spans="1:16" ht="15" x14ac:dyDescent="0.2">
      <c r="A2603"/>
      <c r="B2603"/>
      <c r="C2603"/>
      <c r="D2603"/>
      <c r="E2603"/>
      <c r="F2603"/>
      <c r="G2603"/>
      <c r="H2603"/>
      <c r="I2603"/>
      <c r="J2603"/>
      <c r="K2603"/>
      <c r="L2603"/>
      <c r="M2603" s="16"/>
      <c r="N2603"/>
      <c r="O2603"/>
      <c r="P2603"/>
    </row>
    <row r="2604" spans="1:16" ht="15" x14ac:dyDescent="0.2">
      <c r="A2604"/>
      <c r="B2604"/>
      <c r="C2604"/>
      <c r="D2604"/>
      <c r="E2604"/>
      <c r="F2604"/>
      <c r="G2604"/>
      <c r="H2604"/>
      <c r="I2604"/>
      <c r="J2604"/>
      <c r="K2604"/>
      <c r="L2604"/>
      <c r="M2604" s="16"/>
      <c r="N2604"/>
      <c r="O2604"/>
      <c r="P2604"/>
    </row>
    <row r="2605" spans="1:16" ht="15" x14ac:dyDescent="0.2">
      <c r="A2605"/>
      <c r="B2605"/>
      <c r="C2605"/>
      <c r="D2605"/>
      <c r="E2605"/>
      <c r="F2605"/>
      <c r="G2605"/>
      <c r="H2605"/>
      <c r="I2605"/>
      <c r="J2605"/>
      <c r="K2605"/>
      <c r="L2605"/>
      <c r="M2605" s="16"/>
      <c r="N2605"/>
      <c r="O2605"/>
      <c r="P2605"/>
    </row>
    <row r="2606" spans="1:16" ht="15" x14ac:dyDescent="0.2">
      <c r="A2606"/>
      <c r="B2606"/>
      <c r="C2606"/>
      <c r="D2606"/>
      <c r="E2606"/>
      <c r="F2606"/>
      <c r="G2606"/>
      <c r="H2606"/>
      <c r="I2606"/>
      <c r="J2606"/>
      <c r="K2606"/>
      <c r="L2606"/>
      <c r="M2606" s="16"/>
      <c r="N2606"/>
      <c r="O2606"/>
      <c r="P2606"/>
    </row>
    <row r="2607" spans="1:16" ht="15" x14ac:dyDescent="0.2">
      <c r="A2607"/>
      <c r="B2607"/>
      <c r="C2607"/>
      <c r="D2607"/>
      <c r="E2607"/>
      <c r="F2607"/>
      <c r="G2607"/>
      <c r="H2607"/>
      <c r="I2607"/>
      <c r="J2607"/>
      <c r="K2607"/>
      <c r="L2607"/>
      <c r="M2607" s="16"/>
      <c r="N2607"/>
      <c r="O2607"/>
      <c r="P2607"/>
    </row>
    <row r="2608" spans="1:16" ht="15" x14ac:dyDescent="0.2">
      <c r="A2608"/>
      <c r="B2608"/>
      <c r="C2608"/>
      <c r="D2608"/>
      <c r="E2608"/>
      <c r="F2608"/>
      <c r="G2608"/>
      <c r="H2608"/>
      <c r="I2608"/>
      <c r="J2608"/>
      <c r="K2608"/>
      <c r="L2608"/>
      <c r="M2608" s="16"/>
      <c r="N2608"/>
      <c r="O2608"/>
      <c r="P2608"/>
    </row>
    <row r="2609" spans="1:16" ht="15" x14ac:dyDescent="0.2">
      <c r="A2609"/>
      <c r="B2609"/>
      <c r="C2609"/>
      <c r="D2609"/>
      <c r="E2609"/>
      <c r="F2609"/>
      <c r="G2609"/>
      <c r="H2609"/>
      <c r="I2609"/>
      <c r="J2609"/>
      <c r="K2609"/>
      <c r="L2609"/>
      <c r="M2609" s="16"/>
      <c r="N2609"/>
      <c r="O2609"/>
      <c r="P2609"/>
    </row>
    <row r="2610" spans="1:16" ht="15" x14ac:dyDescent="0.2">
      <c r="A2610"/>
      <c r="B2610"/>
      <c r="C2610"/>
      <c r="D2610"/>
      <c r="E2610"/>
      <c r="F2610"/>
      <c r="G2610"/>
      <c r="H2610"/>
      <c r="I2610"/>
      <c r="J2610"/>
      <c r="K2610"/>
      <c r="L2610"/>
      <c r="M2610" s="16"/>
      <c r="N2610"/>
      <c r="O2610"/>
      <c r="P2610"/>
    </row>
    <row r="2611" spans="1:16" ht="15" x14ac:dyDescent="0.2">
      <c r="A2611"/>
      <c r="B2611"/>
      <c r="C2611"/>
      <c r="D2611"/>
      <c r="E2611"/>
      <c r="F2611"/>
      <c r="G2611"/>
      <c r="H2611"/>
      <c r="I2611"/>
      <c r="J2611"/>
      <c r="K2611"/>
      <c r="L2611"/>
      <c r="M2611" s="16"/>
      <c r="N2611"/>
      <c r="O2611"/>
      <c r="P2611"/>
    </row>
    <row r="2612" spans="1:16" ht="15" x14ac:dyDescent="0.2">
      <c r="A2612"/>
      <c r="B2612"/>
      <c r="C2612"/>
      <c r="D2612"/>
      <c r="E2612"/>
      <c r="F2612"/>
      <c r="G2612"/>
      <c r="H2612"/>
      <c r="I2612"/>
      <c r="J2612"/>
      <c r="K2612"/>
      <c r="L2612"/>
      <c r="M2612" s="16"/>
      <c r="N2612"/>
      <c r="O2612"/>
      <c r="P2612"/>
    </row>
    <row r="2613" spans="1:16" ht="15" x14ac:dyDescent="0.2">
      <c r="A2613"/>
      <c r="B2613"/>
      <c r="C2613"/>
      <c r="D2613"/>
      <c r="E2613"/>
      <c r="F2613"/>
      <c r="G2613"/>
      <c r="H2613"/>
      <c r="I2613"/>
      <c r="J2613"/>
      <c r="K2613"/>
      <c r="L2613"/>
      <c r="M2613" s="16"/>
      <c r="N2613"/>
      <c r="O2613"/>
      <c r="P2613"/>
    </row>
    <row r="2614" spans="1:16" ht="15" x14ac:dyDescent="0.2">
      <c r="A2614"/>
      <c r="B2614"/>
      <c r="C2614"/>
      <c r="D2614"/>
      <c r="E2614"/>
      <c r="F2614"/>
      <c r="G2614"/>
      <c r="H2614"/>
      <c r="I2614"/>
      <c r="J2614"/>
      <c r="K2614"/>
      <c r="L2614"/>
      <c r="M2614" s="16"/>
      <c r="N2614"/>
      <c r="O2614"/>
      <c r="P2614"/>
    </row>
    <row r="2615" spans="1:16" ht="15" x14ac:dyDescent="0.2">
      <c r="A2615"/>
      <c r="B2615"/>
      <c r="C2615"/>
      <c r="D2615"/>
      <c r="E2615"/>
      <c r="F2615"/>
      <c r="G2615"/>
      <c r="H2615"/>
      <c r="I2615"/>
      <c r="J2615"/>
      <c r="K2615"/>
      <c r="L2615"/>
      <c r="M2615" s="16"/>
      <c r="N2615"/>
      <c r="O2615"/>
      <c r="P2615"/>
    </row>
    <row r="2616" spans="1:16" ht="15" x14ac:dyDescent="0.2">
      <c r="A2616"/>
      <c r="B2616"/>
      <c r="C2616"/>
      <c r="D2616"/>
      <c r="E2616"/>
      <c r="F2616"/>
      <c r="G2616"/>
      <c r="H2616"/>
      <c r="I2616"/>
      <c r="J2616"/>
      <c r="K2616"/>
      <c r="L2616"/>
      <c r="M2616" s="16"/>
      <c r="N2616"/>
      <c r="O2616"/>
      <c r="P2616"/>
    </row>
    <row r="2617" spans="1:16" ht="15" x14ac:dyDescent="0.2">
      <c r="A2617"/>
      <c r="B2617"/>
      <c r="C2617"/>
      <c r="D2617"/>
      <c r="E2617"/>
      <c r="F2617"/>
      <c r="G2617"/>
      <c r="H2617"/>
      <c r="I2617"/>
      <c r="J2617"/>
      <c r="K2617"/>
      <c r="L2617"/>
      <c r="M2617" s="16"/>
      <c r="N2617"/>
      <c r="O2617"/>
      <c r="P2617"/>
    </row>
    <row r="2618" spans="1:16" ht="15" x14ac:dyDescent="0.2">
      <c r="A2618"/>
      <c r="B2618"/>
      <c r="C2618"/>
      <c r="D2618"/>
      <c r="E2618"/>
      <c r="F2618"/>
      <c r="G2618"/>
      <c r="H2618"/>
      <c r="I2618"/>
      <c r="J2618"/>
      <c r="K2618"/>
      <c r="L2618"/>
      <c r="M2618" s="16"/>
      <c r="N2618"/>
      <c r="O2618"/>
      <c r="P2618"/>
    </row>
    <row r="2619" spans="1:16" ht="15" x14ac:dyDescent="0.2">
      <c r="A2619"/>
      <c r="B2619"/>
      <c r="C2619"/>
      <c r="D2619"/>
      <c r="E2619"/>
      <c r="F2619"/>
      <c r="G2619"/>
      <c r="H2619"/>
      <c r="I2619"/>
      <c r="J2619"/>
      <c r="K2619"/>
      <c r="L2619"/>
      <c r="M2619" s="16"/>
      <c r="N2619"/>
      <c r="O2619"/>
      <c r="P2619"/>
    </row>
    <row r="2620" spans="1:16" ht="15" x14ac:dyDescent="0.2">
      <c r="A2620"/>
      <c r="B2620"/>
      <c r="C2620"/>
      <c r="D2620"/>
      <c r="E2620"/>
      <c r="F2620"/>
      <c r="G2620"/>
      <c r="H2620"/>
      <c r="I2620"/>
      <c r="J2620"/>
      <c r="K2620"/>
      <c r="L2620"/>
      <c r="M2620" s="16"/>
      <c r="N2620"/>
      <c r="O2620"/>
      <c r="P2620"/>
    </row>
    <row r="2621" spans="1:16" ht="15" x14ac:dyDescent="0.2">
      <c r="A2621"/>
      <c r="B2621"/>
      <c r="C2621"/>
      <c r="D2621"/>
      <c r="E2621"/>
      <c r="F2621"/>
      <c r="G2621"/>
      <c r="H2621"/>
      <c r="I2621"/>
      <c r="J2621"/>
      <c r="K2621"/>
      <c r="L2621"/>
      <c r="M2621" s="16"/>
      <c r="N2621"/>
      <c r="O2621"/>
      <c r="P2621"/>
    </row>
    <row r="2622" spans="1:16" ht="15" x14ac:dyDescent="0.2">
      <c r="A2622"/>
      <c r="B2622"/>
      <c r="C2622"/>
      <c r="D2622"/>
      <c r="E2622"/>
      <c r="F2622"/>
      <c r="G2622"/>
      <c r="H2622"/>
      <c r="I2622"/>
      <c r="J2622"/>
      <c r="K2622"/>
      <c r="L2622"/>
      <c r="M2622" s="16"/>
      <c r="N2622"/>
      <c r="O2622"/>
      <c r="P2622"/>
    </row>
    <row r="2623" spans="1:16" ht="15" x14ac:dyDescent="0.2">
      <c r="A2623"/>
      <c r="B2623"/>
      <c r="C2623"/>
      <c r="D2623"/>
      <c r="E2623"/>
      <c r="F2623"/>
      <c r="G2623"/>
      <c r="H2623"/>
      <c r="I2623"/>
      <c r="J2623"/>
      <c r="K2623"/>
      <c r="L2623"/>
      <c r="M2623" s="16"/>
      <c r="N2623"/>
      <c r="O2623"/>
      <c r="P2623"/>
    </row>
    <row r="2624" spans="1:16" ht="15" x14ac:dyDescent="0.2">
      <c r="A2624"/>
      <c r="B2624"/>
      <c r="C2624"/>
      <c r="D2624"/>
      <c r="E2624"/>
      <c r="F2624"/>
      <c r="G2624"/>
      <c r="H2624"/>
      <c r="I2624"/>
      <c r="J2624"/>
      <c r="K2624"/>
      <c r="L2624"/>
      <c r="M2624" s="16"/>
      <c r="N2624"/>
      <c r="O2624"/>
      <c r="P2624"/>
    </row>
    <row r="2625" spans="1:16" ht="15" x14ac:dyDescent="0.2">
      <c r="A2625"/>
      <c r="B2625"/>
      <c r="C2625"/>
      <c r="D2625"/>
      <c r="E2625"/>
      <c r="F2625"/>
      <c r="G2625"/>
      <c r="H2625"/>
      <c r="I2625"/>
      <c r="J2625"/>
      <c r="K2625"/>
      <c r="L2625"/>
      <c r="M2625" s="16"/>
      <c r="N2625"/>
      <c r="O2625"/>
      <c r="P2625"/>
    </row>
    <row r="2626" spans="1:16" ht="15" x14ac:dyDescent="0.2">
      <c r="A2626"/>
      <c r="B2626"/>
      <c r="C2626"/>
      <c r="D2626"/>
      <c r="E2626"/>
      <c r="F2626"/>
      <c r="G2626"/>
      <c r="H2626"/>
      <c r="I2626"/>
      <c r="J2626"/>
      <c r="K2626"/>
      <c r="L2626"/>
      <c r="M2626" s="16"/>
      <c r="N2626"/>
      <c r="O2626"/>
      <c r="P2626"/>
    </row>
    <row r="2627" spans="1:16" ht="15" x14ac:dyDescent="0.2">
      <c r="A2627"/>
      <c r="B2627"/>
      <c r="C2627"/>
      <c r="D2627"/>
      <c r="E2627"/>
      <c r="F2627"/>
      <c r="G2627"/>
      <c r="H2627"/>
      <c r="I2627"/>
      <c r="J2627"/>
      <c r="K2627"/>
      <c r="L2627"/>
      <c r="M2627" s="16"/>
      <c r="N2627"/>
      <c r="O2627"/>
      <c r="P2627"/>
    </row>
    <row r="2628" spans="1:16" ht="15" x14ac:dyDescent="0.2">
      <c r="A2628"/>
      <c r="B2628"/>
      <c r="C2628"/>
      <c r="D2628"/>
      <c r="E2628"/>
      <c r="F2628"/>
      <c r="G2628"/>
      <c r="H2628"/>
      <c r="I2628"/>
      <c r="J2628"/>
      <c r="K2628"/>
      <c r="L2628"/>
      <c r="M2628" s="16"/>
      <c r="N2628"/>
      <c r="O2628"/>
      <c r="P2628"/>
    </row>
    <row r="2629" spans="1:16" ht="15" x14ac:dyDescent="0.2">
      <c r="A2629"/>
      <c r="B2629"/>
      <c r="C2629"/>
      <c r="D2629"/>
      <c r="E2629"/>
      <c r="F2629"/>
      <c r="G2629"/>
      <c r="H2629"/>
      <c r="I2629"/>
      <c r="J2629"/>
      <c r="K2629"/>
      <c r="L2629"/>
      <c r="M2629" s="16"/>
      <c r="N2629"/>
      <c r="O2629"/>
      <c r="P2629"/>
    </row>
    <row r="2630" spans="1:16" ht="15" x14ac:dyDescent="0.2">
      <c r="A2630"/>
      <c r="B2630"/>
      <c r="C2630"/>
      <c r="D2630"/>
      <c r="E2630"/>
      <c r="F2630"/>
      <c r="G2630"/>
      <c r="H2630"/>
      <c r="I2630"/>
      <c r="J2630"/>
      <c r="K2630"/>
      <c r="L2630"/>
      <c r="M2630" s="16"/>
      <c r="N2630"/>
      <c r="O2630"/>
      <c r="P2630"/>
    </row>
    <row r="2631" spans="1:16" ht="15" x14ac:dyDescent="0.2">
      <c r="A2631"/>
      <c r="B2631"/>
      <c r="C2631"/>
      <c r="D2631"/>
      <c r="E2631"/>
      <c r="F2631"/>
      <c r="G2631"/>
      <c r="H2631"/>
      <c r="I2631"/>
      <c r="J2631"/>
      <c r="K2631"/>
      <c r="L2631"/>
      <c r="M2631" s="16"/>
      <c r="N2631"/>
      <c r="O2631"/>
      <c r="P2631"/>
    </row>
    <row r="2632" spans="1:16" ht="15" x14ac:dyDescent="0.2">
      <c r="A2632"/>
      <c r="B2632"/>
      <c r="C2632"/>
      <c r="D2632"/>
      <c r="E2632"/>
      <c r="F2632"/>
      <c r="G2632"/>
      <c r="H2632"/>
      <c r="I2632"/>
      <c r="J2632"/>
      <c r="K2632"/>
      <c r="L2632"/>
      <c r="M2632" s="16"/>
      <c r="N2632"/>
      <c r="O2632"/>
      <c r="P2632"/>
    </row>
    <row r="2633" spans="1:16" ht="15" x14ac:dyDescent="0.2">
      <c r="A2633"/>
      <c r="B2633"/>
      <c r="C2633"/>
      <c r="D2633"/>
      <c r="E2633"/>
      <c r="F2633"/>
      <c r="G2633"/>
      <c r="H2633"/>
      <c r="I2633"/>
      <c r="J2633"/>
      <c r="K2633"/>
      <c r="L2633"/>
      <c r="M2633" s="16"/>
      <c r="N2633"/>
      <c r="O2633"/>
      <c r="P2633"/>
    </row>
    <row r="2634" spans="1:16" ht="15" x14ac:dyDescent="0.2">
      <c r="A2634"/>
      <c r="B2634"/>
      <c r="C2634"/>
      <c r="D2634"/>
      <c r="E2634"/>
      <c r="F2634"/>
      <c r="G2634"/>
      <c r="H2634"/>
      <c r="I2634"/>
      <c r="J2634"/>
      <c r="K2634"/>
      <c r="L2634"/>
      <c r="M2634" s="16"/>
      <c r="N2634"/>
      <c r="O2634"/>
      <c r="P2634"/>
    </row>
    <row r="2635" spans="1:16" ht="15" x14ac:dyDescent="0.2">
      <c r="A2635"/>
      <c r="B2635"/>
      <c r="C2635"/>
      <c r="D2635"/>
      <c r="E2635"/>
      <c r="F2635"/>
      <c r="G2635"/>
      <c r="H2635"/>
      <c r="I2635"/>
      <c r="J2635"/>
      <c r="K2635"/>
      <c r="L2635"/>
      <c r="M2635" s="16"/>
      <c r="N2635"/>
      <c r="O2635"/>
      <c r="P2635"/>
    </row>
    <row r="2636" spans="1:16" ht="15" x14ac:dyDescent="0.2">
      <c r="A2636"/>
      <c r="B2636"/>
      <c r="C2636"/>
      <c r="D2636"/>
      <c r="E2636"/>
      <c r="F2636"/>
      <c r="G2636"/>
      <c r="H2636"/>
      <c r="I2636"/>
      <c r="J2636"/>
      <c r="K2636"/>
      <c r="L2636"/>
      <c r="M2636" s="16"/>
      <c r="N2636"/>
      <c r="O2636"/>
      <c r="P2636"/>
    </row>
    <row r="2637" spans="1:16" ht="15" x14ac:dyDescent="0.2">
      <c r="A2637"/>
      <c r="B2637"/>
      <c r="C2637"/>
      <c r="D2637"/>
      <c r="E2637"/>
      <c r="F2637"/>
      <c r="G2637"/>
      <c r="H2637"/>
      <c r="I2637"/>
      <c r="J2637"/>
      <c r="K2637"/>
      <c r="L2637"/>
      <c r="M2637" s="16"/>
      <c r="N2637"/>
      <c r="O2637"/>
      <c r="P2637"/>
    </row>
    <row r="2638" spans="1:16" ht="15" x14ac:dyDescent="0.2">
      <c r="A2638"/>
      <c r="B2638"/>
      <c r="C2638"/>
      <c r="D2638"/>
      <c r="E2638"/>
      <c r="F2638"/>
      <c r="G2638"/>
      <c r="H2638"/>
      <c r="I2638"/>
      <c r="J2638"/>
      <c r="K2638"/>
      <c r="L2638"/>
      <c r="M2638" s="16"/>
      <c r="N2638"/>
      <c r="O2638"/>
      <c r="P2638"/>
    </row>
    <row r="2639" spans="1:16" ht="15" x14ac:dyDescent="0.2">
      <c r="A2639"/>
      <c r="B2639"/>
      <c r="C2639"/>
      <c r="D2639"/>
      <c r="E2639"/>
      <c r="F2639"/>
      <c r="G2639"/>
      <c r="H2639"/>
      <c r="I2639"/>
      <c r="J2639"/>
      <c r="K2639"/>
      <c r="L2639"/>
      <c r="M2639" s="16"/>
      <c r="N2639"/>
      <c r="O2639"/>
      <c r="P2639"/>
    </row>
    <row r="2640" spans="1:16" ht="15" x14ac:dyDescent="0.2">
      <c r="A2640"/>
      <c r="B2640"/>
      <c r="C2640"/>
      <c r="D2640"/>
      <c r="E2640"/>
      <c r="F2640"/>
      <c r="G2640"/>
      <c r="H2640"/>
      <c r="I2640"/>
      <c r="J2640"/>
      <c r="K2640"/>
      <c r="L2640"/>
      <c r="M2640" s="16"/>
      <c r="N2640"/>
      <c r="O2640"/>
      <c r="P2640"/>
    </row>
    <row r="2641" spans="1:16" ht="15" x14ac:dyDescent="0.2">
      <c r="A2641"/>
      <c r="B2641"/>
      <c r="C2641"/>
      <c r="D2641"/>
      <c r="E2641"/>
      <c r="F2641"/>
      <c r="G2641"/>
      <c r="H2641"/>
      <c r="I2641"/>
      <c r="J2641"/>
      <c r="K2641"/>
      <c r="L2641"/>
      <c r="M2641" s="16"/>
      <c r="N2641"/>
      <c r="O2641"/>
      <c r="P2641"/>
    </row>
    <row r="2642" spans="1:16" ht="15" x14ac:dyDescent="0.2">
      <c r="A2642"/>
      <c r="B2642"/>
      <c r="C2642"/>
      <c r="D2642"/>
      <c r="E2642"/>
      <c r="F2642"/>
      <c r="G2642"/>
      <c r="H2642"/>
      <c r="I2642"/>
      <c r="J2642"/>
      <c r="K2642"/>
      <c r="L2642"/>
      <c r="M2642" s="16"/>
      <c r="N2642"/>
      <c r="O2642"/>
      <c r="P2642"/>
    </row>
    <row r="2643" spans="1:16" ht="15" x14ac:dyDescent="0.2">
      <c r="A2643"/>
      <c r="B2643"/>
      <c r="C2643"/>
      <c r="D2643"/>
      <c r="E2643"/>
      <c r="F2643"/>
      <c r="G2643"/>
      <c r="H2643"/>
      <c r="I2643"/>
      <c r="J2643"/>
      <c r="K2643"/>
      <c r="L2643"/>
      <c r="M2643" s="16"/>
      <c r="N2643"/>
      <c r="O2643"/>
      <c r="P2643"/>
    </row>
    <row r="2644" spans="1:16" ht="15" x14ac:dyDescent="0.2">
      <c r="A2644"/>
      <c r="B2644"/>
      <c r="C2644"/>
      <c r="D2644"/>
      <c r="E2644"/>
      <c r="F2644"/>
      <c r="G2644"/>
      <c r="H2644"/>
      <c r="I2644"/>
      <c r="J2644"/>
      <c r="K2644"/>
      <c r="L2644"/>
      <c r="M2644" s="16"/>
      <c r="N2644"/>
      <c r="O2644"/>
      <c r="P2644"/>
    </row>
    <row r="2645" spans="1:16" ht="15" x14ac:dyDescent="0.2">
      <c r="A2645"/>
      <c r="B2645"/>
      <c r="C2645"/>
      <c r="D2645"/>
      <c r="E2645"/>
      <c r="F2645"/>
      <c r="G2645"/>
      <c r="H2645"/>
      <c r="I2645"/>
      <c r="J2645"/>
      <c r="K2645"/>
      <c r="L2645"/>
      <c r="M2645" s="16"/>
      <c r="N2645"/>
      <c r="O2645"/>
      <c r="P2645"/>
    </row>
    <row r="2646" spans="1:16" ht="15" x14ac:dyDescent="0.2">
      <c r="A2646"/>
      <c r="B2646"/>
      <c r="C2646"/>
      <c r="D2646"/>
      <c r="E2646"/>
      <c r="F2646"/>
      <c r="G2646"/>
      <c r="H2646"/>
      <c r="I2646"/>
      <c r="J2646"/>
      <c r="K2646"/>
      <c r="L2646"/>
      <c r="M2646" s="16"/>
      <c r="N2646"/>
      <c r="O2646"/>
      <c r="P2646"/>
    </row>
    <row r="2647" spans="1:16" ht="15" x14ac:dyDescent="0.2">
      <c r="A2647"/>
      <c r="B2647"/>
      <c r="C2647"/>
      <c r="D2647"/>
      <c r="E2647"/>
      <c r="F2647"/>
      <c r="G2647"/>
      <c r="H2647"/>
      <c r="I2647"/>
      <c r="J2647"/>
      <c r="K2647"/>
      <c r="L2647"/>
      <c r="M2647" s="16"/>
      <c r="N2647"/>
      <c r="O2647"/>
      <c r="P2647"/>
    </row>
    <row r="2648" spans="1:16" ht="15" x14ac:dyDescent="0.2">
      <c r="A2648"/>
      <c r="B2648"/>
      <c r="C2648"/>
      <c r="D2648"/>
      <c r="E2648"/>
      <c r="F2648"/>
      <c r="G2648"/>
      <c r="H2648"/>
      <c r="I2648"/>
      <c r="J2648"/>
      <c r="K2648"/>
      <c r="L2648"/>
      <c r="M2648" s="16"/>
      <c r="N2648"/>
      <c r="O2648"/>
      <c r="P2648"/>
    </row>
    <row r="2649" spans="1:16" ht="15" x14ac:dyDescent="0.2">
      <c r="A2649"/>
      <c r="B2649"/>
      <c r="C2649"/>
      <c r="D2649"/>
      <c r="E2649"/>
      <c r="F2649"/>
      <c r="G2649"/>
      <c r="H2649"/>
      <c r="I2649"/>
      <c r="J2649"/>
      <c r="K2649"/>
      <c r="L2649"/>
      <c r="M2649" s="16"/>
      <c r="N2649"/>
      <c r="O2649"/>
      <c r="P2649"/>
    </row>
    <row r="2650" spans="1:16" ht="15" x14ac:dyDescent="0.2">
      <c r="A2650"/>
      <c r="B2650"/>
      <c r="C2650"/>
      <c r="D2650"/>
      <c r="E2650"/>
      <c r="F2650"/>
      <c r="G2650"/>
      <c r="H2650"/>
      <c r="I2650"/>
      <c r="J2650"/>
      <c r="K2650"/>
      <c r="L2650"/>
      <c r="M2650" s="16"/>
      <c r="N2650"/>
      <c r="O2650"/>
      <c r="P2650"/>
    </row>
    <row r="2651" spans="1:16" ht="15" x14ac:dyDescent="0.2">
      <c r="A2651"/>
      <c r="B2651"/>
      <c r="C2651"/>
      <c r="D2651"/>
      <c r="E2651"/>
      <c r="F2651"/>
      <c r="G2651"/>
      <c r="H2651"/>
      <c r="I2651"/>
      <c r="J2651"/>
      <c r="K2651"/>
      <c r="L2651"/>
      <c r="M2651" s="16"/>
      <c r="N2651"/>
      <c r="O2651"/>
      <c r="P2651"/>
    </row>
    <row r="2652" spans="1:16" ht="15" x14ac:dyDescent="0.2">
      <c r="A2652"/>
      <c r="B2652"/>
      <c r="C2652"/>
      <c r="D2652"/>
      <c r="E2652"/>
      <c r="F2652"/>
      <c r="G2652"/>
      <c r="H2652"/>
      <c r="I2652"/>
      <c r="J2652"/>
      <c r="K2652"/>
      <c r="L2652"/>
      <c r="M2652" s="16"/>
      <c r="N2652"/>
      <c r="O2652"/>
      <c r="P2652"/>
    </row>
    <row r="2653" spans="1:16" ht="15" x14ac:dyDescent="0.2">
      <c r="A2653"/>
      <c r="B2653"/>
      <c r="C2653"/>
      <c r="D2653"/>
      <c r="E2653"/>
      <c r="F2653"/>
      <c r="G2653"/>
      <c r="H2653"/>
      <c r="I2653"/>
      <c r="J2653"/>
      <c r="K2653"/>
      <c r="L2653"/>
      <c r="M2653" s="16"/>
      <c r="N2653"/>
      <c r="O2653"/>
      <c r="P2653"/>
    </row>
    <row r="2654" spans="1:16" ht="15" x14ac:dyDescent="0.2">
      <c r="A2654"/>
      <c r="B2654"/>
      <c r="C2654"/>
      <c r="D2654"/>
      <c r="E2654"/>
      <c r="F2654"/>
      <c r="G2654"/>
      <c r="H2654"/>
      <c r="I2654"/>
      <c r="J2654"/>
      <c r="K2654"/>
      <c r="L2654"/>
      <c r="M2654" s="16"/>
      <c r="N2654"/>
      <c r="O2654"/>
      <c r="P2654"/>
    </row>
    <row r="2655" spans="1:16" ht="15" x14ac:dyDescent="0.2">
      <c r="A2655"/>
      <c r="B2655"/>
      <c r="C2655"/>
      <c r="D2655"/>
      <c r="E2655"/>
      <c r="F2655"/>
      <c r="G2655"/>
      <c r="H2655"/>
      <c r="I2655"/>
      <c r="J2655"/>
      <c r="K2655"/>
      <c r="L2655"/>
      <c r="M2655" s="16"/>
      <c r="N2655"/>
      <c r="O2655"/>
      <c r="P2655"/>
    </row>
    <row r="2656" spans="1:16" ht="15" x14ac:dyDescent="0.2">
      <c r="A2656"/>
      <c r="B2656"/>
      <c r="C2656"/>
      <c r="D2656"/>
      <c r="E2656"/>
      <c r="F2656"/>
      <c r="G2656"/>
      <c r="H2656"/>
      <c r="I2656"/>
      <c r="J2656"/>
      <c r="K2656"/>
      <c r="L2656"/>
      <c r="M2656" s="16"/>
      <c r="N2656"/>
      <c r="O2656"/>
      <c r="P2656"/>
    </row>
    <row r="2657" spans="1:16" ht="15" x14ac:dyDescent="0.2">
      <c r="A2657"/>
      <c r="B2657"/>
      <c r="C2657"/>
      <c r="D2657"/>
      <c r="E2657"/>
      <c r="F2657"/>
      <c r="G2657"/>
      <c r="H2657"/>
      <c r="I2657"/>
      <c r="J2657"/>
      <c r="K2657"/>
      <c r="L2657"/>
      <c r="M2657" s="16"/>
      <c r="N2657"/>
      <c r="O2657"/>
      <c r="P2657"/>
    </row>
    <row r="2658" spans="1:16" ht="15" x14ac:dyDescent="0.2">
      <c r="A2658"/>
      <c r="B2658"/>
      <c r="C2658"/>
      <c r="D2658"/>
      <c r="E2658"/>
      <c r="F2658"/>
      <c r="G2658"/>
      <c r="H2658"/>
      <c r="I2658"/>
      <c r="J2658"/>
      <c r="K2658"/>
      <c r="L2658"/>
      <c r="M2658" s="16"/>
      <c r="N2658"/>
      <c r="O2658"/>
      <c r="P2658"/>
    </row>
    <row r="2659" spans="1:16" ht="15" x14ac:dyDescent="0.2">
      <c r="A2659"/>
      <c r="B2659"/>
      <c r="C2659"/>
      <c r="D2659"/>
      <c r="E2659"/>
      <c r="F2659"/>
      <c r="G2659"/>
      <c r="H2659"/>
      <c r="I2659"/>
      <c r="J2659"/>
      <c r="K2659"/>
      <c r="L2659"/>
      <c r="M2659" s="16"/>
      <c r="N2659"/>
      <c r="O2659"/>
      <c r="P2659"/>
    </row>
    <row r="2660" spans="1:16" ht="15" x14ac:dyDescent="0.2">
      <c r="A2660"/>
      <c r="B2660"/>
      <c r="C2660"/>
      <c r="D2660"/>
      <c r="E2660"/>
      <c r="F2660"/>
      <c r="G2660"/>
      <c r="H2660"/>
      <c r="I2660"/>
      <c r="J2660"/>
      <c r="K2660"/>
      <c r="L2660"/>
      <c r="M2660" s="16"/>
      <c r="N2660"/>
      <c r="O2660"/>
      <c r="P2660"/>
    </row>
    <row r="2661" spans="1:16" ht="15" x14ac:dyDescent="0.2">
      <c r="A2661"/>
      <c r="B2661"/>
      <c r="C2661"/>
      <c r="D2661"/>
      <c r="E2661"/>
      <c r="F2661"/>
      <c r="G2661"/>
      <c r="H2661"/>
      <c r="I2661"/>
      <c r="J2661"/>
      <c r="K2661"/>
      <c r="L2661"/>
      <c r="M2661" s="16"/>
      <c r="N2661"/>
      <c r="O2661"/>
      <c r="P2661"/>
    </row>
    <row r="2662" spans="1:16" ht="15" x14ac:dyDescent="0.2">
      <c r="A2662"/>
      <c r="B2662"/>
      <c r="C2662"/>
      <c r="D2662"/>
      <c r="E2662"/>
      <c r="F2662"/>
      <c r="G2662"/>
      <c r="H2662"/>
      <c r="I2662"/>
      <c r="J2662"/>
      <c r="K2662"/>
      <c r="L2662"/>
      <c r="M2662" s="16"/>
      <c r="N2662"/>
      <c r="O2662"/>
      <c r="P2662"/>
    </row>
    <row r="2663" spans="1:16" ht="15" x14ac:dyDescent="0.2">
      <c r="A2663"/>
      <c r="B2663"/>
      <c r="C2663"/>
      <c r="D2663"/>
      <c r="E2663"/>
      <c r="F2663"/>
      <c r="G2663"/>
      <c r="H2663"/>
      <c r="I2663"/>
      <c r="J2663"/>
      <c r="K2663"/>
      <c r="L2663"/>
      <c r="M2663" s="16"/>
      <c r="N2663"/>
      <c r="O2663"/>
      <c r="P2663"/>
    </row>
    <row r="2664" spans="1:16" ht="15" x14ac:dyDescent="0.2">
      <c r="A2664"/>
      <c r="B2664"/>
      <c r="C2664"/>
      <c r="D2664"/>
      <c r="E2664"/>
      <c r="F2664"/>
      <c r="G2664"/>
      <c r="H2664"/>
      <c r="I2664"/>
      <c r="J2664"/>
      <c r="K2664"/>
      <c r="L2664"/>
      <c r="M2664" s="16"/>
      <c r="N2664"/>
      <c r="O2664"/>
      <c r="P2664"/>
    </row>
    <row r="2665" spans="1:16" ht="15" x14ac:dyDescent="0.2">
      <c r="A2665"/>
      <c r="B2665"/>
      <c r="C2665"/>
      <c r="D2665"/>
      <c r="E2665"/>
      <c r="F2665"/>
      <c r="G2665"/>
      <c r="H2665"/>
      <c r="I2665"/>
      <c r="J2665"/>
      <c r="K2665"/>
      <c r="L2665"/>
      <c r="M2665" s="16"/>
      <c r="N2665"/>
      <c r="O2665"/>
      <c r="P2665"/>
    </row>
    <row r="2666" spans="1:16" ht="15" x14ac:dyDescent="0.2">
      <c r="A2666"/>
      <c r="B2666"/>
      <c r="C2666"/>
      <c r="D2666"/>
      <c r="E2666"/>
      <c r="F2666"/>
      <c r="G2666"/>
      <c r="H2666"/>
      <c r="I2666"/>
      <c r="J2666"/>
      <c r="K2666"/>
      <c r="L2666"/>
      <c r="M2666" s="16"/>
      <c r="N2666"/>
      <c r="O2666"/>
      <c r="P2666"/>
    </row>
    <row r="2667" spans="1:16" ht="15" x14ac:dyDescent="0.2">
      <c r="A2667"/>
      <c r="B2667"/>
      <c r="C2667"/>
      <c r="D2667"/>
      <c r="E2667"/>
      <c r="F2667"/>
      <c r="G2667"/>
      <c r="H2667"/>
      <c r="I2667"/>
      <c r="J2667"/>
      <c r="K2667"/>
      <c r="L2667"/>
      <c r="M2667" s="16"/>
      <c r="N2667"/>
      <c r="O2667"/>
      <c r="P2667"/>
    </row>
    <row r="2668" spans="1:16" ht="15" x14ac:dyDescent="0.2">
      <c r="A2668"/>
      <c r="B2668"/>
      <c r="C2668"/>
      <c r="D2668"/>
      <c r="E2668"/>
      <c r="F2668"/>
      <c r="G2668"/>
      <c r="H2668"/>
      <c r="I2668"/>
      <c r="J2668"/>
      <c r="K2668"/>
      <c r="L2668"/>
      <c r="M2668" s="16"/>
      <c r="N2668"/>
      <c r="O2668"/>
      <c r="P2668"/>
    </row>
    <row r="2669" spans="1:16" ht="15" x14ac:dyDescent="0.2">
      <c r="A2669"/>
      <c r="B2669"/>
      <c r="C2669"/>
      <c r="D2669"/>
      <c r="E2669"/>
      <c r="F2669"/>
      <c r="G2669"/>
      <c r="H2669"/>
      <c r="I2669"/>
      <c r="J2669"/>
      <c r="K2669"/>
      <c r="L2669"/>
      <c r="M2669" s="16"/>
      <c r="N2669"/>
      <c r="O2669"/>
      <c r="P2669"/>
    </row>
    <row r="2670" spans="1:16" ht="15" x14ac:dyDescent="0.2">
      <c r="A2670"/>
      <c r="B2670"/>
      <c r="C2670"/>
      <c r="D2670"/>
      <c r="E2670"/>
      <c r="F2670"/>
      <c r="G2670"/>
      <c r="H2670"/>
      <c r="I2670"/>
      <c r="J2670"/>
      <c r="K2670"/>
      <c r="L2670"/>
      <c r="M2670" s="16"/>
      <c r="N2670"/>
      <c r="O2670"/>
      <c r="P2670"/>
    </row>
    <row r="2671" spans="1:16" ht="15" x14ac:dyDescent="0.2">
      <c r="A2671"/>
      <c r="B2671"/>
      <c r="C2671"/>
      <c r="D2671"/>
      <c r="E2671"/>
      <c r="F2671"/>
      <c r="G2671"/>
      <c r="H2671"/>
      <c r="I2671"/>
      <c r="J2671"/>
      <c r="K2671"/>
      <c r="L2671"/>
      <c r="M2671" s="16"/>
      <c r="N2671"/>
      <c r="O2671"/>
      <c r="P2671"/>
    </row>
    <row r="2672" spans="1:16" ht="15" x14ac:dyDescent="0.2">
      <c r="A2672"/>
      <c r="B2672"/>
      <c r="C2672"/>
      <c r="D2672"/>
      <c r="E2672"/>
      <c r="F2672"/>
      <c r="G2672"/>
      <c r="H2672"/>
      <c r="I2672"/>
      <c r="J2672"/>
      <c r="K2672"/>
      <c r="L2672"/>
      <c r="M2672" s="16"/>
      <c r="N2672"/>
      <c r="O2672"/>
      <c r="P2672"/>
    </row>
    <row r="2673" spans="1:16" ht="15" x14ac:dyDescent="0.2">
      <c r="A2673"/>
      <c r="B2673"/>
      <c r="C2673"/>
      <c r="D2673"/>
      <c r="E2673"/>
      <c r="F2673"/>
      <c r="G2673"/>
      <c r="H2673"/>
      <c r="I2673"/>
      <c r="J2673"/>
      <c r="K2673"/>
      <c r="L2673"/>
      <c r="M2673" s="16"/>
      <c r="N2673"/>
      <c r="O2673"/>
      <c r="P2673"/>
    </row>
    <row r="2674" spans="1:16" ht="15" x14ac:dyDescent="0.2">
      <c r="A2674"/>
      <c r="B2674"/>
      <c r="C2674"/>
      <c r="D2674"/>
      <c r="E2674"/>
      <c r="F2674"/>
      <c r="G2674"/>
      <c r="H2674"/>
      <c r="I2674"/>
      <c r="J2674"/>
      <c r="K2674"/>
      <c r="L2674"/>
      <c r="M2674" s="16"/>
      <c r="N2674"/>
      <c r="O2674"/>
      <c r="P2674"/>
    </row>
    <row r="2675" spans="1:16" ht="15" x14ac:dyDescent="0.2">
      <c r="A2675"/>
      <c r="B2675"/>
      <c r="C2675"/>
      <c r="D2675"/>
      <c r="E2675"/>
      <c r="F2675"/>
      <c r="G2675"/>
      <c r="H2675"/>
      <c r="I2675"/>
      <c r="J2675"/>
      <c r="K2675"/>
      <c r="L2675"/>
      <c r="M2675" s="16"/>
      <c r="N2675"/>
      <c r="O2675"/>
      <c r="P2675"/>
    </row>
    <row r="2676" spans="1:16" ht="15" x14ac:dyDescent="0.2">
      <c r="A2676"/>
      <c r="B2676"/>
      <c r="C2676"/>
      <c r="D2676"/>
      <c r="E2676"/>
      <c r="F2676"/>
      <c r="G2676"/>
      <c r="H2676"/>
      <c r="I2676"/>
      <c r="J2676"/>
      <c r="K2676"/>
      <c r="L2676"/>
      <c r="M2676" s="16"/>
      <c r="N2676"/>
      <c r="O2676"/>
      <c r="P2676"/>
    </row>
    <row r="2677" spans="1:16" ht="15" x14ac:dyDescent="0.2">
      <c r="A2677"/>
      <c r="B2677"/>
      <c r="C2677"/>
      <c r="D2677"/>
      <c r="E2677"/>
      <c r="F2677"/>
      <c r="G2677"/>
      <c r="H2677"/>
      <c r="I2677"/>
      <c r="J2677"/>
      <c r="K2677"/>
      <c r="L2677"/>
      <c r="M2677" s="16"/>
      <c r="N2677"/>
      <c r="O2677"/>
      <c r="P2677"/>
    </row>
    <row r="2678" spans="1:16" ht="15" x14ac:dyDescent="0.2">
      <c r="A2678"/>
      <c r="B2678"/>
      <c r="C2678"/>
      <c r="D2678"/>
      <c r="E2678"/>
      <c r="F2678"/>
      <c r="G2678"/>
      <c r="H2678"/>
      <c r="I2678"/>
      <c r="J2678"/>
      <c r="K2678"/>
      <c r="L2678"/>
      <c r="M2678" s="16"/>
      <c r="N2678"/>
      <c r="O2678"/>
      <c r="P2678"/>
    </row>
    <row r="2679" spans="1:16" ht="15" x14ac:dyDescent="0.2">
      <c r="A2679"/>
      <c r="B2679"/>
      <c r="C2679"/>
      <c r="D2679"/>
      <c r="E2679"/>
      <c r="F2679"/>
      <c r="G2679"/>
      <c r="H2679"/>
      <c r="I2679"/>
      <c r="J2679"/>
      <c r="K2679"/>
      <c r="L2679"/>
      <c r="M2679" s="16"/>
      <c r="N2679"/>
      <c r="O2679"/>
      <c r="P2679"/>
    </row>
    <row r="2680" spans="1:16" ht="15" x14ac:dyDescent="0.2">
      <c r="A2680"/>
      <c r="B2680"/>
      <c r="C2680"/>
      <c r="D2680"/>
      <c r="E2680"/>
      <c r="F2680"/>
      <c r="G2680"/>
      <c r="H2680"/>
      <c r="I2680"/>
      <c r="J2680"/>
      <c r="K2680"/>
      <c r="L2680"/>
      <c r="M2680" s="16"/>
      <c r="N2680"/>
      <c r="O2680"/>
      <c r="P2680"/>
    </row>
    <row r="2681" spans="1:16" ht="15" x14ac:dyDescent="0.2">
      <c r="A2681"/>
      <c r="B2681"/>
      <c r="C2681"/>
      <c r="D2681"/>
      <c r="E2681"/>
      <c r="F2681"/>
      <c r="G2681"/>
      <c r="H2681"/>
      <c r="I2681"/>
      <c r="J2681"/>
      <c r="K2681"/>
      <c r="L2681"/>
      <c r="M2681" s="16"/>
      <c r="N2681"/>
      <c r="O2681"/>
      <c r="P2681"/>
    </row>
    <row r="2682" spans="1:16" ht="15" x14ac:dyDescent="0.2">
      <c r="A2682"/>
      <c r="B2682"/>
      <c r="C2682"/>
      <c r="D2682"/>
      <c r="E2682"/>
      <c r="F2682"/>
      <c r="G2682"/>
      <c r="H2682"/>
      <c r="I2682"/>
      <c r="J2682"/>
      <c r="K2682"/>
      <c r="L2682"/>
      <c r="M2682" s="16"/>
      <c r="N2682"/>
      <c r="O2682"/>
      <c r="P2682"/>
    </row>
    <row r="2683" spans="1:16" ht="15" x14ac:dyDescent="0.2">
      <c r="A2683"/>
      <c r="B2683"/>
      <c r="C2683"/>
      <c r="D2683"/>
      <c r="E2683"/>
      <c r="F2683"/>
      <c r="G2683"/>
      <c r="H2683"/>
      <c r="I2683"/>
      <c r="J2683"/>
      <c r="K2683"/>
      <c r="L2683"/>
      <c r="M2683" s="16"/>
      <c r="N2683"/>
      <c r="O2683"/>
      <c r="P2683"/>
    </row>
    <row r="2684" spans="1:16" ht="15" x14ac:dyDescent="0.2">
      <c r="A2684"/>
      <c r="B2684"/>
      <c r="C2684"/>
      <c r="D2684"/>
      <c r="E2684"/>
      <c r="F2684"/>
      <c r="G2684"/>
      <c r="H2684"/>
      <c r="I2684"/>
      <c r="J2684"/>
      <c r="K2684"/>
      <c r="L2684"/>
      <c r="M2684" s="16"/>
      <c r="N2684"/>
      <c r="O2684"/>
      <c r="P2684"/>
    </row>
    <row r="2685" spans="1:16" ht="15" x14ac:dyDescent="0.2">
      <c r="A2685"/>
      <c r="B2685"/>
      <c r="C2685"/>
      <c r="D2685"/>
      <c r="E2685"/>
      <c r="F2685"/>
      <c r="G2685"/>
      <c r="H2685"/>
      <c r="I2685"/>
      <c r="J2685"/>
      <c r="K2685"/>
      <c r="L2685"/>
      <c r="M2685" s="16"/>
      <c r="N2685"/>
      <c r="O2685"/>
      <c r="P2685"/>
    </row>
    <row r="2686" spans="1:16" ht="15" x14ac:dyDescent="0.2">
      <c r="A2686"/>
      <c r="B2686"/>
      <c r="C2686"/>
      <c r="D2686"/>
      <c r="E2686"/>
      <c r="F2686"/>
      <c r="G2686"/>
      <c r="H2686"/>
      <c r="I2686"/>
      <c r="J2686"/>
      <c r="K2686"/>
      <c r="L2686"/>
      <c r="M2686" s="16"/>
      <c r="N2686"/>
      <c r="O2686"/>
      <c r="P2686"/>
    </row>
    <row r="2687" spans="1:16" ht="15" x14ac:dyDescent="0.2">
      <c r="A2687"/>
      <c r="B2687"/>
      <c r="C2687"/>
      <c r="D2687"/>
      <c r="E2687"/>
      <c r="F2687"/>
      <c r="G2687"/>
      <c r="H2687"/>
      <c r="I2687"/>
      <c r="J2687"/>
      <c r="K2687"/>
      <c r="L2687"/>
      <c r="M2687" s="16"/>
      <c r="N2687"/>
      <c r="O2687"/>
      <c r="P2687"/>
    </row>
    <row r="2688" spans="1:16" ht="15" x14ac:dyDescent="0.2">
      <c r="A2688"/>
      <c r="B2688"/>
      <c r="C2688"/>
      <c r="D2688"/>
      <c r="E2688"/>
      <c r="F2688"/>
      <c r="G2688"/>
      <c r="H2688"/>
      <c r="I2688"/>
      <c r="J2688"/>
      <c r="K2688"/>
      <c r="L2688"/>
      <c r="M2688" s="16"/>
      <c r="N2688"/>
      <c r="O2688"/>
      <c r="P2688"/>
    </row>
    <row r="2689" spans="1:16" ht="15" x14ac:dyDescent="0.2">
      <c r="A2689"/>
      <c r="B2689"/>
      <c r="C2689"/>
      <c r="D2689"/>
      <c r="E2689"/>
      <c r="F2689"/>
      <c r="G2689"/>
      <c r="H2689"/>
      <c r="I2689"/>
      <c r="J2689"/>
      <c r="K2689"/>
      <c r="L2689"/>
      <c r="M2689" s="16"/>
      <c r="N2689"/>
      <c r="O2689"/>
      <c r="P2689"/>
    </row>
    <row r="2690" spans="1:16" ht="15" x14ac:dyDescent="0.2">
      <c r="A2690"/>
      <c r="B2690"/>
      <c r="C2690"/>
      <c r="D2690"/>
      <c r="E2690"/>
      <c r="F2690"/>
      <c r="G2690"/>
      <c r="H2690"/>
      <c r="I2690"/>
      <c r="J2690"/>
      <c r="K2690"/>
      <c r="L2690"/>
      <c r="M2690" s="16"/>
      <c r="N2690"/>
      <c r="O2690"/>
      <c r="P2690"/>
    </row>
    <row r="2691" spans="1:16" ht="15" x14ac:dyDescent="0.2">
      <c r="A2691"/>
      <c r="B2691"/>
      <c r="C2691"/>
      <c r="D2691"/>
      <c r="E2691"/>
      <c r="F2691"/>
      <c r="G2691"/>
      <c r="H2691"/>
      <c r="I2691"/>
      <c r="J2691"/>
      <c r="K2691"/>
      <c r="L2691"/>
      <c r="M2691" s="16"/>
      <c r="N2691"/>
      <c r="O2691"/>
      <c r="P2691"/>
    </row>
    <row r="2692" spans="1:16" ht="15" x14ac:dyDescent="0.2">
      <c r="A2692"/>
      <c r="B2692"/>
      <c r="C2692"/>
      <c r="D2692"/>
      <c r="E2692"/>
      <c r="F2692"/>
      <c r="G2692"/>
      <c r="H2692"/>
      <c r="I2692"/>
      <c r="J2692"/>
      <c r="K2692"/>
      <c r="L2692"/>
      <c r="M2692" s="16"/>
      <c r="N2692"/>
      <c r="O2692"/>
      <c r="P2692"/>
    </row>
    <row r="2693" spans="1:16" ht="15" x14ac:dyDescent="0.2">
      <c r="A2693"/>
      <c r="B2693"/>
      <c r="C2693"/>
      <c r="D2693"/>
      <c r="E2693"/>
      <c r="F2693"/>
      <c r="G2693"/>
      <c r="H2693"/>
      <c r="I2693"/>
      <c r="J2693"/>
      <c r="K2693"/>
      <c r="L2693"/>
      <c r="M2693" s="16"/>
      <c r="N2693"/>
      <c r="O2693"/>
      <c r="P2693"/>
    </row>
    <row r="2694" spans="1:16" ht="15" x14ac:dyDescent="0.2">
      <c r="A2694"/>
      <c r="B2694"/>
      <c r="C2694"/>
      <c r="D2694"/>
      <c r="E2694"/>
      <c r="F2694"/>
      <c r="G2694"/>
      <c r="H2694"/>
      <c r="I2694"/>
      <c r="J2694"/>
      <c r="K2694"/>
      <c r="L2694"/>
      <c r="M2694" s="16"/>
      <c r="N2694"/>
      <c r="O2694"/>
      <c r="P2694"/>
    </row>
    <row r="2695" spans="1:16" ht="15" x14ac:dyDescent="0.2">
      <c r="A2695"/>
      <c r="B2695"/>
      <c r="C2695"/>
      <c r="D2695"/>
      <c r="E2695"/>
      <c r="F2695"/>
      <c r="G2695"/>
      <c r="H2695"/>
      <c r="I2695"/>
      <c r="J2695"/>
      <c r="K2695"/>
      <c r="L2695"/>
      <c r="M2695" s="16"/>
      <c r="N2695"/>
      <c r="O2695"/>
      <c r="P2695"/>
    </row>
    <row r="2696" spans="1:16" ht="15" x14ac:dyDescent="0.2">
      <c r="A2696"/>
      <c r="B2696"/>
      <c r="C2696"/>
      <c r="D2696"/>
      <c r="E2696"/>
      <c r="F2696"/>
      <c r="G2696"/>
      <c r="H2696"/>
      <c r="I2696"/>
      <c r="J2696"/>
      <c r="K2696"/>
      <c r="L2696"/>
      <c r="M2696" s="16"/>
      <c r="N2696"/>
      <c r="O2696"/>
      <c r="P2696"/>
    </row>
    <row r="2697" spans="1:16" ht="15" x14ac:dyDescent="0.2">
      <c r="A2697"/>
      <c r="B2697"/>
      <c r="C2697"/>
      <c r="D2697"/>
      <c r="E2697"/>
      <c r="F2697"/>
      <c r="G2697"/>
      <c r="H2697"/>
      <c r="I2697"/>
      <c r="J2697"/>
      <c r="K2697"/>
      <c r="L2697"/>
      <c r="M2697" s="16"/>
      <c r="N2697"/>
      <c r="O2697"/>
      <c r="P2697"/>
    </row>
    <row r="2698" spans="1:16" ht="15" x14ac:dyDescent="0.2">
      <c r="A2698"/>
      <c r="B2698"/>
      <c r="C2698"/>
      <c r="D2698"/>
      <c r="E2698"/>
      <c r="F2698"/>
      <c r="G2698"/>
      <c r="H2698"/>
      <c r="I2698"/>
      <c r="J2698"/>
      <c r="K2698"/>
      <c r="L2698"/>
      <c r="M2698" s="16"/>
      <c r="N2698"/>
      <c r="O2698"/>
      <c r="P2698"/>
    </row>
    <row r="2699" spans="1:16" ht="15" x14ac:dyDescent="0.2">
      <c r="A2699"/>
      <c r="B2699"/>
      <c r="C2699"/>
      <c r="D2699"/>
      <c r="E2699"/>
      <c r="F2699"/>
      <c r="G2699"/>
      <c r="H2699"/>
      <c r="I2699"/>
      <c r="J2699"/>
      <c r="K2699"/>
      <c r="L2699"/>
      <c r="M2699" s="16"/>
      <c r="N2699"/>
      <c r="O2699"/>
      <c r="P2699"/>
    </row>
    <row r="2700" spans="1:16" ht="15" x14ac:dyDescent="0.2">
      <c r="A2700"/>
      <c r="B2700"/>
      <c r="C2700"/>
      <c r="D2700"/>
      <c r="E2700"/>
      <c r="F2700"/>
      <c r="G2700"/>
      <c r="H2700"/>
      <c r="I2700"/>
      <c r="J2700"/>
      <c r="K2700"/>
      <c r="L2700"/>
      <c r="M2700" s="16"/>
      <c r="N2700"/>
      <c r="O2700"/>
      <c r="P2700"/>
    </row>
    <row r="2701" spans="1:16" ht="15" x14ac:dyDescent="0.2">
      <c r="A2701"/>
      <c r="B2701"/>
      <c r="C2701"/>
      <c r="D2701"/>
      <c r="E2701"/>
      <c r="F2701"/>
      <c r="G2701"/>
      <c r="H2701"/>
      <c r="I2701"/>
      <c r="J2701"/>
      <c r="K2701"/>
      <c r="L2701"/>
      <c r="M2701" s="16"/>
      <c r="N2701"/>
      <c r="O2701"/>
      <c r="P2701"/>
    </row>
    <row r="2702" spans="1:16" ht="15" x14ac:dyDescent="0.2">
      <c r="A2702"/>
      <c r="B2702"/>
      <c r="C2702"/>
      <c r="D2702"/>
      <c r="E2702"/>
      <c r="F2702"/>
      <c r="G2702"/>
      <c r="H2702"/>
      <c r="I2702"/>
      <c r="J2702"/>
      <c r="K2702"/>
      <c r="L2702"/>
      <c r="M2702" s="16"/>
      <c r="N2702"/>
      <c r="O2702"/>
      <c r="P2702"/>
    </row>
    <row r="2703" spans="1:16" ht="15" x14ac:dyDescent="0.2">
      <c r="A2703"/>
      <c r="B2703"/>
      <c r="C2703"/>
      <c r="D2703"/>
      <c r="E2703"/>
      <c r="F2703"/>
      <c r="G2703"/>
      <c r="H2703"/>
      <c r="I2703"/>
      <c r="J2703"/>
      <c r="K2703"/>
      <c r="L2703"/>
      <c r="M2703" s="16"/>
      <c r="N2703"/>
      <c r="O2703"/>
      <c r="P2703"/>
    </row>
    <row r="2704" spans="1:16" ht="15" x14ac:dyDescent="0.2">
      <c r="A2704"/>
      <c r="B2704"/>
      <c r="C2704"/>
      <c r="D2704"/>
      <c r="E2704"/>
      <c r="F2704"/>
      <c r="G2704"/>
      <c r="H2704"/>
      <c r="I2704"/>
      <c r="J2704"/>
      <c r="K2704"/>
      <c r="L2704"/>
      <c r="M2704" s="16"/>
      <c r="N2704"/>
      <c r="O2704"/>
      <c r="P2704"/>
    </row>
    <row r="2705" spans="1:16" ht="15" x14ac:dyDescent="0.2">
      <c r="A2705"/>
      <c r="B2705"/>
      <c r="C2705"/>
      <c r="D2705"/>
      <c r="E2705"/>
      <c r="F2705"/>
      <c r="G2705"/>
      <c r="H2705"/>
      <c r="I2705"/>
      <c r="J2705"/>
      <c r="K2705"/>
      <c r="L2705"/>
      <c r="M2705" s="16"/>
      <c r="N2705"/>
      <c r="O2705"/>
      <c r="P2705"/>
    </row>
    <row r="2706" spans="1:16" ht="15" x14ac:dyDescent="0.2">
      <c r="A2706"/>
      <c r="B2706"/>
      <c r="C2706"/>
      <c r="D2706"/>
      <c r="E2706"/>
      <c r="F2706"/>
      <c r="G2706"/>
      <c r="H2706"/>
      <c r="I2706"/>
      <c r="J2706"/>
      <c r="K2706"/>
      <c r="L2706"/>
      <c r="M2706" s="16"/>
      <c r="N2706"/>
      <c r="O2706"/>
      <c r="P2706"/>
    </row>
    <row r="2707" spans="1:16" ht="15" x14ac:dyDescent="0.2">
      <c r="A2707"/>
      <c r="B2707"/>
      <c r="C2707"/>
      <c r="D2707"/>
      <c r="E2707"/>
      <c r="F2707"/>
      <c r="G2707"/>
      <c r="H2707"/>
      <c r="I2707"/>
      <c r="J2707"/>
      <c r="K2707"/>
      <c r="L2707"/>
      <c r="M2707" s="16"/>
      <c r="N2707"/>
      <c r="O2707"/>
      <c r="P2707"/>
    </row>
    <row r="2708" spans="1:16" ht="15" x14ac:dyDescent="0.2">
      <c r="A2708"/>
      <c r="B2708"/>
      <c r="C2708"/>
      <c r="D2708"/>
      <c r="E2708"/>
      <c r="F2708"/>
      <c r="G2708"/>
      <c r="H2708"/>
      <c r="I2708"/>
      <c r="J2708"/>
      <c r="K2708"/>
      <c r="L2708"/>
      <c r="M2708" s="16"/>
      <c r="N2708"/>
      <c r="O2708"/>
      <c r="P2708"/>
    </row>
    <row r="2709" spans="1:16" ht="15" x14ac:dyDescent="0.2">
      <c r="A2709"/>
      <c r="B2709"/>
      <c r="C2709"/>
      <c r="D2709"/>
      <c r="E2709"/>
      <c r="F2709"/>
      <c r="G2709"/>
      <c r="H2709"/>
      <c r="I2709"/>
      <c r="J2709"/>
      <c r="K2709"/>
      <c r="L2709"/>
      <c r="M2709" s="16"/>
      <c r="N2709"/>
      <c r="O2709"/>
      <c r="P2709"/>
    </row>
    <row r="2710" spans="1:16" ht="15" x14ac:dyDescent="0.2">
      <c r="A2710"/>
      <c r="B2710"/>
      <c r="C2710"/>
      <c r="D2710"/>
      <c r="E2710"/>
      <c r="F2710"/>
      <c r="G2710"/>
      <c r="H2710"/>
      <c r="I2710"/>
      <c r="J2710"/>
      <c r="K2710"/>
      <c r="L2710"/>
      <c r="M2710" s="16"/>
      <c r="N2710"/>
      <c r="O2710"/>
      <c r="P2710"/>
    </row>
    <row r="2711" spans="1:16" ht="15" x14ac:dyDescent="0.2">
      <c r="A2711"/>
      <c r="B2711"/>
      <c r="C2711"/>
      <c r="D2711"/>
      <c r="E2711"/>
      <c r="F2711"/>
      <c r="G2711"/>
      <c r="H2711"/>
      <c r="I2711"/>
      <c r="J2711"/>
      <c r="K2711"/>
      <c r="L2711"/>
      <c r="M2711" s="16"/>
      <c r="N2711"/>
      <c r="O2711"/>
      <c r="P2711"/>
    </row>
    <row r="2712" spans="1:16" ht="15" x14ac:dyDescent="0.2">
      <c r="A2712"/>
      <c r="B2712"/>
      <c r="C2712"/>
      <c r="D2712"/>
      <c r="E2712"/>
      <c r="F2712"/>
      <c r="G2712"/>
      <c r="H2712"/>
      <c r="I2712"/>
      <c r="J2712"/>
      <c r="K2712"/>
      <c r="L2712"/>
      <c r="M2712" s="16"/>
      <c r="N2712"/>
      <c r="O2712"/>
      <c r="P2712"/>
    </row>
    <row r="2713" spans="1:16" ht="15" x14ac:dyDescent="0.2">
      <c r="A2713"/>
      <c r="B2713"/>
      <c r="C2713"/>
      <c r="D2713"/>
      <c r="E2713"/>
      <c r="F2713"/>
      <c r="G2713"/>
      <c r="H2713"/>
      <c r="I2713"/>
      <c r="J2713"/>
      <c r="K2713"/>
      <c r="L2713"/>
      <c r="M2713" s="16"/>
      <c r="N2713"/>
      <c r="O2713"/>
      <c r="P2713"/>
    </row>
    <row r="2714" spans="1:16" ht="15" x14ac:dyDescent="0.2">
      <c r="A2714"/>
      <c r="B2714"/>
      <c r="C2714"/>
      <c r="D2714"/>
      <c r="E2714"/>
      <c r="F2714"/>
      <c r="G2714"/>
      <c r="H2714"/>
      <c r="I2714"/>
      <c r="J2714"/>
      <c r="K2714"/>
      <c r="L2714"/>
      <c r="M2714" s="16"/>
      <c r="N2714"/>
      <c r="O2714"/>
      <c r="P2714"/>
    </row>
    <row r="2715" spans="1:16" ht="15" x14ac:dyDescent="0.2">
      <c r="A2715"/>
      <c r="B2715"/>
      <c r="C2715"/>
      <c r="D2715"/>
      <c r="E2715"/>
      <c r="F2715"/>
      <c r="G2715"/>
      <c r="H2715"/>
      <c r="I2715"/>
      <c r="J2715"/>
      <c r="K2715"/>
      <c r="L2715"/>
      <c r="M2715" s="16"/>
      <c r="N2715"/>
      <c r="O2715"/>
      <c r="P2715"/>
    </row>
    <row r="2716" spans="1:16" ht="15" x14ac:dyDescent="0.2">
      <c r="A2716"/>
      <c r="B2716"/>
      <c r="C2716"/>
      <c r="D2716"/>
      <c r="E2716"/>
      <c r="F2716"/>
      <c r="G2716"/>
      <c r="H2716"/>
      <c r="I2716"/>
      <c r="J2716"/>
      <c r="K2716"/>
      <c r="L2716"/>
      <c r="M2716" s="16"/>
      <c r="N2716"/>
      <c r="O2716"/>
      <c r="P2716"/>
    </row>
    <row r="2717" spans="1:16" ht="15" x14ac:dyDescent="0.2">
      <c r="A2717"/>
      <c r="B2717"/>
      <c r="C2717"/>
      <c r="D2717"/>
      <c r="E2717"/>
      <c r="F2717"/>
      <c r="G2717"/>
      <c r="H2717"/>
      <c r="I2717"/>
      <c r="J2717"/>
      <c r="K2717"/>
      <c r="L2717"/>
      <c r="M2717" s="16"/>
      <c r="N2717"/>
      <c r="O2717"/>
      <c r="P2717"/>
    </row>
    <row r="2718" spans="1:16" ht="15" x14ac:dyDescent="0.2">
      <c r="A2718"/>
      <c r="B2718"/>
      <c r="C2718"/>
      <c r="D2718"/>
      <c r="E2718"/>
      <c r="F2718"/>
      <c r="G2718"/>
      <c r="H2718"/>
      <c r="I2718"/>
      <c r="J2718"/>
      <c r="K2718"/>
      <c r="L2718"/>
      <c r="M2718" s="16"/>
      <c r="N2718"/>
      <c r="O2718"/>
      <c r="P2718"/>
    </row>
    <row r="2719" spans="1:16" ht="15" x14ac:dyDescent="0.2">
      <c r="A2719"/>
      <c r="B2719"/>
      <c r="C2719"/>
      <c r="D2719"/>
      <c r="E2719"/>
      <c r="F2719"/>
      <c r="G2719"/>
      <c r="H2719"/>
      <c r="I2719"/>
      <c r="J2719"/>
      <c r="K2719"/>
      <c r="L2719"/>
      <c r="M2719" s="16"/>
      <c r="N2719"/>
      <c r="O2719"/>
      <c r="P2719"/>
    </row>
    <row r="2720" spans="1:16" ht="15" x14ac:dyDescent="0.2">
      <c r="A2720"/>
      <c r="B2720"/>
      <c r="C2720"/>
      <c r="D2720"/>
      <c r="E2720"/>
      <c r="F2720"/>
      <c r="G2720"/>
      <c r="H2720"/>
      <c r="I2720"/>
      <c r="J2720"/>
      <c r="K2720"/>
      <c r="L2720"/>
      <c r="M2720" s="16"/>
      <c r="N2720"/>
      <c r="O2720"/>
      <c r="P2720"/>
    </row>
    <row r="2721" spans="1:16" ht="15" x14ac:dyDescent="0.2">
      <c r="A2721"/>
      <c r="B2721"/>
      <c r="C2721"/>
      <c r="D2721"/>
      <c r="E2721"/>
      <c r="F2721"/>
      <c r="G2721"/>
      <c r="H2721"/>
      <c r="I2721"/>
      <c r="J2721"/>
      <c r="K2721"/>
      <c r="L2721"/>
      <c r="M2721" s="16"/>
      <c r="N2721"/>
      <c r="O2721"/>
      <c r="P2721"/>
    </row>
    <row r="2722" spans="1:16" ht="15" x14ac:dyDescent="0.2">
      <c r="A2722"/>
      <c r="B2722"/>
      <c r="C2722"/>
      <c r="D2722"/>
      <c r="E2722"/>
      <c r="F2722"/>
      <c r="G2722"/>
      <c r="H2722"/>
      <c r="I2722"/>
      <c r="J2722"/>
      <c r="K2722"/>
      <c r="L2722"/>
      <c r="M2722" s="16"/>
      <c r="N2722"/>
      <c r="O2722"/>
      <c r="P2722"/>
    </row>
    <row r="2723" spans="1:16" ht="15" x14ac:dyDescent="0.2">
      <c r="A2723"/>
      <c r="B2723"/>
      <c r="C2723"/>
      <c r="D2723"/>
      <c r="E2723"/>
      <c r="F2723"/>
      <c r="G2723"/>
      <c r="H2723"/>
      <c r="I2723"/>
      <c r="J2723"/>
      <c r="K2723"/>
      <c r="L2723"/>
      <c r="M2723" s="16"/>
      <c r="N2723"/>
      <c r="O2723"/>
      <c r="P2723"/>
    </row>
    <row r="2724" spans="1:16" ht="15" x14ac:dyDescent="0.2">
      <c r="A2724"/>
      <c r="B2724"/>
      <c r="C2724"/>
      <c r="D2724"/>
      <c r="E2724"/>
      <c r="F2724"/>
      <c r="G2724"/>
      <c r="H2724"/>
      <c r="I2724"/>
      <c r="J2724"/>
      <c r="K2724"/>
      <c r="L2724"/>
      <c r="M2724" s="16"/>
      <c r="N2724"/>
      <c r="O2724"/>
      <c r="P2724"/>
    </row>
    <row r="2725" spans="1:16" ht="15" x14ac:dyDescent="0.2">
      <c r="A2725"/>
      <c r="B2725"/>
      <c r="C2725"/>
      <c r="D2725"/>
      <c r="E2725"/>
      <c r="F2725"/>
      <c r="G2725"/>
      <c r="H2725"/>
      <c r="I2725"/>
      <c r="J2725"/>
      <c r="K2725"/>
      <c r="L2725"/>
      <c r="M2725" s="16"/>
      <c r="N2725"/>
      <c r="O2725"/>
      <c r="P2725"/>
    </row>
    <row r="2726" spans="1:16" ht="15" x14ac:dyDescent="0.2">
      <c r="A2726"/>
      <c r="B2726"/>
      <c r="C2726"/>
      <c r="D2726"/>
      <c r="E2726"/>
      <c r="F2726"/>
      <c r="G2726"/>
      <c r="H2726"/>
      <c r="I2726"/>
      <c r="J2726"/>
      <c r="K2726"/>
      <c r="L2726"/>
      <c r="M2726" s="16"/>
      <c r="N2726"/>
      <c r="O2726"/>
      <c r="P2726"/>
    </row>
    <row r="2727" spans="1:16" ht="15" x14ac:dyDescent="0.2">
      <c r="A2727"/>
      <c r="B2727"/>
      <c r="C2727"/>
      <c r="D2727"/>
      <c r="E2727"/>
      <c r="F2727"/>
      <c r="G2727"/>
      <c r="H2727"/>
      <c r="I2727"/>
      <c r="J2727"/>
      <c r="K2727"/>
      <c r="L2727"/>
      <c r="M2727" s="16"/>
      <c r="N2727"/>
      <c r="O2727"/>
      <c r="P2727"/>
    </row>
    <row r="2728" spans="1:16" ht="15" x14ac:dyDescent="0.2">
      <c r="A2728"/>
      <c r="B2728"/>
      <c r="C2728"/>
      <c r="D2728"/>
      <c r="E2728"/>
      <c r="F2728"/>
      <c r="G2728"/>
      <c r="H2728"/>
      <c r="I2728"/>
      <c r="J2728"/>
      <c r="K2728"/>
      <c r="L2728"/>
      <c r="M2728" s="16"/>
      <c r="N2728"/>
      <c r="O2728"/>
      <c r="P2728"/>
    </row>
    <row r="2729" spans="1:16" ht="15" x14ac:dyDescent="0.2">
      <c r="A2729"/>
      <c r="B2729"/>
      <c r="C2729"/>
      <c r="D2729"/>
      <c r="E2729"/>
      <c r="F2729"/>
      <c r="G2729"/>
      <c r="H2729"/>
      <c r="I2729"/>
      <c r="J2729"/>
      <c r="K2729"/>
      <c r="L2729"/>
      <c r="M2729" s="16"/>
      <c r="N2729"/>
      <c r="O2729"/>
      <c r="P2729"/>
    </row>
    <row r="2730" spans="1:16" ht="15" x14ac:dyDescent="0.2">
      <c r="A2730"/>
      <c r="B2730"/>
      <c r="C2730"/>
      <c r="D2730"/>
      <c r="E2730"/>
      <c r="F2730"/>
      <c r="G2730"/>
      <c r="H2730"/>
      <c r="I2730"/>
      <c r="J2730"/>
      <c r="K2730"/>
      <c r="L2730"/>
      <c r="M2730" s="16"/>
      <c r="N2730"/>
      <c r="O2730"/>
      <c r="P2730"/>
    </row>
    <row r="2731" spans="1:16" ht="15" x14ac:dyDescent="0.2">
      <c r="A2731"/>
      <c r="B2731"/>
      <c r="C2731"/>
      <c r="D2731"/>
      <c r="E2731"/>
      <c r="F2731"/>
      <c r="G2731"/>
      <c r="H2731"/>
      <c r="I2731"/>
      <c r="J2731"/>
      <c r="K2731"/>
      <c r="L2731"/>
      <c r="M2731" s="16"/>
      <c r="N2731"/>
      <c r="O2731"/>
      <c r="P2731"/>
    </row>
    <row r="2732" spans="1:16" ht="15" x14ac:dyDescent="0.2">
      <c r="A2732"/>
      <c r="B2732"/>
      <c r="C2732"/>
      <c r="D2732"/>
      <c r="E2732"/>
      <c r="F2732"/>
      <c r="G2732"/>
      <c r="H2732"/>
      <c r="I2732"/>
      <c r="J2732"/>
      <c r="K2732"/>
      <c r="L2732"/>
      <c r="M2732" s="16"/>
      <c r="N2732"/>
      <c r="O2732"/>
      <c r="P2732"/>
    </row>
    <row r="2733" spans="1:16" ht="15" x14ac:dyDescent="0.2">
      <c r="A2733"/>
      <c r="B2733"/>
      <c r="C2733"/>
      <c r="D2733"/>
      <c r="E2733"/>
      <c r="F2733"/>
      <c r="G2733"/>
      <c r="H2733"/>
      <c r="I2733"/>
      <c r="J2733"/>
      <c r="K2733"/>
      <c r="L2733"/>
      <c r="M2733" s="16"/>
      <c r="N2733"/>
      <c r="O2733"/>
      <c r="P2733"/>
    </row>
    <row r="2734" spans="1:16" ht="15" x14ac:dyDescent="0.2">
      <c r="A2734"/>
      <c r="B2734"/>
      <c r="C2734"/>
      <c r="D2734"/>
      <c r="E2734"/>
      <c r="F2734"/>
      <c r="G2734"/>
      <c r="H2734"/>
      <c r="I2734"/>
      <c r="J2734"/>
      <c r="K2734"/>
      <c r="L2734"/>
      <c r="M2734" s="16"/>
      <c r="N2734"/>
      <c r="O2734"/>
      <c r="P2734"/>
    </row>
    <row r="2735" spans="1:16" ht="15" x14ac:dyDescent="0.2">
      <c r="A2735"/>
      <c r="B2735"/>
      <c r="C2735"/>
      <c r="D2735"/>
      <c r="E2735"/>
      <c r="F2735"/>
      <c r="G2735"/>
      <c r="H2735"/>
      <c r="I2735"/>
      <c r="J2735"/>
      <c r="K2735"/>
      <c r="L2735"/>
      <c r="M2735" s="16"/>
      <c r="N2735"/>
      <c r="O2735"/>
      <c r="P2735"/>
    </row>
    <row r="2736" spans="1:16" ht="15" x14ac:dyDescent="0.2">
      <c r="A2736"/>
      <c r="B2736"/>
      <c r="C2736"/>
      <c r="D2736"/>
      <c r="E2736"/>
      <c r="F2736"/>
      <c r="G2736"/>
      <c r="H2736"/>
      <c r="I2736"/>
      <c r="J2736"/>
      <c r="K2736"/>
      <c r="L2736"/>
      <c r="M2736" s="16"/>
      <c r="N2736"/>
      <c r="O2736"/>
      <c r="P2736"/>
    </row>
    <row r="2737" spans="1:16" ht="15" x14ac:dyDescent="0.2">
      <c r="A2737"/>
      <c r="B2737"/>
      <c r="C2737"/>
      <c r="D2737"/>
      <c r="E2737"/>
      <c r="F2737"/>
      <c r="G2737"/>
      <c r="H2737"/>
      <c r="I2737"/>
      <c r="J2737"/>
      <c r="K2737"/>
      <c r="L2737"/>
      <c r="M2737" s="16"/>
      <c r="N2737"/>
      <c r="O2737"/>
      <c r="P2737"/>
    </row>
    <row r="2738" spans="1:16" ht="15" x14ac:dyDescent="0.2">
      <c r="A2738"/>
      <c r="B2738"/>
      <c r="C2738"/>
      <c r="D2738"/>
      <c r="E2738"/>
      <c r="F2738"/>
      <c r="G2738"/>
      <c r="H2738"/>
      <c r="I2738"/>
      <c r="J2738"/>
      <c r="K2738"/>
      <c r="L2738"/>
      <c r="M2738" s="16"/>
      <c r="N2738"/>
      <c r="O2738"/>
      <c r="P2738"/>
    </row>
    <row r="2739" spans="1:16" ht="15" x14ac:dyDescent="0.2">
      <c r="A2739"/>
      <c r="B2739"/>
      <c r="C2739"/>
      <c r="D2739"/>
      <c r="E2739"/>
      <c r="F2739"/>
      <c r="G2739"/>
      <c r="H2739"/>
      <c r="I2739"/>
      <c r="J2739"/>
      <c r="K2739"/>
      <c r="L2739"/>
      <c r="M2739" s="16"/>
      <c r="N2739"/>
      <c r="O2739"/>
      <c r="P2739"/>
    </row>
    <row r="2740" spans="1:16" ht="15" x14ac:dyDescent="0.2">
      <c r="A2740"/>
      <c r="B2740"/>
      <c r="C2740"/>
      <c r="D2740"/>
      <c r="E2740"/>
      <c r="F2740"/>
      <c r="G2740"/>
      <c r="H2740"/>
      <c r="I2740"/>
      <c r="J2740"/>
      <c r="K2740"/>
      <c r="L2740"/>
      <c r="M2740" s="16"/>
      <c r="N2740"/>
      <c r="O2740"/>
      <c r="P2740"/>
    </row>
    <row r="2741" spans="1:16" ht="15" x14ac:dyDescent="0.2">
      <c r="A2741"/>
      <c r="B2741"/>
      <c r="C2741"/>
      <c r="D2741"/>
      <c r="E2741"/>
      <c r="F2741"/>
      <c r="G2741"/>
      <c r="H2741"/>
      <c r="I2741"/>
      <c r="J2741"/>
      <c r="K2741"/>
      <c r="L2741"/>
      <c r="M2741" s="16"/>
      <c r="N2741"/>
      <c r="O2741"/>
      <c r="P2741"/>
    </row>
    <row r="2742" spans="1:16" ht="15" x14ac:dyDescent="0.2">
      <c r="A2742"/>
      <c r="B2742"/>
      <c r="C2742"/>
      <c r="D2742"/>
      <c r="E2742"/>
      <c r="F2742"/>
      <c r="G2742"/>
      <c r="H2742"/>
      <c r="I2742"/>
      <c r="J2742"/>
      <c r="K2742"/>
      <c r="L2742"/>
      <c r="M2742" s="16"/>
      <c r="N2742"/>
      <c r="O2742"/>
      <c r="P2742"/>
    </row>
    <row r="2743" spans="1:16" ht="15" x14ac:dyDescent="0.2">
      <c r="A2743"/>
      <c r="B2743"/>
      <c r="C2743"/>
      <c r="D2743"/>
      <c r="E2743"/>
      <c r="F2743"/>
      <c r="G2743"/>
      <c r="H2743"/>
      <c r="I2743"/>
      <c r="J2743"/>
      <c r="K2743"/>
      <c r="L2743"/>
      <c r="M2743" s="16"/>
      <c r="N2743"/>
      <c r="O2743"/>
      <c r="P2743"/>
    </row>
    <row r="2744" spans="1:16" ht="15" x14ac:dyDescent="0.2">
      <c r="A2744"/>
      <c r="B2744"/>
      <c r="C2744"/>
      <c r="D2744"/>
      <c r="E2744"/>
      <c r="F2744"/>
      <c r="G2744"/>
      <c r="H2744"/>
      <c r="I2744"/>
      <c r="J2744"/>
      <c r="K2744"/>
      <c r="L2744"/>
      <c r="M2744" s="16"/>
      <c r="N2744"/>
      <c r="O2744"/>
      <c r="P2744"/>
    </row>
    <row r="2745" spans="1:16" ht="15" x14ac:dyDescent="0.2">
      <c r="A2745"/>
      <c r="B2745"/>
      <c r="C2745"/>
      <c r="D2745"/>
      <c r="E2745"/>
      <c r="F2745"/>
      <c r="G2745"/>
      <c r="H2745"/>
      <c r="I2745"/>
      <c r="J2745"/>
      <c r="K2745"/>
      <c r="L2745"/>
      <c r="M2745" s="16"/>
      <c r="N2745"/>
      <c r="O2745"/>
      <c r="P2745"/>
    </row>
    <row r="2746" spans="1:16" ht="15" x14ac:dyDescent="0.2">
      <c r="A2746"/>
      <c r="B2746"/>
      <c r="C2746"/>
      <c r="D2746"/>
      <c r="E2746"/>
      <c r="F2746"/>
      <c r="G2746"/>
      <c r="H2746"/>
      <c r="I2746"/>
      <c r="J2746"/>
      <c r="K2746"/>
      <c r="L2746"/>
      <c r="M2746" s="16"/>
      <c r="N2746"/>
      <c r="O2746"/>
      <c r="P2746"/>
    </row>
    <row r="2747" spans="1:16" ht="15" x14ac:dyDescent="0.2">
      <c r="A2747"/>
      <c r="B2747"/>
      <c r="C2747"/>
      <c r="D2747"/>
      <c r="E2747"/>
      <c r="F2747"/>
      <c r="G2747"/>
      <c r="H2747"/>
      <c r="I2747"/>
      <c r="J2747"/>
      <c r="K2747"/>
      <c r="L2747"/>
      <c r="M2747" s="16"/>
      <c r="N2747"/>
      <c r="O2747"/>
      <c r="P2747"/>
    </row>
    <row r="2748" spans="1:16" ht="15" x14ac:dyDescent="0.2">
      <c r="A2748"/>
      <c r="B2748"/>
      <c r="C2748"/>
      <c r="D2748"/>
      <c r="E2748"/>
      <c r="F2748"/>
      <c r="G2748"/>
      <c r="H2748"/>
      <c r="I2748"/>
      <c r="J2748"/>
      <c r="K2748"/>
      <c r="L2748"/>
      <c r="M2748" s="16"/>
      <c r="N2748"/>
      <c r="O2748"/>
      <c r="P2748"/>
    </row>
    <row r="2749" spans="1:16" ht="15" x14ac:dyDescent="0.2">
      <c r="A2749"/>
      <c r="B2749"/>
      <c r="C2749"/>
      <c r="D2749"/>
      <c r="E2749"/>
      <c r="F2749"/>
      <c r="G2749"/>
      <c r="H2749"/>
      <c r="I2749"/>
      <c r="J2749"/>
      <c r="K2749"/>
      <c r="L2749"/>
      <c r="M2749" s="16"/>
      <c r="N2749"/>
      <c r="O2749"/>
      <c r="P2749"/>
    </row>
    <row r="2750" spans="1:16" ht="15" x14ac:dyDescent="0.2">
      <c r="A2750"/>
      <c r="B2750"/>
      <c r="C2750"/>
      <c r="D2750"/>
      <c r="E2750"/>
      <c r="F2750"/>
      <c r="G2750"/>
      <c r="H2750"/>
      <c r="I2750"/>
      <c r="J2750"/>
      <c r="K2750"/>
      <c r="L2750"/>
      <c r="M2750" s="16"/>
      <c r="N2750"/>
      <c r="O2750"/>
      <c r="P2750"/>
    </row>
    <row r="2751" spans="1:16" ht="15" x14ac:dyDescent="0.2">
      <c r="A2751"/>
      <c r="B2751"/>
      <c r="C2751"/>
      <c r="D2751"/>
      <c r="E2751"/>
      <c r="F2751"/>
      <c r="G2751"/>
      <c r="H2751"/>
      <c r="I2751"/>
      <c r="J2751"/>
      <c r="K2751"/>
      <c r="L2751"/>
      <c r="M2751" s="16"/>
      <c r="N2751"/>
      <c r="O2751"/>
      <c r="P2751"/>
    </row>
    <row r="2752" spans="1:16" ht="15" x14ac:dyDescent="0.2">
      <c r="A2752"/>
      <c r="B2752"/>
      <c r="C2752"/>
      <c r="D2752"/>
      <c r="E2752"/>
      <c r="F2752"/>
      <c r="G2752"/>
      <c r="H2752"/>
      <c r="I2752"/>
      <c r="J2752"/>
      <c r="K2752"/>
      <c r="L2752"/>
      <c r="M2752" s="16"/>
      <c r="N2752"/>
      <c r="O2752"/>
      <c r="P2752"/>
    </row>
    <row r="2753" spans="1:16" ht="15" x14ac:dyDescent="0.2">
      <c r="A2753"/>
      <c r="B2753"/>
      <c r="C2753"/>
      <c r="D2753"/>
      <c r="E2753"/>
      <c r="F2753"/>
      <c r="G2753"/>
      <c r="H2753"/>
      <c r="I2753"/>
      <c r="J2753"/>
      <c r="K2753"/>
      <c r="L2753"/>
      <c r="M2753" s="16"/>
      <c r="N2753"/>
      <c r="O2753"/>
      <c r="P2753"/>
    </row>
    <row r="2754" spans="1:16" ht="15" x14ac:dyDescent="0.2">
      <c r="A2754"/>
      <c r="B2754"/>
      <c r="C2754"/>
      <c r="D2754"/>
      <c r="E2754"/>
      <c r="F2754"/>
      <c r="G2754"/>
      <c r="H2754"/>
      <c r="I2754"/>
      <c r="J2754"/>
      <c r="K2754"/>
      <c r="L2754"/>
      <c r="M2754" s="16"/>
      <c r="N2754"/>
      <c r="O2754"/>
      <c r="P2754"/>
    </row>
    <row r="2755" spans="1:16" ht="15" x14ac:dyDescent="0.2">
      <c r="A2755"/>
      <c r="B2755"/>
      <c r="C2755"/>
      <c r="D2755"/>
      <c r="E2755"/>
      <c r="F2755"/>
      <c r="G2755"/>
      <c r="H2755"/>
      <c r="I2755"/>
      <c r="J2755"/>
      <c r="K2755"/>
      <c r="L2755"/>
      <c r="M2755" s="16"/>
      <c r="N2755"/>
      <c r="O2755"/>
      <c r="P2755"/>
    </row>
    <row r="2756" spans="1:16" ht="15" x14ac:dyDescent="0.2">
      <c r="A2756"/>
      <c r="B2756"/>
      <c r="C2756"/>
      <c r="D2756"/>
      <c r="E2756"/>
      <c r="F2756"/>
      <c r="G2756"/>
      <c r="H2756"/>
      <c r="I2756"/>
      <c r="J2756"/>
      <c r="K2756"/>
      <c r="L2756"/>
      <c r="M2756" s="16"/>
      <c r="N2756"/>
      <c r="O2756"/>
      <c r="P2756"/>
    </row>
    <row r="2757" spans="1:16" ht="15" x14ac:dyDescent="0.2">
      <c r="A2757"/>
      <c r="B2757"/>
      <c r="C2757"/>
      <c r="D2757"/>
      <c r="E2757"/>
      <c r="F2757"/>
      <c r="G2757"/>
      <c r="H2757"/>
      <c r="I2757"/>
      <c r="J2757"/>
      <c r="K2757"/>
      <c r="L2757"/>
      <c r="M2757" s="16"/>
      <c r="N2757"/>
      <c r="O2757"/>
      <c r="P2757"/>
    </row>
    <row r="2758" spans="1:16" ht="15" x14ac:dyDescent="0.2">
      <c r="A2758"/>
      <c r="B2758"/>
      <c r="C2758"/>
      <c r="D2758"/>
      <c r="E2758"/>
      <c r="F2758"/>
      <c r="G2758"/>
      <c r="H2758"/>
      <c r="I2758"/>
      <c r="J2758"/>
      <c r="K2758"/>
      <c r="L2758"/>
      <c r="M2758" s="16"/>
      <c r="N2758"/>
      <c r="O2758"/>
      <c r="P2758"/>
    </row>
    <row r="2759" spans="1:16" ht="15" x14ac:dyDescent="0.2">
      <c r="A2759"/>
      <c r="B2759"/>
      <c r="C2759"/>
      <c r="D2759"/>
      <c r="E2759"/>
      <c r="F2759"/>
      <c r="G2759"/>
      <c r="H2759"/>
      <c r="I2759"/>
      <c r="J2759"/>
      <c r="K2759"/>
      <c r="L2759"/>
      <c r="M2759" s="16"/>
      <c r="N2759"/>
      <c r="O2759"/>
      <c r="P2759"/>
    </row>
    <row r="2760" spans="1:16" ht="15" x14ac:dyDescent="0.2">
      <c r="A2760"/>
      <c r="B2760"/>
      <c r="C2760"/>
      <c r="D2760"/>
      <c r="E2760"/>
      <c r="F2760"/>
      <c r="G2760"/>
      <c r="H2760"/>
      <c r="I2760"/>
      <c r="J2760"/>
      <c r="K2760"/>
      <c r="L2760"/>
      <c r="M2760" s="16"/>
      <c r="N2760"/>
      <c r="O2760"/>
      <c r="P2760"/>
    </row>
    <row r="2761" spans="1:16" ht="15" x14ac:dyDescent="0.2">
      <c r="A2761"/>
      <c r="B2761"/>
      <c r="C2761"/>
      <c r="D2761"/>
      <c r="E2761"/>
      <c r="F2761"/>
      <c r="G2761"/>
      <c r="H2761"/>
      <c r="I2761"/>
      <c r="J2761"/>
      <c r="K2761"/>
      <c r="L2761"/>
      <c r="M2761" s="16"/>
      <c r="N2761"/>
      <c r="O2761"/>
      <c r="P2761"/>
    </row>
    <row r="2762" spans="1:16" ht="15" x14ac:dyDescent="0.2">
      <c r="A2762"/>
      <c r="B2762"/>
      <c r="C2762"/>
      <c r="D2762"/>
      <c r="E2762"/>
      <c r="F2762"/>
      <c r="G2762"/>
      <c r="H2762"/>
      <c r="I2762"/>
      <c r="J2762"/>
      <c r="K2762"/>
      <c r="L2762"/>
      <c r="M2762" s="16"/>
      <c r="N2762"/>
      <c r="O2762"/>
      <c r="P2762"/>
    </row>
    <row r="2763" spans="1:16" ht="15" x14ac:dyDescent="0.2">
      <c r="A2763"/>
      <c r="B2763"/>
      <c r="C2763"/>
      <c r="D2763"/>
      <c r="E2763"/>
      <c r="F2763"/>
      <c r="G2763"/>
      <c r="H2763"/>
      <c r="I2763"/>
      <c r="J2763"/>
      <c r="K2763"/>
      <c r="L2763"/>
      <c r="M2763" s="16"/>
      <c r="N2763"/>
      <c r="O2763"/>
      <c r="P2763"/>
    </row>
    <row r="2764" spans="1:16" ht="15" x14ac:dyDescent="0.2">
      <c r="A2764"/>
      <c r="B2764"/>
      <c r="C2764"/>
      <c r="D2764"/>
      <c r="E2764"/>
      <c r="F2764"/>
      <c r="G2764"/>
      <c r="H2764"/>
      <c r="I2764"/>
      <c r="J2764"/>
      <c r="K2764"/>
      <c r="L2764"/>
      <c r="M2764" s="16"/>
      <c r="N2764"/>
      <c r="O2764"/>
      <c r="P2764"/>
    </row>
    <row r="2765" spans="1:16" ht="15" x14ac:dyDescent="0.2">
      <c r="A2765"/>
      <c r="B2765"/>
      <c r="C2765"/>
      <c r="D2765"/>
      <c r="E2765"/>
      <c r="F2765"/>
      <c r="G2765"/>
      <c r="H2765"/>
      <c r="I2765"/>
      <c r="J2765"/>
      <c r="K2765"/>
      <c r="L2765"/>
      <c r="M2765" s="16"/>
      <c r="N2765"/>
      <c r="O2765"/>
      <c r="P2765"/>
    </row>
    <row r="2766" spans="1:16" ht="15" x14ac:dyDescent="0.2">
      <c r="A2766"/>
      <c r="B2766"/>
      <c r="C2766"/>
      <c r="D2766"/>
      <c r="E2766"/>
      <c r="F2766"/>
      <c r="G2766"/>
      <c r="H2766"/>
      <c r="I2766"/>
      <c r="J2766"/>
      <c r="K2766"/>
      <c r="L2766"/>
      <c r="M2766" s="16"/>
      <c r="N2766"/>
      <c r="O2766"/>
      <c r="P2766"/>
    </row>
    <row r="2767" spans="1:16" ht="15" x14ac:dyDescent="0.2">
      <c r="A2767"/>
      <c r="B2767"/>
      <c r="C2767"/>
      <c r="D2767"/>
      <c r="E2767"/>
      <c r="F2767"/>
      <c r="G2767"/>
      <c r="H2767"/>
      <c r="I2767"/>
      <c r="J2767"/>
      <c r="K2767"/>
      <c r="L2767"/>
      <c r="M2767" s="16"/>
      <c r="N2767"/>
      <c r="O2767"/>
      <c r="P2767"/>
    </row>
    <row r="2768" spans="1:16" ht="15" x14ac:dyDescent="0.2">
      <c r="A2768"/>
      <c r="B2768"/>
      <c r="C2768"/>
      <c r="D2768"/>
      <c r="E2768"/>
      <c r="F2768"/>
      <c r="G2768"/>
      <c r="H2768"/>
      <c r="I2768"/>
      <c r="J2768"/>
      <c r="K2768"/>
      <c r="L2768"/>
      <c r="M2768" s="16"/>
      <c r="N2768"/>
      <c r="O2768"/>
      <c r="P2768"/>
    </row>
    <row r="2769" spans="1:16" ht="15" x14ac:dyDescent="0.2">
      <c r="A2769"/>
      <c r="B2769"/>
      <c r="C2769"/>
      <c r="D2769"/>
      <c r="E2769"/>
      <c r="F2769"/>
      <c r="G2769"/>
      <c r="H2769"/>
      <c r="I2769"/>
      <c r="J2769"/>
      <c r="K2769"/>
      <c r="L2769"/>
      <c r="M2769" s="16"/>
      <c r="N2769"/>
      <c r="O2769"/>
      <c r="P2769"/>
    </row>
    <row r="2770" spans="1:16" ht="15" x14ac:dyDescent="0.2">
      <c r="A2770"/>
      <c r="B2770"/>
      <c r="C2770"/>
      <c r="D2770"/>
      <c r="E2770"/>
      <c r="F2770"/>
      <c r="G2770"/>
      <c r="H2770"/>
      <c r="I2770"/>
      <c r="J2770"/>
      <c r="K2770"/>
      <c r="L2770"/>
      <c r="M2770" s="16"/>
      <c r="N2770"/>
      <c r="O2770"/>
      <c r="P2770"/>
    </row>
    <row r="2771" spans="1:16" ht="15" x14ac:dyDescent="0.2">
      <c r="A2771"/>
      <c r="B2771"/>
      <c r="C2771"/>
      <c r="D2771"/>
      <c r="E2771"/>
      <c r="F2771"/>
      <c r="G2771"/>
      <c r="H2771"/>
      <c r="I2771"/>
      <c r="J2771"/>
      <c r="K2771"/>
      <c r="L2771"/>
      <c r="M2771" s="16"/>
      <c r="N2771"/>
      <c r="O2771"/>
      <c r="P2771"/>
    </row>
    <row r="2772" spans="1:16" ht="15" x14ac:dyDescent="0.2">
      <c r="A2772"/>
      <c r="B2772"/>
      <c r="C2772"/>
      <c r="D2772"/>
      <c r="E2772"/>
      <c r="F2772"/>
      <c r="G2772"/>
      <c r="H2772"/>
      <c r="I2772"/>
      <c r="J2772"/>
      <c r="K2772"/>
      <c r="L2772"/>
      <c r="M2772" s="16"/>
      <c r="N2772"/>
      <c r="O2772"/>
      <c r="P2772"/>
    </row>
    <row r="2773" spans="1:16" ht="15" x14ac:dyDescent="0.2">
      <c r="A2773"/>
      <c r="B2773"/>
      <c r="C2773"/>
      <c r="D2773"/>
      <c r="E2773"/>
      <c r="F2773"/>
      <c r="G2773"/>
      <c r="H2773"/>
      <c r="I2773"/>
      <c r="J2773"/>
      <c r="K2773"/>
      <c r="L2773"/>
      <c r="M2773" s="16"/>
      <c r="N2773"/>
      <c r="O2773"/>
      <c r="P2773"/>
    </row>
    <row r="2774" spans="1:16" ht="15" x14ac:dyDescent="0.2">
      <c r="A2774"/>
      <c r="B2774"/>
      <c r="C2774"/>
      <c r="D2774"/>
      <c r="E2774"/>
      <c r="F2774"/>
      <c r="G2774"/>
      <c r="H2774"/>
      <c r="I2774"/>
      <c r="J2774"/>
      <c r="K2774"/>
      <c r="L2774"/>
      <c r="M2774" s="16"/>
      <c r="N2774"/>
      <c r="O2774"/>
      <c r="P2774"/>
    </row>
    <row r="2775" spans="1:16" ht="15" x14ac:dyDescent="0.2">
      <c r="A2775"/>
      <c r="B2775"/>
      <c r="C2775"/>
      <c r="D2775"/>
      <c r="E2775"/>
      <c r="F2775"/>
      <c r="G2775"/>
      <c r="H2775"/>
      <c r="I2775"/>
      <c r="J2775"/>
      <c r="K2775"/>
      <c r="L2775"/>
      <c r="M2775" s="16"/>
      <c r="N2775"/>
      <c r="O2775"/>
      <c r="P2775"/>
    </row>
    <row r="2776" spans="1:16" ht="15" x14ac:dyDescent="0.2">
      <c r="A2776"/>
      <c r="B2776"/>
      <c r="C2776"/>
      <c r="D2776"/>
      <c r="E2776"/>
      <c r="F2776"/>
      <c r="G2776"/>
      <c r="H2776"/>
      <c r="I2776"/>
      <c r="J2776"/>
      <c r="K2776"/>
      <c r="L2776"/>
      <c r="M2776" s="16"/>
      <c r="N2776"/>
      <c r="O2776"/>
      <c r="P2776"/>
    </row>
    <row r="2777" spans="1:16" ht="15" x14ac:dyDescent="0.2">
      <c r="A2777"/>
      <c r="B2777"/>
      <c r="C2777"/>
      <c r="D2777"/>
      <c r="E2777"/>
      <c r="F2777"/>
      <c r="G2777"/>
      <c r="H2777"/>
      <c r="I2777"/>
      <c r="J2777"/>
      <c r="K2777"/>
      <c r="L2777"/>
      <c r="M2777" s="16"/>
      <c r="N2777"/>
      <c r="O2777"/>
      <c r="P2777"/>
    </row>
    <row r="2778" spans="1:16" ht="15" x14ac:dyDescent="0.2">
      <c r="A2778"/>
      <c r="B2778"/>
      <c r="C2778"/>
      <c r="D2778"/>
      <c r="E2778"/>
      <c r="F2778"/>
      <c r="G2778"/>
      <c r="H2778"/>
      <c r="I2778"/>
      <c r="J2778"/>
      <c r="K2778"/>
      <c r="L2778"/>
      <c r="M2778" s="16"/>
      <c r="N2778"/>
      <c r="O2778"/>
      <c r="P2778"/>
    </row>
    <row r="2779" spans="1:16" ht="15" x14ac:dyDescent="0.2">
      <c r="A2779"/>
      <c r="B2779"/>
      <c r="C2779"/>
      <c r="D2779"/>
      <c r="E2779"/>
      <c r="F2779"/>
      <c r="G2779"/>
      <c r="H2779"/>
      <c r="I2779"/>
      <c r="J2779"/>
      <c r="K2779"/>
      <c r="L2779"/>
      <c r="M2779" s="16"/>
      <c r="N2779"/>
      <c r="O2779"/>
      <c r="P2779"/>
    </row>
    <row r="2780" spans="1:16" ht="15" x14ac:dyDescent="0.2">
      <c r="A2780"/>
      <c r="B2780"/>
      <c r="C2780"/>
      <c r="D2780"/>
      <c r="E2780"/>
      <c r="F2780"/>
      <c r="G2780"/>
      <c r="H2780"/>
      <c r="I2780"/>
      <c r="J2780"/>
      <c r="K2780"/>
      <c r="L2780"/>
      <c r="M2780" s="16"/>
      <c r="N2780"/>
      <c r="O2780"/>
      <c r="P2780"/>
    </row>
    <row r="2781" spans="1:16" ht="15" x14ac:dyDescent="0.2">
      <c r="A2781"/>
      <c r="B2781"/>
      <c r="C2781"/>
      <c r="D2781"/>
      <c r="E2781"/>
      <c r="F2781"/>
      <c r="G2781"/>
      <c r="H2781"/>
      <c r="I2781"/>
      <c r="J2781"/>
      <c r="K2781"/>
      <c r="L2781"/>
      <c r="M2781" s="16"/>
      <c r="N2781"/>
      <c r="O2781"/>
      <c r="P2781"/>
    </row>
    <row r="2782" spans="1:16" ht="15" x14ac:dyDescent="0.2">
      <c r="A2782"/>
      <c r="B2782"/>
      <c r="C2782"/>
      <c r="D2782"/>
      <c r="E2782"/>
      <c r="F2782"/>
      <c r="G2782"/>
      <c r="H2782"/>
      <c r="I2782"/>
      <c r="J2782"/>
      <c r="K2782"/>
      <c r="L2782"/>
      <c r="M2782" s="16"/>
      <c r="N2782"/>
      <c r="O2782"/>
      <c r="P2782"/>
    </row>
    <row r="2783" spans="1:16" ht="15" x14ac:dyDescent="0.2">
      <c r="A2783"/>
      <c r="B2783"/>
      <c r="C2783"/>
      <c r="D2783"/>
      <c r="E2783"/>
      <c r="F2783"/>
      <c r="G2783"/>
      <c r="H2783"/>
      <c r="I2783"/>
      <c r="J2783"/>
      <c r="K2783"/>
      <c r="L2783"/>
      <c r="M2783" s="16"/>
      <c r="N2783"/>
      <c r="O2783"/>
      <c r="P2783"/>
    </row>
    <row r="2784" spans="1:16" ht="15" x14ac:dyDescent="0.2">
      <c r="A2784"/>
      <c r="B2784"/>
      <c r="C2784"/>
      <c r="D2784"/>
      <c r="E2784"/>
      <c r="F2784"/>
      <c r="G2784"/>
      <c r="H2784"/>
      <c r="I2784"/>
      <c r="J2784"/>
      <c r="K2784"/>
      <c r="L2784"/>
      <c r="M2784" s="16"/>
      <c r="N2784"/>
      <c r="O2784"/>
      <c r="P2784"/>
    </row>
    <row r="2785" spans="1:16" ht="15" x14ac:dyDescent="0.2">
      <c r="A2785"/>
      <c r="B2785"/>
      <c r="C2785"/>
      <c r="D2785"/>
      <c r="E2785"/>
      <c r="F2785"/>
      <c r="G2785"/>
      <c r="H2785"/>
      <c r="I2785"/>
      <c r="J2785"/>
      <c r="K2785"/>
      <c r="L2785"/>
      <c r="M2785" s="16"/>
      <c r="N2785"/>
      <c r="O2785"/>
      <c r="P2785"/>
    </row>
    <row r="2786" spans="1:16" ht="15" x14ac:dyDescent="0.2">
      <c r="A2786"/>
      <c r="B2786"/>
      <c r="C2786"/>
      <c r="D2786"/>
      <c r="E2786"/>
      <c r="F2786"/>
      <c r="G2786"/>
      <c r="H2786"/>
      <c r="I2786"/>
      <c r="J2786"/>
      <c r="K2786"/>
      <c r="L2786"/>
      <c r="M2786" s="16"/>
      <c r="N2786"/>
      <c r="O2786"/>
      <c r="P2786"/>
    </row>
    <row r="2787" spans="1:16" ht="15" x14ac:dyDescent="0.2">
      <c r="A2787"/>
      <c r="B2787"/>
      <c r="C2787"/>
      <c r="D2787"/>
      <c r="E2787"/>
      <c r="F2787"/>
      <c r="G2787"/>
      <c r="H2787"/>
      <c r="I2787"/>
      <c r="J2787"/>
      <c r="K2787"/>
      <c r="L2787"/>
      <c r="M2787" s="16"/>
      <c r="N2787"/>
      <c r="O2787"/>
      <c r="P2787"/>
    </row>
    <row r="2788" spans="1:16" ht="15" x14ac:dyDescent="0.2">
      <c r="A2788"/>
      <c r="B2788"/>
      <c r="C2788"/>
      <c r="D2788"/>
      <c r="E2788"/>
      <c r="F2788"/>
      <c r="G2788"/>
      <c r="H2788"/>
      <c r="I2788"/>
      <c r="J2788"/>
      <c r="K2788"/>
      <c r="L2788"/>
      <c r="M2788" s="16"/>
      <c r="N2788"/>
      <c r="O2788"/>
      <c r="P2788"/>
    </row>
    <row r="2789" spans="1:16" ht="15" x14ac:dyDescent="0.2">
      <c r="A2789"/>
      <c r="B2789"/>
      <c r="C2789"/>
      <c r="D2789"/>
      <c r="E2789"/>
      <c r="F2789"/>
      <c r="G2789"/>
      <c r="H2789"/>
      <c r="I2789"/>
      <c r="J2789"/>
      <c r="K2789"/>
      <c r="L2789"/>
      <c r="M2789" s="16"/>
      <c r="N2789"/>
      <c r="O2789"/>
      <c r="P2789"/>
    </row>
    <row r="2790" spans="1:16" ht="15" x14ac:dyDescent="0.2">
      <c r="A2790"/>
      <c r="B2790"/>
      <c r="C2790"/>
      <c r="D2790"/>
      <c r="E2790"/>
      <c r="F2790"/>
      <c r="G2790"/>
      <c r="H2790"/>
      <c r="I2790"/>
      <c r="J2790"/>
      <c r="K2790"/>
      <c r="L2790"/>
      <c r="M2790" s="16"/>
      <c r="N2790"/>
      <c r="O2790"/>
      <c r="P2790"/>
    </row>
    <row r="2791" spans="1:16" ht="15" x14ac:dyDescent="0.2">
      <c r="A2791"/>
      <c r="B2791"/>
      <c r="C2791"/>
      <c r="D2791"/>
      <c r="E2791"/>
      <c r="F2791"/>
      <c r="G2791"/>
      <c r="H2791"/>
      <c r="I2791"/>
      <c r="J2791"/>
      <c r="K2791"/>
      <c r="L2791"/>
      <c r="M2791" s="16"/>
      <c r="N2791"/>
      <c r="O2791"/>
      <c r="P2791"/>
    </row>
    <row r="2792" spans="1:16" ht="15" x14ac:dyDescent="0.2">
      <c r="A2792"/>
      <c r="B2792"/>
      <c r="C2792"/>
      <c r="D2792"/>
      <c r="E2792"/>
      <c r="F2792"/>
      <c r="G2792"/>
      <c r="H2792"/>
      <c r="I2792"/>
      <c r="J2792"/>
      <c r="K2792"/>
      <c r="L2792"/>
      <c r="M2792" s="16"/>
      <c r="N2792"/>
      <c r="O2792"/>
      <c r="P2792"/>
    </row>
    <row r="2793" spans="1:16" ht="15" x14ac:dyDescent="0.2">
      <c r="A2793"/>
      <c r="B2793"/>
      <c r="C2793"/>
      <c r="D2793"/>
      <c r="E2793"/>
      <c r="F2793"/>
      <c r="G2793"/>
      <c r="H2793"/>
      <c r="I2793"/>
      <c r="J2793"/>
      <c r="K2793"/>
      <c r="L2793"/>
      <c r="M2793" s="16"/>
      <c r="N2793"/>
      <c r="O2793"/>
      <c r="P2793"/>
    </row>
    <row r="2794" spans="1:16" ht="15" x14ac:dyDescent="0.2">
      <c r="A2794"/>
      <c r="B2794"/>
      <c r="C2794"/>
      <c r="D2794"/>
      <c r="E2794"/>
      <c r="F2794"/>
      <c r="G2794"/>
      <c r="H2794"/>
      <c r="I2794"/>
      <c r="J2794"/>
      <c r="K2794"/>
      <c r="L2794"/>
      <c r="M2794" s="16"/>
      <c r="N2794"/>
      <c r="O2794"/>
      <c r="P2794"/>
    </row>
    <row r="2795" spans="1:16" ht="15" x14ac:dyDescent="0.2">
      <c r="A2795"/>
      <c r="B2795"/>
      <c r="C2795"/>
      <c r="D2795"/>
      <c r="E2795"/>
      <c r="F2795"/>
      <c r="G2795"/>
      <c r="H2795"/>
      <c r="I2795"/>
      <c r="J2795"/>
      <c r="K2795"/>
      <c r="L2795"/>
      <c r="M2795" s="16"/>
      <c r="N2795"/>
      <c r="O2795"/>
      <c r="P2795"/>
    </row>
    <row r="2796" spans="1:16" ht="15" x14ac:dyDescent="0.2">
      <c r="A2796"/>
      <c r="B2796"/>
      <c r="C2796"/>
      <c r="D2796"/>
      <c r="E2796"/>
      <c r="F2796"/>
      <c r="G2796"/>
      <c r="H2796"/>
      <c r="I2796"/>
      <c r="J2796"/>
      <c r="K2796"/>
      <c r="L2796"/>
      <c r="M2796" s="16"/>
      <c r="N2796"/>
      <c r="O2796"/>
      <c r="P2796"/>
    </row>
    <row r="2797" spans="1:16" ht="15" x14ac:dyDescent="0.2">
      <c r="A2797"/>
      <c r="B2797"/>
      <c r="C2797"/>
      <c r="D2797"/>
      <c r="E2797"/>
      <c r="F2797"/>
      <c r="G2797"/>
      <c r="H2797"/>
      <c r="I2797"/>
      <c r="J2797"/>
      <c r="K2797"/>
      <c r="L2797"/>
      <c r="M2797" s="16"/>
      <c r="N2797"/>
      <c r="O2797"/>
      <c r="P2797"/>
    </row>
    <row r="2798" spans="1:16" ht="15" x14ac:dyDescent="0.2">
      <c r="A2798"/>
      <c r="B2798"/>
      <c r="C2798"/>
      <c r="D2798"/>
      <c r="E2798"/>
      <c r="F2798"/>
      <c r="G2798"/>
      <c r="H2798"/>
      <c r="I2798"/>
      <c r="J2798"/>
      <c r="K2798"/>
      <c r="L2798"/>
      <c r="M2798" s="16"/>
      <c r="N2798"/>
      <c r="O2798"/>
      <c r="P2798"/>
    </row>
    <row r="2799" spans="1:16" ht="15" x14ac:dyDescent="0.2">
      <c r="A2799"/>
      <c r="B2799"/>
      <c r="C2799"/>
      <c r="D2799"/>
      <c r="E2799"/>
      <c r="F2799"/>
      <c r="G2799"/>
      <c r="H2799"/>
      <c r="I2799"/>
      <c r="J2799"/>
      <c r="K2799"/>
      <c r="L2799"/>
      <c r="M2799" s="16"/>
      <c r="N2799"/>
      <c r="O2799"/>
      <c r="P2799"/>
    </row>
    <row r="2800" spans="1:16" ht="15" x14ac:dyDescent="0.2">
      <c r="A2800"/>
      <c r="B2800"/>
      <c r="C2800"/>
      <c r="D2800"/>
      <c r="E2800"/>
      <c r="F2800"/>
      <c r="G2800"/>
      <c r="H2800"/>
      <c r="I2800"/>
      <c r="J2800"/>
      <c r="K2800"/>
      <c r="L2800"/>
      <c r="M2800" s="16"/>
      <c r="N2800"/>
      <c r="O2800"/>
      <c r="P2800"/>
    </row>
    <row r="2801" spans="1:16" ht="15" x14ac:dyDescent="0.2">
      <c r="A2801"/>
      <c r="B2801"/>
      <c r="C2801"/>
      <c r="D2801"/>
      <c r="E2801"/>
      <c r="F2801"/>
      <c r="G2801"/>
      <c r="H2801"/>
      <c r="I2801"/>
      <c r="J2801"/>
      <c r="K2801"/>
      <c r="L2801"/>
      <c r="M2801" s="16"/>
      <c r="N2801"/>
      <c r="O2801"/>
      <c r="P2801"/>
    </row>
    <row r="2802" spans="1:16" ht="15" x14ac:dyDescent="0.2">
      <c r="A2802"/>
      <c r="B2802"/>
      <c r="C2802"/>
      <c r="D2802"/>
      <c r="E2802"/>
      <c r="F2802"/>
      <c r="G2802"/>
      <c r="H2802"/>
      <c r="I2802"/>
      <c r="J2802"/>
      <c r="K2802"/>
      <c r="L2802"/>
      <c r="M2802" s="16"/>
      <c r="N2802"/>
      <c r="O2802"/>
      <c r="P2802"/>
    </row>
    <row r="2803" spans="1:16" ht="15" x14ac:dyDescent="0.2">
      <c r="A2803"/>
      <c r="B2803"/>
      <c r="C2803"/>
      <c r="D2803"/>
      <c r="E2803"/>
      <c r="F2803"/>
      <c r="G2803"/>
      <c r="H2803"/>
      <c r="I2803"/>
      <c r="J2803"/>
      <c r="K2803"/>
      <c r="L2803"/>
      <c r="M2803" s="16"/>
      <c r="N2803"/>
      <c r="O2803"/>
      <c r="P2803"/>
    </row>
    <row r="2804" spans="1:16" ht="15" x14ac:dyDescent="0.2">
      <c r="A2804"/>
      <c r="B2804"/>
      <c r="C2804"/>
      <c r="D2804"/>
      <c r="E2804"/>
      <c r="F2804"/>
      <c r="G2804"/>
      <c r="H2804"/>
      <c r="I2804"/>
      <c r="J2804"/>
      <c r="K2804"/>
      <c r="L2804"/>
      <c r="M2804" s="16"/>
      <c r="N2804"/>
      <c r="O2804"/>
      <c r="P2804"/>
    </row>
    <row r="2805" spans="1:16" ht="15" x14ac:dyDescent="0.2">
      <c r="A2805"/>
      <c r="B2805"/>
      <c r="C2805"/>
      <c r="D2805"/>
      <c r="E2805"/>
      <c r="F2805"/>
      <c r="G2805"/>
      <c r="H2805"/>
      <c r="I2805"/>
      <c r="J2805"/>
      <c r="K2805"/>
      <c r="L2805"/>
      <c r="M2805" s="16"/>
      <c r="N2805"/>
      <c r="O2805"/>
      <c r="P2805"/>
    </row>
    <row r="2806" spans="1:16" ht="15" x14ac:dyDescent="0.2">
      <c r="A2806"/>
      <c r="B2806"/>
      <c r="C2806"/>
      <c r="D2806"/>
      <c r="E2806"/>
      <c r="F2806"/>
      <c r="G2806"/>
      <c r="H2806"/>
      <c r="I2806"/>
      <c r="J2806"/>
      <c r="K2806"/>
      <c r="L2806"/>
      <c r="M2806" s="16"/>
      <c r="N2806"/>
      <c r="O2806"/>
      <c r="P2806"/>
    </row>
    <row r="2807" spans="1:16" ht="15" x14ac:dyDescent="0.2">
      <c r="A2807"/>
      <c r="B2807"/>
      <c r="C2807"/>
      <c r="D2807"/>
      <c r="E2807"/>
      <c r="F2807"/>
      <c r="G2807"/>
      <c r="H2807"/>
      <c r="I2807"/>
      <c r="J2807"/>
      <c r="K2807"/>
      <c r="L2807"/>
      <c r="M2807" s="16"/>
      <c r="N2807"/>
      <c r="O2807"/>
      <c r="P2807"/>
    </row>
    <row r="2808" spans="1:16" ht="15" x14ac:dyDescent="0.2">
      <c r="A2808"/>
      <c r="B2808"/>
      <c r="C2808"/>
      <c r="D2808"/>
      <c r="E2808"/>
      <c r="F2808"/>
      <c r="G2808"/>
      <c r="H2808"/>
      <c r="I2808"/>
      <c r="J2808"/>
      <c r="K2808"/>
      <c r="L2808"/>
      <c r="M2808" s="16"/>
      <c r="N2808"/>
      <c r="O2808"/>
      <c r="P2808"/>
    </row>
    <row r="2809" spans="1:16" ht="15" x14ac:dyDescent="0.2">
      <c r="A2809"/>
      <c r="B2809"/>
      <c r="C2809"/>
      <c r="D2809"/>
      <c r="E2809"/>
      <c r="F2809"/>
      <c r="G2809"/>
      <c r="H2809"/>
      <c r="I2809"/>
      <c r="J2809"/>
      <c r="K2809"/>
      <c r="L2809"/>
      <c r="M2809" s="16"/>
      <c r="N2809"/>
      <c r="O2809"/>
      <c r="P2809"/>
    </row>
    <row r="2810" spans="1:16" ht="15" x14ac:dyDescent="0.2">
      <c r="A2810"/>
      <c r="B2810"/>
      <c r="C2810"/>
      <c r="D2810"/>
      <c r="E2810"/>
      <c r="F2810"/>
      <c r="G2810"/>
      <c r="H2810"/>
      <c r="I2810"/>
      <c r="J2810"/>
      <c r="K2810"/>
      <c r="L2810"/>
      <c r="M2810" s="16"/>
      <c r="N2810"/>
      <c r="O2810"/>
      <c r="P2810"/>
    </row>
    <row r="2811" spans="1:16" ht="15" x14ac:dyDescent="0.2">
      <c r="A2811"/>
      <c r="B2811"/>
      <c r="C2811"/>
      <c r="D2811"/>
      <c r="E2811"/>
      <c r="F2811"/>
      <c r="G2811"/>
      <c r="H2811"/>
      <c r="I2811"/>
      <c r="J2811"/>
      <c r="K2811"/>
      <c r="L2811"/>
      <c r="M2811" s="16"/>
      <c r="N2811"/>
      <c r="O2811"/>
      <c r="P2811"/>
    </row>
    <row r="2812" spans="1:16" ht="15" x14ac:dyDescent="0.2">
      <c r="A2812"/>
      <c r="B2812"/>
      <c r="C2812"/>
      <c r="D2812"/>
      <c r="E2812"/>
      <c r="F2812"/>
      <c r="G2812"/>
      <c r="H2812"/>
      <c r="I2812"/>
      <c r="J2812"/>
      <c r="K2812"/>
      <c r="L2812"/>
      <c r="M2812" s="16"/>
      <c r="N2812"/>
      <c r="O2812"/>
      <c r="P2812"/>
    </row>
    <row r="2813" spans="1:16" ht="15" x14ac:dyDescent="0.2">
      <c r="A2813"/>
      <c r="B2813"/>
      <c r="C2813"/>
      <c r="D2813"/>
      <c r="E2813"/>
      <c r="F2813"/>
      <c r="G2813"/>
      <c r="H2813"/>
      <c r="I2813"/>
      <c r="J2813"/>
      <c r="K2813"/>
      <c r="L2813"/>
      <c r="M2813" s="16"/>
      <c r="N2813"/>
      <c r="O2813"/>
      <c r="P2813"/>
    </row>
    <row r="2814" spans="1:16" ht="15" x14ac:dyDescent="0.2">
      <c r="A2814"/>
      <c r="B2814"/>
      <c r="C2814"/>
      <c r="D2814"/>
      <c r="E2814"/>
      <c r="F2814"/>
      <c r="G2814"/>
      <c r="H2814"/>
      <c r="I2814"/>
      <c r="J2814"/>
      <c r="K2814"/>
      <c r="L2814"/>
      <c r="M2814" s="16"/>
      <c r="N2814"/>
      <c r="O2814"/>
      <c r="P2814"/>
    </row>
    <row r="2815" spans="1:16" ht="15" x14ac:dyDescent="0.2">
      <c r="A2815"/>
      <c r="B2815"/>
      <c r="C2815"/>
      <c r="D2815"/>
      <c r="E2815"/>
      <c r="F2815"/>
      <c r="G2815"/>
      <c r="H2815"/>
      <c r="I2815"/>
      <c r="J2815"/>
      <c r="K2815"/>
      <c r="L2815"/>
      <c r="M2815" s="16"/>
      <c r="N2815"/>
      <c r="O2815"/>
      <c r="P2815"/>
    </row>
    <row r="2816" spans="1:16" ht="15" x14ac:dyDescent="0.2">
      <c r="A2816"/>
      <c r="B2816"/>
      <c r="C2816"/>
      <c r="D2816"/>
      <c r="E2816"/>
      <c r="F2816"/>
      <c r="G2816"/>
      <c r="H2816"/>
      <c r="I2816"/>
      <c r="J2816"/>
      <c r="K2816"/>
      <c r="L2816"/>
      <c r="M2816" s="16"/>
      <c r="N2816"/>
      <c r="O2816"/>
      <c r="P2816"/>
    </row>
    <row r="2817" spans="1:16" ht="15" x14ac:dyDescent="0.2">
      <c r="A2817"/>
      <c r="B2817"/>
      <c r="C2817"/>
      <c r="D2817"/>
      <c r="E2817"/>
      <c r="F2817"/>
      <c r="G2817"/>
      <c r="H2817"/>
      <c r="I2817"/>
      <c r="J2817"/>
      <c r="K2817"/>
      <c r="L2817"/>
      <c r="M2817" s="16"/>
      <c r="N2817"/>
      <c r="O2817"/>
      <c r="P2817"/>
    </row>
    <row r="2818" spans="1:16" ht="15" x14ac:dyDescent="0.2">
      <c r="A2818"/>
      <c r="B2818"/>
      <c r="C2818"/>
      <c r="D2818"/>
      <c r="E2818"/>
      <c r="F2818"/>
      <c r="G2818"/>
      <c r="H2818"/>
      <c r="I2818"/>
      <c r="J2818"/>
      <c r="K2818"/>
      <c r="L2818"/>
      <c r="M2818" s="16"/>
      <c r="N2818"/>
      <c r="O2818"/>
      <c r="P2818"/>
    </row>
    <row r="2819" spans="1:16" ht="15" x14ac:dyDescent="0.2">
      <c r="A2819"/>
      <c r="B2819"/>
      <c r="C2819"/>
      <c r="D2819"/>
      <c r="E2819"/>
      <c r="F2819"/>
      <c r="G2819"/>
      <c r="H2819"/>
      <c r="I2819"/>
      <c r="J2819"/>
      <c r="K2819"/>
      <c r="L2819"/>
      <c r="M2819" s="16"/>
      <c r="N2819"/>
      <c r="O2819"/>
      <c r="P2819"/>
    </row>
    <row r="2820" spans="1:16" ht="15" x14ac:dyDescent="0.2">
      <c r="A2820"/>
      <c r="B2820"/>
      <c r="C2820"/>
      <c r="D2820"/>
      <c r="E2820"/>
      <c r="F2820"/>
      <c r="G2820"/>
      <c r="H2820"/>
      <c r="I2820"/>
      <c r="J2820"/>
      <c r="K2820"/>
      <c r="L2820"/>
      <c r="M2820" s="16"/>
      <c r="N2820"/>
      <c r="O2820"/>
      <c r="P2820"/>
    </row>
    <row r="2821" spans="1:16" ht="15" x14ac:dyDescent="0.2">
      <c r="A2821"/>
      <c r="B2821"/>
      <c r="C2821"/>
      <c r="D2821"/>
      <c r="E2821"/>
      <c r="F2821"/>
      <c r="G2821"/>
      <c r="H2821"/>
      <c r="I2821"/>
      <c r="J2821"/>
      <c r="K2821"/>
      <c r="L2821"/>
      <c r="M2821" s="16"/>
      <c r="N2821"/>
      <c r="O2821"/>
      <c r="P2821"/>
    </row>
    <row r="2822" spans="1:16" ht="15" x14ac:dyDescent="0.2">
      <c r="A2822"/>
      <c r="B2822"/>
      <c r="C2822"/>
      <c r="D2822"/>
      <c r="E2822"/>
      <c r="F2822"/>
      <c r="G2822"/>
      <c r="H2822"/>
      <c r="I2822"/>
      <c r="J2822"/>
      <c r="K2822"/>
      <c r="L2822"/>
      <c r="M2822" s="16"/>
      <c r="N2822"/>
      <c r="O2822"/>
      <c r="P2822"/>
    </row>
    <row r="2823" spans="1:16" ht="15" x14ac:dyDescent="0.2">
      <c r="A2823"/>
      <c r="B2823"/>
      <c r="C2823"/>
      <c r="D2823"/>
      <c r="E2823"/>
      <c r="F2823"/>
      <c r="G2823"/>
      <c r="H2823"/>
      <c r="I2823"/>
      <c r="J2823"/>
      <c r="K2823"/>
      <c r="L2823"/>
      <c r="M2823" s="16"/>
      <c r="N2823"/>
      <c r="O2823"/>
      <c r="P2823"/>
    </row>
    <row r="2824" spans="1:16" ht="15" x14ac:dyDescent="0.2">
      <c r="A2824"/>
      <c r="B2824"/>
      <c r="C2824"/>
      <c r="D2824"/>
      <c r="E2824"/>
      <c r="F2824"/>
      <c r="G2824"/>
      <c r="H2824"/>
      <c r="I2824"/>
      <c r="J2824"/>
      <c r="K2824"/>
      <c r="L2824"/>
      <c r="M2824" s="16"/>
      <c r="N2824"/>
      <c r="O2824"/>
      <c r="P2824"/>
    </row>
    <row r="2825" spans="1:16" ht="15" x14ac:dyDescent="0.2">
      <c r="A2825"/>
      <c r="B2825"/>
      <c r="C2825"/>
      <c r="D2825"/>
      <c r="E2825"/>
      <c r="F2825"/>
      <c r="G2825"/>
      <c r="H2825"/>
      <c r="I2825"/>
      <c r="J2825"/>
      <c r="K2825"/>
      <c r="L2825"/>
      <c r="M2825" s="16"/>
      <c r="N2825"/>
      <c r="O2825"/>
      <c r="P2825"/>
    </row>
    <row r="2826" spans="1:16" ht="15" x14ac:dyDescent="0.2">
      <c r="A2826"/>
      <c r="B2826"/>
      <c r="C2826"/>
      <c r="D2826"/>
      <c r="E2826"/>
      <c r="F2826"/>
      <c r="G2826"/>
      <c r="H2826"/>
      <c r="I2826"/>
      <c r="J2826"/>
      <c r="K2826"/>
      <c r="L2826"/>
      <c r="M2826" s="16"/>
      <c r="N2826"/>
      <c r="O2826"/>
      <c r="P2826"/>
    </row>
    <row r="2827" spans="1:16" ht="15" x14ac:dyDescent="0.2">
      <c r="A2827"/>
      <c r="B2827"/>
      <c r="C2827"/>
      <c r="D2827"/>
      <c r="E2827"/>
      <c r="F2827"/>
      <c r="G2827"/>
      <c r="H2827"/>
      <c r="I2827"/>
      <c r="J2827"/>
      <c r="K2827"/>
      <c r="L2827"/>
      <c r="M2827" s="16"/>
      <c r="N2827"/>
      <c r="O2827"/>
      <c r="P2827"/>
    </row>
    <row r="2828" spans="1:16" ht="15" x14ac:dyDescent="0.2">
      <c r="A2828"/>
      <c r="B2828"/>
      <c r="C2828"/>
      <c r="D2828"/>
      <c r="E2828"/>
      <c r="F2828"/>
      <c r="G2828"/>
      <c r="H2828"/>
      <c r="I2828"/>
      <c r="J2828"/>
      <c r="K2828"/>
      <c r="L2828"/>
      <c r="M2828" s="16"/>
      <c r="N2828"/>
      <c r="O2828"/>
      <c r="P2828"/>
    </row>
    <row r="2829" spans="1:16" ht="15" x14ac:dyDescent="0.2">
      <c r="A2829"/>
      <c r="B2829"/>
      <c r="C2829"/>
      <c r="D2829"/>
      <c r="E2829"/>
      <c r="F2829"/>
      <c r="G2829"/>
      <c r="H2829"/>
      <c r="I2829"/>
      <c r="J2829"/>
      <c r="K2829"/>
      <c r="L2829"/>
      <c r="M2829" s="16"/>
      <c r="N2829"/>
      <c r="O2829" s="13"/>
      <c r="P2829"/>
    </row>
    <row r="2830" spans="1:16" ht="15" x14ac:dyDescent="0.2">
      <c r="A2830"/>
      <c r="B2830"/>
      <c r="C2830"/>
      <c r="D2830"/>
      <c r="E2830"/>
      <c r="F2830"/>
      <c r="G2830"/>
      <c r="H2830"/>
      <c r="I2830"/>
      <c r="J2830"/>
      <c r="K2830"/>
      <c r="L2830"/>
      <c r="M2830" s="16"/>
      <c r="N2830"/>
      <c r="O2830"/>
      <c r="P2830"/>
    </row>
    <row r="2831" spans="1:16" ht="15" x14ac:dyDescent="0.2">
      <c r="A2831"/>
      <c r="B2831"/>
      <c r="C2831"/>
      <c r="D2831"/>
      <c r="E2831"/>
      <c r="F2831"/>
      <c r="G2831"/>
      <c r="H2831"/>
      <c r="I2831"/>
      <c r="J2831"/>
      <c r="K2831"/>
      <c r="L2831"/>
      <c r="M2831" s="16"/>
      <c r="N2831"/>
      <c r="O2831"/>
      <c r="P2831"/>
    </row>
    <row r="2832" spans="1:16" ht="15" x14ac:dyDescent="0.2">
      <c r="A2832"/>
      <c r="B2832"/>
      <c r="C2832"/>
      <c r="D2832"/>
      <c r="E2832"/>
      <c r="F2832"/>
      <c r="G2832"/>
      <c r="H2832"/>
      <c r="I2832"/>
      <c r="J2832"/>
      <c r="K2832"/>
      <c r="L2832"/>
      <c r="M2832" s="16"/>
      <c r="N2832"/>
      <c r="O2832"/>
      <c r="P2832"/>
    </row>
    <row r="2833" spans="1:16" ht="15" x14ac:dyDescent="0.2">
      <c r="A2833"/>
      <c r="B2833"/>
      <c r="C2833"/>
      <c r="D2833"/>
      <c r="E2833"/>
      <c r="F2833"/>
      <c r="G2833"/>
      <c r="H2833"/>
      <c r="I2833"/>
      <c r="J2833"/>
      <c r="K2833"/>
      <c r="L2833"/>
      <c r="M2833" s="16"/>
      <c r="N2833"/>
      <c r="O2833"/>
      <c r="P2833"/>
    </row>
    <row r="2834" spans="1:16" ht="15" x14ac:dyDescent="0.2">
      <c r="A2834"/>
      <c r="B2834"/>
      <c r="C2834"/>
      <c r="D2834"/>
      <c r="E2834"/>
      <c r="F2834"/>
      <c r="G2834"/>
      <c r="H2834"/>
      <c r="I2834"/>
      <c r="J2834"/>
      <c r="K2834"/>
      <c r="L2834"/>
      <c r="M2834" s="16"/>
      <c r="N2834"/>
      <c r="O2834"/>
      <c r="P2834"/>
    </row>
    <row r="2835" spans="1:16" ht="15" x14ac:dyDescent="0.2">
      <c r="A2835"/>
      <c r="B2835"/>
      <c r="C2835"/>
      <c r="D2835"/>
      <c r="E2835"/>
      <c r="F2835"/>
      <c r="G2835"/>
      <c r="H2835"/>
      <c r="I2835"/>
      <c r="J2835"/>
      <c r="K2835"/>
      <c r="L2835"/>
      <c r="M2835" s="16"/>
      <c r="N2835"/>
      <c r="O2835"/>
      <c r="P2835"/>
    </row>
    <row r="2836" spans="1:16" ht="15" x14ac:dyDescent="0.2">
      <c r="A2836"/>
      <c r="B2836"/>
      <c r="C2836"/>
      <c r="D2836"/>
      <c r="E2836"/>
      <c r="F2836"/>
      <c r="G2836"/>
      <c r="H2836"/>
      <c r="I2836"/>
      <c r="J2836"/>
      <c r="K2836"/>
      <c r="L2836"/>
      <c r="M2836" s="16"/>
      <c r="N2836"/>
      <c r="O2836"/>
      <c r="P2836"/>
    </row>
    <row r="2837" spans="1:16" ht="15" x14ac:dyDescent="0.2">
      <c r="A2837"/>
      <c r="B2837"/>
      <c r="C2837"/>
      <c r="D2837"/>
      <c r="E2837"/>
      <c r="F2837"/>
      <c r="G2837"/>
      <c r="H2837"/>
      <c r="I2837"/>
      <c r="J2837"/>
      <c r="K2837"/>
      <c r="L2837"/>
      <c r="M2837" s="16"/>
      <c r="N2837"/>
      <c r="O2837"/>
      <c r="P2837"/>
    </row>
    <row r="2838" spans="1:16" ht="15" x14ac:dyDescent="0.2">
      <c r="A2838"/>
      <c r="B2838"/>
      <c r="C2838"/>
      <c r="D2838"/>
      <c r="E2838"/>
      <c r="F2838"/>
      <c r="G2838"/>
      <c r="H2838"/>
      <c r="I2838"/>
      <c r="J2838"/>
      <c r="K2838"/>
      <c r="L2838"/>
      <c r="M2838"/>
      <c r="N2838"/>
      <c r="O2838"/>
      <c r="P2838"/>
    </row>
    <row r="2839" spans="1:16" ht="15" x14ac:dyDescent="0.2">
      <c r="A2839"/>
      <c r="B2839"/>
      <c r="C2839"/>
      <c r="D2839"/>
      <c r="E2839"/>
      <c r="F2839"/>
      <c r="G2839"/>
      <c r="H2839"/>
      <c r="I2839"/>
      <c r="J2839"/>
      <c r="K2839"/>
      <c r="L2839"/>
      <c r="M2839"/>
      <c r="N2839"/>
      <c r="O2839"/>
      <c r="P2839"/>
    </row>
    <row r="2840" spans="1:16" ht="15" x14ac:dyDescent="0.2">
      <c r="A2840"/>
      <c r="B2840"/>
      <c r="C2840"/>
      <c r="D2840"/>
      <c r="E2840"/>
      <c r="F2840"/>
      <c r="G2840"/>
      <c r="H2840"/>
      <c r="I2840"/>
      <c r="J2840"/>
      <c r="K2840"/>
      <c r="L2840"/>
      <c r="M2840"/>
      <c r="N2840"/>
      <c r="O2840"/>
      <c r="P2840"/>
    </row>
    <row r="2841" spans="1:16" ht="15" x14ac:dyDescent="0.2">
      <c r="A2841"/>
      <c r="B2841"/>
      <c r="C2841"/>
      <c r="D2841"/>
      <c r="E2841"/>
      <c r="F2841"/>
      <c r="G2841"/>
      <c r="H2841"/>
      <c r="I2841"/>
      <c r="J2841"/>
      <c r="K2841"/>
      <c r="L2841"/>
      <c r="M2841"/>
      <c r="N2841"/>
      <c r="O2841"/>
      <c r="P2841"/>
    </row>
    <row r="2842" spans="1:16" ht="15" x14ac:dyDescent="0.2">
      <c r="A2842"/>
      <c r="B2842"/>
      <c r="C2842"/>
      <c r="D2842"/>
      <c r="E2842"/>
      <c r="F2842"/>
      <c r="G2842"/>
      <c r="H2842"/>
      <c r="I2842"/>
      <c r="J2842"/>
      <c r="K2842"/>
      <c r="L2842"/>
      <c r="M2842"/>
      <c r="N2842"/>
      <c r="O2842"/>
      <c r="P2842"/>
    </row>
    <row r="2843" spans="1:16" ht="15" x14ac:dyDescent="0.2">
      <c r="A2843"/>
      <c r="B2843"/>
      <c r="C2843"/>
      <c r="D2843"/>
      <c r="E2843"/>
      <c r="F2843"/>
      <c r="G2843"/>
      <c r="H2843"/>
      <c r="I2843"/>
      <c r="J2843"/>
      <c r="K2843"/>
      <c r="L2843"/>
      <c r="M2843"/>
      <c r="N2843"/>
      <c r="O2843"/>
      <c r="P2843"/>
    </row>
    <row r="2844" spans="1:16" ht="15" x14ac:dyDescent="0.2">
      <c r="A2844"/>
      <c r="B2844"/>
      <c r="C2844"/>
      <c r="D2844"/>
      <c r="E2844"/>
      <c r="F2844"/>
      <c r="G2844"/>
      <c r="H2844"/>
      <c r="I2844"/>
      <c r="J2844"/>
      <c r="K2844"/>
      <c r="L2844"/>
      <c r="M2844"/>
      <c r="N2844"/>
      <c r="O2844"/>
      <c r="P2844"/>
    </row>
    <row r="2845" spans="1:16" ht="15" x14ac:dyDescent="0.2">
      <c r="A2845"/>
      <c r="B2845"/>
      <c r="C2845"/>
      <c r="D2845"/>
      <c r="E2845"/>
      <c r="F2845"/>
      <c r="G2845"/>
      <c r="H2845"/>
      <c r="I2845"/>
      <c r="J2845"/>
      <c r="K2845"/>
      <c r="L2845"/>
      <c r="M2845"/>
      <c r="N2845"/>
      <c r="O2845"/>
      <c r="P2845"/>
    </row>
    <row r="2846" spans="1:16" ht="15" x14ac:dyDescent="0.2">
      <c r="A2846"/>
      <c r="B2846"/>
      <c r="C2846"/>
      <c r="D2846"/>
      <c r="E2846"/>
      <c r="F2846"/>
      <c r="G2846"/>
      <c r="H2846"/>
      <c r="I2846"/>
      <c r="J2846"/>
      <c r="K2846"/>
      <c r="L2846"/>
      <c r="M2846"/>
      <c r="N2846"/>
      <c r="O2846"/>
      <c r="P2846"/>
    </row>
    <row r="2847" spans="1:16" ht="15" x14ac:dyDescent="0.2">
      <c r="A2847"/>
      <c r="B2847"/>
      <c r="C2847"/>
      <c r="D2847"/>
      <c r="E2847"/>
      <c r="F2847"/>
      <c r="G2847"/>
      <c r="H2847"/>
      <c r="I2847"/>
      <c r="J2847"/>
      <c r="K2847"/>
      <c r="L2847"/>
      <c r="M2847"/>
      <c r="N2847"/>
      <c r="O2847"/>
      <c r="P2847"/>
    </row>
    <row r="2848" spans="1:16" ht="15" x14ac:dyDescent="0.2">
      <c r="A2848"/>
      <c r="B2848"/>
      <c r="C2848"/>
      <c r="D2848"/>
      <c r="E2848"/>
      <c r="F2848"/>
      <c r="G2848"/>
      <c r="H2848"/>
      <c r="I2848"/>
      <c r="J2848"/>
      <c r="K2848"/>
      <c r="L2848"/>
      <c r="M2848"/>
      <c r="N2848"/>
      <c r="O2848"/>
      <c r="P2848"/>
    </row>
    <row r="2849" spans="1:16" ht="15" x14ac:dyDescent="0.2">
      <c r="A2849"/>
      <c r="B2849"/>
      <c r="C2849"/>
      <c r="D2849"/>
      <c r="E2849"/>
      <c r="F2849"/>
      <c r="G2849"/>
      <c r="H2849"/>
      <c r="I2849"/>
      <c r="J2849"/>
      <c r="K2849"/>
      <c r="L2849"/>
      <c r="M2849"/>
      <c r="N2849"/>
      <c r="O2849"/>
      <c r="P2849"/>
    </row>
    <row r="2850" spans="1:16" ht="15" x14ac:dyDescent="0.2">
      <c r="A2850"/>
      <c r="B2850"/>
      <c r="C2850"/>
      <c r="D2850"/>
      <c r="E2850"/>
      <c r="F2850"/>
      <c r="G2850"/>
      <c r="H2850"/>
      <c r="I2850"/>
      <c r="J2850"/>
      <c r="K2850"/>
      <c r="L2850"/>
      <c r="M2850"/>
      <c r="N2850"/>
      <c r="O2850"/>
      <c r="P2850"/>
    </row>
    <row r="2851" spans="1:16" ht="15" x14ac:dyDescent="0.2">
      <c r="A2851"/>
      <c r="B2851"/>
      <c r="C2851"/>
      <c r="D2851"/>
      <c r="E2851"/>
      <c r="F2851"/>
      <c r="G2851"/>
      <c r="H2851"/>
      <c r="I2851"/>
      <c r="J2851"/>
      <c r="K2851"/>
      <c r="L2851"/>
      <c r="M2851"/>
      <c r="N2851"/>
      <c r="O2851"/>
      <c r="P2851"/>
    </row>
    <row r="2852" spans="1:16" ht="15" x14ac:dyDescent="0.2">
      <c r="A2852"/>
      <c r="B2852"/>
      <c r="C2852"/>
      <c r="D2852"/>
      <c r="E2852"/>
      <c r="F2852"/>
      <c r="G2852"/>
      <c r="H2852"/>
      <c r="I2852"/>
      <c r="J2852"/>
      <c r="K2852"/>
      <c r="L2852"/>
      <c r="M2852"/>
      <c r="N2852"/>
      <c r="O2852"/>
      <c r="P2852"/>
    </row>
    <row r="2853" spans="1:16" ht="15" x14ac:dyDescent="0.2">
      <c r="A2853"/>
      <c r="B2853"/>
      <c r="C2853"/>
      <c r="D2853"/>
      <c r="E2853"/>
      <c r="F2853"/>
      <c r="G2853"/>
      <c r="H2853"/>
      <c r="I2853"/>
      <c r="J2853"/>
      <c r="K2853"/>
      <c r="L2853"/>
      <c r="M2853"/>
      <c r="N2853"/>
      <c r="O2853"/>
      <c r="P2853"/>
    </row>
    <row r="2854" spans="1:16" ht="15" x14ac:dyDescent="0.2">
      <c r="A2854"/>
      <c r="B2854"/>
      <c r="C2854"/>
      <c r="D2854"/>
      <c r="E2854"/>
      <c r="F2854"/>
      <c r="G2854"/>
      <c r="H2854"/>
      <c r="I2854"/>
      <c r="J2854"/>
      <c r="K2854"/>
      <c r="L2854"/>
      <c r="M2854"/>
      <c r="N2854"/>
      <c r="O2854"/>
      <c r="P2854"/>
    </row>
    <row r="2855" spans="1:16" ht="15" x14ac:dyDescent="0.2">
      <c r="A2855"/>
      <c r="B2855"/>
      <c r="C2855"/>
      <c r="D2855"/>
      <c r="E2855"/>
      <c r="F2855"/>
      <c r="G2855"/>
      <c r="H2855"/>
      <c r="I2855"/>
      <c r="J2855"/>
      <c r="K2855"/>
      <c r="L2855"/>
      <c r="M2855"/>
      <c r="N2855"/>
      <c r="O2855"/>
      <c r="P2855"/>
    </row>
    <row r="2856" spans="1:16" ht="15" x14ac:dyDescent="0.2">
      <c r="A2856"/>
      <c r="B2856"/>
      <c r="C2856"/>
      <c r="D2856"/>
      <c r="E2856"/>
      <c r="F2856"/>
      <c r="G2856"/>
      <c r="H2856"/>
      <c r="I2856"/>
      <c r="J2856"/>
      <c r="K2856"/>
      <c r="L2856"/>
      <c r="M2856"/>
      <c r="N2856"/>
      <c r="O2856"/>
      <c r="P2856"/>
    </row>
    <row r="2857" spans="1:16" ht="15" x14ac:dyDescent="0.2">
      <c r="A2857"/>
      <c r="B2857"/>
      <c r="C2857"/>
      <c r="D2857"/>
      <c r="E2857"/>
      <c r="F2857"/>
      <c r="G2857"/>
      <c r="H2857"/>
      <c r="I2857"/>
      <c r="J2857"/>
      <c r="K2857"/>
      <c r="L2857"/>
      <c r="M2857"/>
      <c r="N2857"/>
      <c r="O2857"/>
      <c r="P2857"/>
    </row>
    <row r="2858" spans="1:16" ht="15" x14ac:dyDescent="0.2">
      <c r="A2858"/>
      <c r="B2858"/>
      <c r="C2858"/>
      <c r="D2858"/>
      <c r="E2858"/>
      <c r="F2858"/>
      <c r="G2858"/>
      <c r="H2858"/>
      <c r="I2858"/>
      <c r="J2858"/>
      <c r="K2858"/>
      <c r="L2858"/>
      <c r="M2858"/>
      <c r="N2858"/>
      <c r="O2858"/>
      <c r="P2858"/>
    </row>
    <row r="2859" spans="1:16" ht="15" x14ac:dyDescent="0.2">
      <c r="A2859"/>
      <c r="B2859"/>
      <c r="C2859"/>
      <c r="D2859"/>
      <c r="E2859"/>
      <c r="F2859"/>
      <c r="G2859"/>
      <c r="H2859"/>
      <c r="I2859"/>
      <c r="J2859"/>
      <c r="K2859"/>
      <c r="L2859"/>
      <c r="M2859"/>
      <c r="N2859"/>
      <c r="O2859"/>
      <c r="P2859"/>
    </row>
    <row r="2860" spans="1:16" ht="15" x14ac:dyDescent="0.2">
      <c r="A2860"/>
      <c r="B2860"/>
      <c r="C2860"/>
      <c r="D2860"/>
      <c r="E2860"/>
      <c r="F2860"/>
      <c r="G2860"/>
      <c r="H2860"/>
      <c r="I2860"/>
      <c r="J2860"/>
      <c r="K2860"/>
      <c r="L2860"/>
      <c r="M2860"/>
      <c r="N2860"/>
      <c r="O2860"/>
      <c r="P2860"/>
    </row>
    <row r="2861" spans="1:16" ht="15" x14ac:dyDescent="0.2">
      <c r="A2861"/>
      <c r="B2861"/>
      <c r="C2861"/>
      <c r="D2861"/>
      <c r="E2861"/>
      <c r="F2861"/>
      <c r="G2861"/>
      <c r="H2861"/>
      <c r="I2861"/>
      <c r="J2861"/>
      <c r="K2861"/>
      <c r="L2861"/>
      <c r="M2861"/>
      <c r="N2861"/>
      <c r="O2861"/>
      <c r="P2861"/>
    </row>
    <row r="2862" spans="1:16" ht="15" x14ac:dyDescent="0.2">
      <c r="A2862"/>
      <c r="B2862"/>
      <c r="C2862"/>
      <c r="D2862"/>
      <c r="E2862"/>
      <c r="F2862"/>
      <c r="G2862"/>
      <c r="H2862"/>
      <c r="I2862"/>
      <c r="J2862"/>
      <c r="K2862"/>
      <c r="L2862"/>
      <c r="M2862"/>
      <c r="N2862"/>
      <c r="O2862"/>
      <c r="P2862"/>
    </row>
    <row r="2863" spans="1:16" ht="15" x14ac:dyDescent="0.2">
      <c r="A2863"/>
      <c r="B2863"/>
      <c r="C2863"/>
      <c r="D2863"/>
      <c r="E2863"/>
      <c r="F2863"/>
      <c r="G2863"/>
      <c r="H2863"/>
      <c r="I2863"/>
      <c r="J2863"/>
      <c r="K2863"/>
      <c r="L2863"/>
      <c r="M2863"/>
      <c r="N2863"/>
      <c r="O2863"/>
      <c r="P2863"/>
    </row>
    <row r="2864" spans="1:16" ht="15" x14ac:dyDescent="0.2">
      <c r="A2864"/>
      <c r="B2864"/>
      <c r="C2864"/>
      <c r="D2864"/>
      <c r="E2864"/>
      <c r="F2864"/>
      <c r="G2864"/>
      <c r="H2864"/>
      <c r="I2864"/>
      <c r="J2864"/>
      <c r="K2864"/>
      <c r="L2864"/>
      <c r="M2864"/>
      <c r="N2864"/>
      <c r="O2864"/>
      <c r="P2864"/>
    </row>
    <row r="2865" spans="1:16" ht="15" x14ac:dyDescent="0.2">
      <c r="A2865"/>
      <c r="B2865"/>
      <c r="C2865"/>
      <c r="D2865"/>
      <c r="E2865"/>
      <c r="F2865"/>
      <c r="G2865"/>
      <c r="H2865"/>
      <c r="I2865"/>
      <c r="J2865"/>
      <c r="K2865"/>
      <c r="L2865"/>
      <c r="M2865"/>
      <c r="N2865"/>
      <c r="O2865"/>
      <c r="P2865"/>
    </row>
    <row r="2866" spans="1:16" ht="15" x14ac:dyDescent="0.2">
      <c r="A2866"/>
      <c r="B2866"/>
      <c r="C2866"/>
      <c r="D2866"/>
      <c r="E2866"/>
      <c r="F2866"/>
      <c r="G2866"/>
      <c r="H2866"/>
      <c r="I2866"/>
      <c r="J2866"/>
      <c r="K2866"/>
      <c r="L2866"/>
      <c r="M2866"/>
      <c r="N2866"/>
      <c r="O2866"/>
      <c r="P2866"/>
    </row>
    <row r="2867" spans="1:16" ht="15" x14ac:dyDescent="0.2">
      <c r="A2867"/>
      <c r="B2867"/>
      <c r="C2867"/>
      <c r="D2867"/>
      <c r="E2867"/>
      <c r="F2867"/>
      <c r="G2867"/>
      <c r="H2867"/>
      <c r="I2867"/>
      <c r="J2867"/>
      <c r="K2867"/>
      <c r="L2867"/>
      <c r="M2867"/>
      <c r="N2867"/>
      <c r="O2867"/>
      <c r="P2867"/>
    </row>
    <row r="2868" spans="1:16" ht="15" x14ac:dyDescent="0.2">
      <c r="A2868"/>
      <c r="B2868"/>
      <c r="C2868"/>
      <c r="D2868"/>
      <c r="E2868"/>
      <c r="F2868"/>
      <c r="G2868"/>
      <c r="H2868"/>
      <c r="I2868"/>
      <c r="J2868"/>
      <c r="K2868"/>
      <c r="L2868"/>
      <c r="M2868"/>
      <c r="N2868"/>
      <c r="O2868"/>
      <c r="P2868"/>
    </row>
    <row r="2869" spans="1:16" ht="15" x14ac:dyDescent="0.2">
      <c r="A2869"/>
      <c r="B2869"/>
      <c r="C2869"/>
      <c r="D2869"/>
      <c r="E2869"/>
      <c r="F2869"/>
      <c r="G2869"/>
      <c r="H2869"/>
      <c r="I2869"/>
      <c r="J2869"/>
      <c r="K2869"/>
      <c r="L2869"/>
      <c r="M2869"/>
      <c r="N2869"/>
      <c r="O2869"/>
      <c r="P2869"/>
    </row>
    <row r="2870" spans="1:16" ht="15" x14ac:dyDescent="0.2">
      <c r="A2870"/>
      <c r="B2870"/>
      <c r="C2870"/>
      <c r="D2870"/>
      <c r="E2870"/>
      <c r="F2870"/>
      <c r="G2870"/>
      <c r="H2870"/>
      <c r="I2870"/>
      <c r="J2870"/>
      <c r="K2870"/>
      <c r="L2870"/>
      <c r="M2870"/>
      <c r="N2870"/>
      <c r="O2870"/>
      <c r="P2870"/>
    </row>
    <row r="2871" spans="1:16" ht="15" x14ac:dyDescent="0.2">
      <c r="A2871"/>
      <c r="B2871"/>
      <c r="C2871"/>
      <c r="D2871"/>
      <c r="E2871"/>
      <c r="F2871"/>
      <c r="G2871"/>
      <c r="H2871"/>
      <c r="I2871"/>
      <c r="J2871"/>
      <c r="K2871"/>
      <c r="L2871"/>
      <c r="M2871"/>
      <c r="N2871"/>
      <c r="O2871"/>
      <c r="P2871"/>
    </row>
    <row r="2872" spans="1:16" ht="15" x14ac:dyDescent="0.2">
      <c r="A2872"/>
      <c r="B2872"/>
      <c r="C2872"/>
      <c r="D2872"/>
      <c r="E2872"/>
      <c r="F2872"/>
      <c r="G2872"/>
      <c r="H2872"/>
      <c r="I2872"/>
      <c r="J2872"/>
      <c r="K2872"/>
      <c r="L2872"/>
      <c r="M2872"/>
      <c r="N2872"/>
      <c r="O2872"/>
      <c r="P2872"/>
    </row>
    <row r="2873" spans="1:16" ht="15" x14ac:dyDescent="0.2">
      <c r="A2873"/>
      <c r="B2873"/>
      <c r="C2873"/>
      <c r="D2873"/>
      <c r="E2873"/>
      <c r="F2873"/>
      <c r="G2873"/>
      <c r="H2873"/>
      <c r="I2873"/>
      <c r="J2873"/>
      <c r="K2873"/>
      <c r="L2873"/>
      <c r="M2873"/>
      <c r="N2873"/>
      <c r="O2873"/>
      <c r="P2873"/>
    </row>
    <row r="2874" spans="1:16" ht="15" x14ac:dyDescent="0.2">
      <c r="A2874"/>
      <c r="B2874"/>
      <c r="C2874"/>
      <c r="D2874"/>
      <c r="E2874"/>
      <c r="F2874"/>
      <c r="G2874"/>
      <c r="H2874"/>
      <c r="I2874"/>
      <c r="J2874"/>
      <c r="K2874"/>
      <c r="L2874"/>
      <c r="M2874"/>
      <c r="N2874"/>
      <c r="O2874"/>
      <c r="P2874"/>
    </row>
    <row r="2875" spans="1:16" ht="15" x14ac:dyDescent="0.2">
      <c r="A2875"/>
      <c r="B2875"/>
      <c r="C2875"/>
      <c r="D2875"/>
      <c r="E2875"/>
      <c r="F2875"/>
      <c r="G2875"/>
      <c r="H2875"/>
      <c r="I2875"/>
      <c r="J2875"/>
      <c r="K2875"/>
      <c r="L2875"/>
      <c r="M2875"/>
      <c r="N2875"/>
      <c r="O2875"/>
      <c r="P2875"/>
    </row>
    <row r="2876" spans="1:16" ht="15" x14ac:dyDescent="0.2">
      <c r="A2876"/>
      <c r="B2876"/>
      <c r="C2876"/>
      <c r="D2876"/>
      <c r="E2876"/>
      <c r="F2876"/>
      <c r="G2876"/>
      <c r="H2876"/>
      <c r="I2876"/>
      <c r="J2876"/>
      <c r="K2876"/>
      <c r="L2876"/>
      <c r="M2876"/>
      <c r="N2876"/>
      <c r="O2876"/>
      <c r="P2876"/>
    </row>
    <row r="2877" spans="1:16" ht="15" x14ac:dyDescent="0.2">
      <c r="A2877"/>
      <c r="B2877"/>
      <c r="C2877"/>
      <c r="D2877"/>
      <c r="E2877"/>
      <c r="F2877"/>
      <c r="G2877"/>
      <c r="H2877"/>
      <c r="I2877"/>
      <c r="J2877"/>
      <c r="K2877"/>
      <c r="L2877"/>
      <c r="M2877"/>
      <c r="N2877"/>
      <c r="O2877"/>
      <c r="P2877"/>
    </row>
    <row r="2878" spans="1:16" ht="15" x14ac:dyDescent="0.2">
      <c r="A2878"/>
      <c r="B2878"/>
      <c r="C2878"/>
      <c r="D2878"/>
      <c r="E2878"/>
      <c r="F2878"/>
      <c r="G2878"/>
      <c r="H2878"/>
      <c r="I2878"/>
      <c r="J2878"/>
      <c r="K2878"/>
      <c r="L2878"/>
      <c r="M2878"/>
      <c r="N2878"/>
      <c r="O2878"/>
      <c r="P2878"/>
    </row>
    <row r="2879" spans="1:16" ht="15" x14ac:dyDescent="0.2">
      <c r="A2879"/>
      <c r="B2879"/>
      <c r="C2879"/>
      <c r="D2879"/>
      <c r="E2879"/>
      <c r="F2879"/>
      <c r="G2879"/>
      <c r="H2879"/>
      <c r="I2879"/>
      <c r="J2879"/>
      <c r="K2879"/>
      <c r="L2879"/>
      <c r="M2879"/>
      <c r="N2879"/>
      <c r="O2879"/>
      <c r="P2879"/>
    </row>
    <row r="2880" spans="1:16" ht="15" x14ac:dyDescent="0.2">
      <c r="A2880"/>
      <c r="B2880"/>
      <c r="C2880"/>
      <c r="D2880"/>
      <c r="E2880"/>
      <c r="F2880"/>
      <c r="G2880"/>
      <c r="H2880"/>
      <c r="I2880"/>
      <c r="J2880"/>
      <c r="K2880"/>
      <c r="L2880"/>
      <c r="M2880"/>
      <c r="N2880"/>
      <c r="O2880"/>
      <c r="P2880"/>
    </row>
    <row r="2881" spans="1:16" ht="15" x14ac:dyDescent="0.2">
      <c r="A2881"/>
      <c r="B2881"/>
      <c r="C2881"/>
      <c r="D2881"/>
      <c r="E2881"/>
      <c r="F2881"/>
      <c r="G2881"/>
      <c r="H2881"/>
      <c r="I2881"/>
      <c r="J2881"/>
      <c r="K2881"/>
      <c r="L2881"/>
      <c r="M2881"/>
      <c r="N2881"/>
      <c r="O2881"/>
      <c r="P2881"/>
    </row>
    <row r="2882" spans="1:16" ht="15" x14ac:dyDescent="0.2">
      <c r="A2882"/>
      <c r="B2882"/>
      <c r="C2882"/>
      <c r="D2882"/>
      <c r="E2882"/>
      <c r="F2882"/>
      <c r="G2882"/>
      <c r="H2882"/>
      <c r="I2882"/>
      <c r="J2882"/>
      <c r="K2882"/>
      <c r="L2882"/>
      <c r="M2882"/>
      <c r="N2882"/>
      <c r="O2882"/>
      <c r="P2882"/>
    </row>
    <row r="2883" spans="1:16" ht="15" x14ac:dyDescent="0.2">
      <c r="A2883"/>
      <c r="B2883"/>
      <c r="C2883"/>
      <c r="D2883"/>
      <c r="E2883"/>
      <c r="F2883"/>
      <c r="G2883"/>
      <c r="H2883"/>
      <c r="I2883"/>
      <c r="J2883"/>
      <c r="K2883"/>
      <c r="L2883"/>
      <c r="M2883"/>
      <c r="N2883"/>
      <c r="O2883"/>
      <c r="P2883"/>
    </row>
    <row r="2884" spans="1:16" ht="15" x14ac:dyDescent="0.2">
      <c r="A2884"/>
      <c r="B2884"/>
      <c r="C2884"/>
      <c r="D2884"/>
      <c r="E2884"/>
      <c r="F2884"/>
      <c r="G2884"/>
      <c r="H2884"/>
      <c r="I2884"/>
      <c r="J2884"/>
      <c r="K2884"/>
      <c r="L2884"/>
      <c r="M2884"/>
      <c r="N2884"/>
      <c r="O2884"/>
      <c r="P2884"/>
    </row>
    <row r="2885" spans="1:16" ht="15" x14ac:dyDescent="0.2">
      <c r="A2885"/>
      <c r="B2885"/>
      <c r="C2885"/>
      <c r="D2885"/>
      <c r="E2885"/>
      <c r="F2885"/>
      <c r="G2885"/>
      <c r="H2885"/>
      <c r="I2885"/>
      <c r="J2885"/>
      <c r="K2885"/>
      <c r="L2885"/>
      <c r="M2885"/>
      <c r="N2885"/>
      <c r="O2885"/>
      <c r="P2885"/>
    </row>
    <row r="2886" spans="1:16" ht="15" x14ac:dyDescent="0.2">
      <c r="A2886"/>
      <c r="B2886"/>
      <c r="C2886"/>
      <c r="D2886"/>
      <c r="E2886"/>
      <c r="F2886"/>
      <c r="G2886"/>
      <c r="H2886"/>
      <c r="I2886"/>
      <c r="J2886"/>
      <c r="K2886"/>
      <c r="L2886"/>
      <c r="M2886"/>
      <c r="N2886"/>
      <c r="O2886"/>
      <c r="P2886"/>
    </row>
    <row r="2887" spans="1:16" ht="15" x14ac:dyDescent="0.2">
      <c r="A2887"/>
      <c r="B2887"/>
      <c r="C2887"/>
      <c r="D2887"/>
      <c r="E2887"/>
      <c r="F2887"/>
      <c r="G2887"/>
      <c r="H2887"/>
      <c r="I2887"/>
      <c r="J2887"/>
      <c r="K2887"/>
      <c r="L2887"/>
      <c r="M2887"/>
      <c r="N2887"/>
      <c r="O2887"/>
      <c r="P2887"/>
    </row>
    <row r="2888" spans="1:16" ht="15" x14ac:dyDescent="0.2">
      <c r="A2888"/>
      <c r="B2888"/>
      <c r="C2888"/>
      <c r="D2888"/>
      <c r="E2888"/>
      <c r="F2888"/>
      <c r="G2888"/>
      <c r="H2888"/>
      <c r="I2888"/>
      <c r="J2888"/>
      <c r="K2888"/>
      <c r="L2888"/>
      <c r="M2888"/>
      <c r="N2888"/>
      <c r="O2888"/>
      <c r="P2888"/>
    </row>
    <row r="2889" spans="1:16" ht="15" x14ac:dyDescent="0.2">
      <c r="A2889"/>
      <c r="B2889"/>
      <c r="C2889"/>
      <c r="D2889"/>
      <c r="E2889"/>
      <c r="F2889"/>
      <c r="G2889"/>
      <c r="H2889"/>
      <c r="I2889"/>
      <c r="J2889"/>
      <c r="K2889"/>
      <c r="L2889"/>
      <c r="M2889"/>
      <c r="N2889"/>
      <c r="O2889"/>
      <c r="P2889"/>
    </row>
    <row r="2890" spans="1:16" ht="15" x14ac:dyDescent="0.2">
      <c r="A2890"/>
      <c r="B2890"/>
      <c r="C2890"/>
      <c r="D2890"/>
      <c r="E2890"/>
      <c r="F2890"/>
      <c r="G2890"/>
      <c r="H2890"/>
      <c r="I2890"/>
      <c r="J2890"/>
      <c r="K2890"/>
      <c r="L2890"/>
      <c r="M2890"/>
      <c r="N2890"/>
      <c r="O2890"/>
      <c r="P2890"/>
    </row>
    <row r="2891" spans="1:16" ht="15" x14ac:dyDescent="0.2">
      <c r="A2891"/>
      <c r="B2891"/>
      <c r="C2891"/>
      <c r="D2891"/>
      <c r="E2891"/>
      <c r="F2891"/>
      <c r="G2891"/>
      <c r="H2891"/>
      <c r="I2891"/>
      <c r="J2891"/>
      <c r="K2891"/>
      <c r="L2891"/>
      <c r="M2891"/>
      <c r="N2891"/>
      <c r="O2891"/>
      <c r="P2891"/>
    </row>
    <row r="2892" spans="1:16" ht="15" x14ac:dyDescent="0.2">
      <c r="A2892"/>
      <c r="B2892"/>
      <c r="C2892"/>
      <c r="D2892"/>
      <c r="E2892"/>
      <c r="F2892"/>
      <c r="G2892"/>
      <c r="H2892"/>
      <c r="I2892"/>
      <c r="J2892"/>
      <c r="K2892"/>
      <c r="L2892"/>
      <c r="M2892"/>
      <c r="N2892"/>
      <c r="O2892"/>
      <c r="P2892"/>
    </row>
    <row r="2893" spans="1:16" ht="15" x14ac:dyDescent="0.2">
      <c r="A2893"/>
      <c r="B2893"/>
      <c r="C2893"/>
      <c r="D2893"/>
      <c r="E2893"/>
      <c r="F2893"/>
      <c r="G2893"/>
      <c r="H2893"/>
      <c r="I2893"/>
      <c r="J2893"/>
      <c r="K2893"/>
      <c r="L2893"/>
      <c r="M2893"/>
      <c r="N2893"/>
      <c r="O2893"/>
      <c r="P2893"/>
    </row>
    <row r="2894" spans="1:16" ht="15" x14ac:dyDescent="0.2">
      <c r="A2894"/>
      <c r="B2894"/>
      <c r="C2894"/>
      <c r="D2894"/>
      <c r="E2894"/>
      <c r="F2894"/>
      <c r="G2894"/>
      <c r="H2894"/>
      <c r="I2894"/>
      <c r="J2894"/>
      <c r="K2894"/>
      <c r="L2894"/>
      <c r="M2894"/>
      <c r="N2894"/>
      <c r="O2894"/>
      <c r="P2894"/>
    </row>
    <row r="2895" spans="1:16" ht="15" x14ac:dyDescent="0.2">
      <c r="A2895"/>
      <c r="B2895"/>
      <c r="C2895"/>
      <c r="D2895"/>
      <c r="E2895"/>
      <c r="F2895"/>
      <c r="G2895"/>
      <c r="H2895"/>
      <c r="I2895"/>
      <c r="J2895"/>
      <c r="K2895"/>
      <c r="L2895"/>
      <c r="M2895"/>
      <c r="N2895"/>
      <c r="O2895"/>
      <c r="P2895"/>
    </row>
    <row r="2896" spans="1:16" ht="15" x14ac:dyDescent="0.2">
      <c r="A2896"/>
      <c r="B2896"/>
      <c r="C2896"/>
      <c r="D2896"/>
      <c r="E2896"/>
      <c r="F2896"/>
      <c r="G2896"/>
      <c r="H2896"/>
      <c r="I2896"/>
      <c r="J2896"/>
      <c r="K2896"/>
      <c r="L2896"/>
      <c r="M2896"/>
      <c r="N2896"/>
      <c r="O2896"/>
      <c r="P2896"/>
    </row>
    <row r="2897" spans="1:16" ht="15" x14ac:dyDescent="0.2">
      <c r="A2897"/>
      <c r="B2897"/>
      <c r="C2897"/>
      <c r="D2897"/>
      <c r="E2897"/>
      <c r="F2897"/>
      <c r="G2897"/>
      <c r="H2897"/>
      <c r="I2897"/>
      <c r="J2897"/>
      <c r="K2897"/>
      <c r="L2897"/>
      <c r="M2897"/>
      <c r="N2897"/>
      <c r="O2897"/>
      <c r="P2897"/>
    </row>
    <row r="2898" spans="1:16" ht="15" x14ac:dyDescent="0.2">
      <c r="A2898"/>
      <c r="B2898"/>
      <c r="C2898"/>
      <c r="D2898"/>
      <c r="E2898"/>
      <c r="F2898"/>
      <c r="G2898"/>
      <c r="H2898"/>
      <c r="I2898"/>
      <c r="J2898"/>
      <c r="K2898"/>
      <c r="L2898"/>
      <c r="M2898"/>
      <c r="N2898"/>
      <c r="O2898"/>
      <c r="P2898"/>
    </row>
    <row r="2899" spans="1:16" ht="15" x14ac:dyDescent="0.2">
      <c r="A2899"/>
      <c r="B2899"/>
      <c r="C2899"/>
      <c r="D2899"/>
      <c r="E2899"/>
      <c r="F2899"/>
      <c r="G2899"/>
      <c r="H2899"/>
      <c r="I2899"/>
      <c r="J2899"/>
      <c r="K2899"/>
      <c r="L2899"/>
      <c r="M2899"/>
      <c r="N2899"/>
      <c r="O2899"/>
      <c r="P2899"/>
    </row>
    <row r="2900" spans="1:16" ht="15" x14ac:dyDescent="0.2">
      <c r="A2900"/>
      <c r="B2900"/>
      <c r="C2900"/>
      <c r="D2900"/>
      <c r="E2900"/>
      <c r="F2900"/>
      <c r="G2900"/>
      <c r="H2900"/>
      <c r="I2900"/>
      <c r="J2900"/>
      <c r="K2900"/>
      <c r="L2900"/>
      <c r="M2900"/>
      <c r="N2900"/>
      <c r="O2900"/>
      <c r="P2900"/>
    </row>
    <row r="2901" spans="1:16" ht="15" x14ac:dyDescent="0.2">
      <c r="A2901"/>
      <c r="B2901"/>
      <c r="C2901"/>
      <c r="D2901"/>
      <c r="E2901"/>
      <c r="F2901"/>
      <c r="G2901"/>
      <c r="H2901"/>
      <c r="I2901"/>
      <c r="J2901"/>
      <c r="K2901"/>
      <c r="L2901"/>
      <c r="M2901"/>
      <c r="N2901"/>
      <c r="O2901"/>
      <c r="P2901"/>
    </row>
    <row r="2902" spans="1:16" ht="15" x14ac:dyDescent="0.2">
      <c r="A2902"/>
      <c r="B2902"/>
      <c r="C2902"/>
      <c r="D2902"/>
      <c r="E2902"/>
      <c r="F2902"/>
      <c r="G2902"/>
      <c r="H2902"/>
      <c r="I2902"/>
      <c r="J2902"/>
      <c r="K2902"/>
      <c r="L2902"/>
      <c r="M2902"/>
      <c r="N2902"/>
      <c r="O2902"/>
      <c r="P2902"/>
    </row>
    <row r="2903" spans="1:16" ht="15" x14ac:dyDescent="0.2">
      <c r="A2903"/>
      <c r="B2903"/>
      <c r="C2903"/>
      <c r="D2903"/>
      <c r="E2903"/>
      <c r="F2903"/>
      <c r="G2903"/>
      <c r="H2903"/>
      <c r="I2903"/>
      <c r="J2903"/>
      <c r="K2903"/>
      <c r="L2903"/>
      <c r="M2903"/>
      <c r="N2903"/>
      <c r="O2903"/>
      <c r="P2903"/>
    </row>
    <row r="2904" spans="1:16" ht="15" x14ac:dyDescent="0.2">
      <c r="A2904"/>
      <c r="B2904"/>
      <c r="C2904"/>
      <c r="D2904"/>
      <c r="E2904"/>
      <c r="F2904"/>
      <c r="G2904"/>
      <c r="H2904"/>
      <c r="I2904"/>
      <c r="J2904"/>
      <c r="K2904"/>
      <c r="L2904"/>
      <c r="M2904"/>
      <c r="N2904"/>
      <c r="O2904"/>
      <c r="P2904"/>
    </row>
    <row r="2905" spans="1:16" ht="15" x14ac:dyDescent="0.2">
      <c r="A2905"/>
      <c r="B2905"/>
      <c r="C2905"/>
      <c r="D2905"/>
      <c r="E2905"/>
      <c r="F2905"/>
      <c r="G2905"/>
      <c r="H2905"/>
      <c r="I2905"/>
      <c r="J2905"/>
      <c r="K2905"/>
      <c r="L2905"/>
      <c r="M2905"/>
      <c r="N2905"/>
      <c r="O2905"/>
      <c r="P2905"/>
    </row>
    <row r="2906" spans="1:16" ht="15" x14ac:dyDescent="0.2">
      <c r="A2906"/>
      <c r="B2906"/>
      <c r="C2906"/>
      <c r="D2906"/>
      <c r="E2906"/>
      <c r="F2906"/>
      <c r="G2906"/>
      <c r="H2906"/>
      <c r="I2906"/>
      <c r="J2906"/>
      <c r="K2906"/>
      <c r="L2906"/>
      <c r="M2906"/>
      <c r="N2906"/>
      <c r="O2906"/>
      <c r="P2906"/>
    </row>
    <row r="2907" spans="1:16" ht="15" x14ac:dyDescent="0.2">
      <c r="A2907"/>
      <c r="B2907"/>
      <c r="C2907"/>
      <c r="D2907"/>
      <c r="E2907"/>
      <c r="F2907"/>
      <c r="G2907"/>
      <c r="H2907"/>
      <c r="I2907"/>
      <c r="J2907"/>
      <c r="K2907"/>
      <c r="L2907"/>
      <c r="M2907"/>
      <c r="N2907"/>
      <c r="O2907"/>
      <c r="P2907"/>
    </row>
    <row r="2908" spans="1:16" ht="15" x14ac:dyDescent="0.2">
      <c r="A2908"/>
      <c r="B2908"/>
      <c r="C2908"/>
      <c r="D2908"/>
      <c r="E2908"/>
      <c r="F2908"/>
      <c r="G2908"/>
      <c r="H2908"/>
      <c r="I2908"/>
      <c r="J2908"/>
      <c r="K2908"/>
      <c r="L2908"/>
      <c r="M2908"/>
      <c r="N2908"/>
      <c r="O2908"/>
      <c r="P2908"/>
    </row>
    <row r="2909" spans="1:16" ht="15" x14ac:dyDescent="0.2">
      <c r="A2909"/>
      <c r="B2909"/>
      <c r="C2909"/>
      <c r="D2909"/>
      <c r="E2909"/>
      <c r="F2909"/>
      <c r="G2909"/>
      <c r="H2909"/>
      <c r="I2909"/>
      <c r="J2909"/>
      <c r="K2909"/>
      <c r="L2909"/>
      <c r="M2909"/>
      <c r="N2909"/>
      <c r="O2909"/>
      <c r="P2909"/>
    </row>
    <row r="2910" spans="1:16" ht="15" x14ac:dyDescent="0.2">
      <c r="A2910"/>
      <c r="B2910"/>
      <c r="C2910"/>
      <c r="D2910"/>
      <c r="E2910"/>
      <c r="F2910"/>
      <c r="G2910"/>
      <c r="H2910"/>
      <c r="I2910"/>
      <c r="J2910"/>
      <c r="K2910"/>
      <c r="L2910"/>
      <c r="M2910"/>
      <c r="N2910"/>
      <c r="O2910"/>
      <c r="P2910"/>
    </row>
    <row r="2911" spans="1:16" ht="15" x14ac:dyDescent="0.2">
      <c r="A2911"/>
      <c r="B2911"/>
      <c r="C2911"/>
      <c r="D2911"/>
      <c r="E2911"/>
      <c r="F2911"/>
      <c r="G2911"/>
      <c r="H2911"/>
      <c r="I2911"/>
      <c r="J2911"/>
      <c r="K2911"/>
      <c r="L2911"/>
      <c r="M2911"/>
      <c r="N2911"/>
      <c r="O2911"/>
      <c r="P2911"/>
    </row>
    <row r="2912" spans="1:16" ht="15" x14ac:dyDescent="0.2">
      <c r="A2912"/>
      <c r="B2912"/>
      <c r="C2912"/>
      <c r="D2912"/>
      <c r="E2912"/>
      <c r="F2912"/>
      <c r="G2912"/>
      <c r="H2912"/>
      <c r="I2912"/>
      <c r="J2912"/>
      <c r="K2912"/>
      <c r="L2912"/>
      <c r="M2912"/>
      <c r="N2912"/>
      <c r="O2912"/>
      <c r="P2912"/>
    </row>
    <row r="2913" spans="1:16" ht="15" x14ac:dyDescent="0.2">
      <c r="A2913"/>
      <c r="B2913"/>
      <c r="C2913"/>
      <c r="D2913"/>
      <c r="E2913"/>
      <c r="F2913"/>
      <c r="G2913"/>
      <c r="H2913"/>
      <c r="I2913"/>
      <c r="J2913"/>
      <c r="K2913"/>
      <c r="L2913"/>
      <c r="M2913"/>
      <c r="N2913"/>
      <c r="O2913"/>
      <c r="P2913"/>
    </row>
    <row r="2914" spans="1:16" ht="15" x14ac:dyDescent="0.2">
      <c r="A2914"/>
      <c r="B2914"/>
      <c r="C2914"/>
      <c r="D2914"/>
      <c r="E2914"/>
      <c r="F2914"/>
      <c r="G2914"/>
      <c r="H2914"/>
      <c r="I2914"/>
      <c r="J2914"/>
      <c r="K2914"/>
      <c r="L2914"/>
      <c r="M2914"/>
      <c r="N2914"/>
      <c r="O2914"/>
      <c r="P2914"/>
    </row>
    <row r="2915" spans="1:16" ht="15" x14ac:dyDescent="0.2">
      <c r="A2915"/>
      <c r="B2915"/>
      <c r="C2915"/>
      <c r="D2915"/>
      <c r="E2915"/>
      <c r="F2915"/>
      <c r="G2915"/>
      <c r="H2915"/>
      <c r="I2915"/>
      <c r="J2915"/>
      <c r="K2915"/>
      <c r="L2915"/>
      <c r="M2915"/>
      <c r="N2915"/>
      <c r="O2915"/>
      <c r="P2915"/>
    </row>
    <row r="2916" spans="1:16" ht="15" x14ac:dyDescent="0.2">
      <c r="A2916"/>
      <c r="B2916"/>
      <c r="C2916"/>
      <c r="D2916"/>
      <c r="E2916"/>
      <c r="F2916"/>
      <c r="G2916"/>
      <c r="H2916"/>
      <c r="I2916"/>
      <c r="J2916"/>
      <c r="K2916"/>
      <c r="L2916"/>
      <c r="M2916"/>
      <c r="N2916"/>
      <c r="O2916"/>
      <c r="P2916"/>
    </row>
    <row r="2917" spans="1:16" ht="15" x14ac:dyDescent="0.2">
      <c r="A2917"/>
      <c r="B2917"/>
      <c r="C2917"/>
      <c r="D2917"/>
      <c r="E2917"/>
      <c r="F2917"/>
      <c r="G2917"/>
      <c r="H2917"/>
      <c r="I2917"/>
      <c r="J2917"/>
      <c r="K2917"/>
      <c r="L2917"/>
      <c r="M2917"/>
      <c r="N2917"/>
      <c r="O2917"/>
      <c r="P2917"/>
    </row>
    <row r="2918" spans="1:16" ht="15" x14ac:dyDescent="0.2">
      <c r="A2918"/>
      <c r="B2918"/>
      <c r="C2918"/>
      <c r="D2918"/>
      <c r="E2918"/>
      <c r="F2918"/>
      <c r="G2918"/>
      <c r="H2918"/>
      <c r="I2918"/>
      <c r="J2918"/>
      <c r="K2918"/>
      <c r="L2918"/>
      <c r="M2918"/>
      <c r="N2918"/>
      <c r="O2918"/>
      <c r="P2918"/>
    </row>
    <row r="2919" spans="1:16" ht="15" x14ac:dyDescent="0.2">
      <c r="A2919"/>
      <c r="B2919"/>
      <c r="C2919"/>
      <c r="D2919"/>
      <c r="E2919"/>
      <c r="F2919"/>
      <c r="G2919"/>
      <c r="H2919"/>
      <c r="I2919"/>
      <c r="J2919"/>
      <c r="K2919"/>
      <c r="L2919"/>
      <c r="M2919"/>
      <c r="N2919"/>
      <c r="O2919"/>
      <c r="P2919"/>
    </row>
    <row r="2920" spans="1:16" ht="15" x14ac:dyDescent="0.2">
      <c r="A2920"/>
      <c r="B2920"/>
      <c r="C2920"/>
      <c r="D2920"/>
      <c r="E2920"/>
      <c r="F2920"/>
      <c r="G2920"/>
      <c r="H2920"/>
      <c r="I2920"/>
      <c r="J2920"/>
      <c r="K2920"/>
      <c r="L2920"/>
      <c r="M2920"/>
      <c r="N2920"/>
      <c r="O2920"/>
      <c r="P2920"/>
    </row>
    <row r="2921" spans="1:16" ht="15" x14ac:dyDescent="0.2">
      <c r="A2921"/>
      <c r="B2921"/>
      <c r="C2921"/>
      <c r="D2921"/>
      <c r="E2921"/>
      <c r="F2921"/>
      <c r="G2921"/>
      <c r="H2921"/>
      <c r="I2921"/>
      <c r="J2921"/>
      <c r="K2921"/>
      <c r="L2921"/>
      <c r="M2921"/>
      <c r="N2921"/>
      <c r="O2921"/>
      <c r="P2921"/>
    </row>
    <row r="2922" spans="1:16" ht="15" x14ac:dyDescent="0.2">
      <c r="A2922"/>
      <c r="B2922"/>
      <c r="C2922"/>
      <c r="D2922"/>
      <c r="E2922"/>
      <c r="F2922"/>
      <c r="G2922"/>
      <c r="H2922"/>
      <c r="I2922"/>
      <c r="J2922"/>
      <c r="K2922"/>
      <c r="L2922"/>
      <c r="M2922"/>
      <c r="N2922"/>
      <c r="O2922"/>
      <c r="P2922"/>
    </row>
    <row r="2923" spans="1:16" ht="15" x14ac:dyDescent="0.2">
      <c r="A2923"/>
      <c r="B2923"/>
      <c r="C2923"/>
      <c r="D2923"/>
      <c r="E2923"/>
      <c r="F2923"/>
      <c r="G2923"/>
      <c r="H2923"/>
      <c r="I2923"/>
      <c r="J2923"/>
      <c r="K2923"/>
      <c r="L2923"/>
      <c r="M2923"/>
      <c r="N2923"/>
      <c r="O2923"/>
      <c r="P2923"/>
    </row>
    <row r="2924" spans="1:16" ht="15" x14ac:dyDescent="0.2">
      <c r="A2924"/>
      <c r="B2924"/>
      <c r="C2924"/>
      <c r="D2924"/>
      <c r="E2924"/>
      <c r="F2924"/>
      <c r="G2924"/>
      <c r="H2924"/>
      <c r="I2924"/>
      <c r="J2924"/>
      <c r="K2924"/>
      <c r="L2924"/>
      <c r="M2924"/>
      <c r="N2924"/>
      <c r="O2924"/>
      <c r="P2924"/>
    </row>
    <row r="2925" spans="1:16" ht="15" x14ac:dyDescent="0.2">
      <c r="A2925"/>
      <c r="B2925"/>
      <c r="C2925"/>
      <c r="D2925"/>
      <c r="E2925"/>
      <c r="F2925"/>
      <c r="G2925"/>
      <c r="H2925"/>
      <c r="I2925"/>
      <c r="J2925"/>
      <c r="K2925"/>
      <c r="L2925"/>
      <c r="M2925"/>
      <c r="N2925"/>
      <c r="O2925"/>
      <c r="P2925"/>
    </row>
    <row r="2926" spans="1:16" ht="15" x14ac:dyDescent="0.2">
      <c r="A2926"/>
      <c r="B2926"/>
      <c r="C2926"/>
      <c r="D2926"/>
      <c r="E2926"/>
      <c r="F2926"/>
      <c r="G2926"/>
      <c r="H2926"/>
      <c r="I2926"/>
      <c r="J2926"/>
      <c r="K2926"/>
      <c r="L2926"/>
      <c r="M2926"/>
      <c r="N2926"/>
      <c r="O2926"/>
      <c r="P2926"/>
    </row>
    <row r="2927" spans="1:16" ht="15" x14ac:dyDescent="0.2">
      <c r="A2927"/>
      <c r="B2927"/>
      <c r="C2927"/>
      <c r="D2927"/>
      <c r="E2927"/>
      <c r="F2927"/>
      <c r="G2927"/>
      <c r="H2927"/>
      <c r="I2927"/>
      <c r="J2927"/>
      <c r="K2927"/>
      <c r="L2927"/>
      <c r="M2927"/>
      <c r="N2927"/>
      <c r="O2927"/>
      <c r="P2927"/>
    </row>
    <row r="2928" spans="1:16" ht="15" x14ac:dyDescent="0.2">
      <c r="A2928"/>
      <c r="B2928"/>
      <c r="C2928"/>
      <c r="D2928"/>
      <c r="E2928"/>
      <c r="F2928"/>
      <c r="G2928"/>
      <c r="H2928"/>
      <c r="I2928"/>
      <c r="J2928"/>
      <c r="K2928"/>
      <c r="L2928"/>
      <c r="M2928"/>
      <c r="N2928"/>
      <c r="O2928"/>
      <c r="P2928"/>
    </row>
    <row r="2929" spans="1:16" ht="15" x14ac:dyDescent="0.2">
      <c r="A2929"/>
      <c r="B2929"/>
      <c r="C2929"/>
      <c r="D2929"/>
      <c r="E2929"/>
      <c r="F2929"/>
      <c r="G2929"/>
      <c r="H2929"/>
      <c r="I2929"/>
      <c r="J2929"/>
      <c r="K2929"/>
      <c r="L2929"/>
      <c r="M2929"/>
      <c r="N2929"/>
      <c r="O2929"/>
      <c r="P2929"/>
    </row>
    <row r="2930" spans="1:16" ht="15" x14ac:dyDescent="0.2">
      <c r="A2930"/>
      <c r="B2930"/>
      <c r="C2930"/>
      <c r="D2930"/>
      <c r="E2930"/>
      <c r="F2930"/>
      <c r="G2930"/>
      <c r="H2930"/>
      <c r="I2930"/>
      <c r="J2930"/>
      <c r="K2930"/>
      <c r="L2930"/>
      <c r="M2930"/>
      <c r="N2930"/>
      <c r="O2930"/>
      <c r="P2930"/>
    </row>
    <row r="2931" spans="1:16" ht="15" x14ac:dyDescent="0.2">
      <c r="A2931"/>
      <c r="B2931"/>
      <c r="C2931"/>
      <c r="D2931"/>
      <c r="E2931"/>
      <c r="F2931"/>
      <c r="G2931"/>
      <c r="H2931"/>
      <c r="I2931"/>
      <c r="J2931"/>
      <c r="K2931"/>
      <c r="L2931"/>
      <c r="M2931"/>
      <c r="N2931"/>
      <c r="O2931"/>
      <c r="P2931"/>
    </row>
    <row r="2932" spans="1:16" ht="15" x14ac:dyDescent="0.2">
      <c r="A2932"/>
      <c r="B2932"/>
      <c r="C2932"/>
      <c r="D2932"/>
      <c r="E2932"/>
      <c r="F2932"/>
      <c r="G2932"/>
      <c r="H2932"/>
      <c r="I2932"/>
      <c r="J2932"/>
      <c r="K2932"/>
      <c r="L2932"/>
      <c r="M2932"/>
      <c r="N2932"/>
      <c r="O2932"/>
      <c r="P2932"/>
    </row>
    <row r="2933" spans="1:16" ht="15" x14ac:dyDescent="0.2">
      <c r="A2933"/>
      <c r="B2933"/>
      <c r="C2933"/>
      <c r="D2933"/>
      <c r="E2933"/>
      <c r="F2933"/>
      <c r="G2933"/>
      <c r="H2933"/>
      <c r="I2933"/>
      <c r="J2933"/>
      <c r="K2933"/>
      <c r="L2933"/>
      <c r="M2933"/>
      <c r="N2933"/>
      <c r="O2933"/>
      <c r="P2933"/>
    </row>
    <row r="2934" spans="1:16" ht="15" x14ac:dyDescent="0.2">
      <c r="A2934"/>
      <c r="B2934"/>
      <c r="C2934"/>
      <c r="D2934"/>
      <c r="E2934"/>
      <c r="F2934"/>
      <c r="G2934"/>
      <c r="H2934"/>
      <c r="I2934"/>
      <c r="J2934"/>
      <c r="K2934"/>
      <c r="L2934"/>
      <c r="M2934"/>
      <c r="N2934"/>
      <c r="O2934"/>
      <c r="P2934"/>
    </row>
    <row r="2935" spans="1:16" ht="15" x14ac:dyDescent="0.2">
      <c r="A2935"/>
      <c r="B2935"/>
      <c r="C2935"/>
      <c r="D2935"/>
      <c r="E2935"/>
      <c r="F2935"/>
      <c r="G2935"/>
      <c r="H2935"/>
      <c r="I2935"/>
      <c r="J2935"/>
      <c r="K2935"/>
      <c r="L2935"/>
      <c r="M2935"/>
      <c r="N2935"/>
      <c r="O2935"/>
      <c r="P2935"/>
    </row>
    <row r="2936" spans="1:16" ht="15" x14ac:dyDescent="0.2">
      <c r="A2936"/>
      <c r="B2936"/>
      <c r="C2936"/>
      <c r="D2936"/>
      <c r="E2936"/>
      <c r="F2936"/>
      <c r="G2936"/>
      <c r="H2936"/>
      <c r="I2936"/>
      <c r="J2936"/>
      <c r="K2936"/>
      <c r="L2936"/>
      <c r="M2936"/>
      <c r="N2936"/>
      <c r="O2936"/>
      <c r="P2936"/>
    </row>
    <row r="2937" spans="1:16" ht="15" x14ac:dyDescent="0.2">
      <c r="A2937"/>
      <c r="B2937"/>
      <c r="C2937"/>
      <c r="D2937"/>
      <c r="E2937"/>
      <c r="F2937"/>
      <c r="G2937"/>
      <c r="H2937"/>
      <c r="I2937"/>
      <c r="J2937"/>
      <c r="K2937"/>
      <c r="L2937"/>
      <c r="M2937"/>
      <c r="N2937"/>
      <c r="O2937"/>
      <c r="P2937"/>
    </row>
    <row r="2938" spans="1:16" ht="15" x14ac:dyDescent="0.2">
      <c r="A2938"/>
      <c r="B2938"/>
      <c r="C2938"/>
      <c r="D2938"/>
      <c r="E2938"/>
      <c r="F2938"/>
      <c r="G2938"/>
      <c r="H2938"/>
      <c r="I2938"/>
      <c r="J2938"/>
      <c r="K2938"/>
      <c r="L2938"/>
      <c r="M2938"/>
      <c r="N2938"/>
      <c r="O2938"/>
      <c r="P2938"/>
    </row>
    <row r="2939" spans="1:16" ht="15" x14ac:dyDescent="0.2">
      <c r="A2939"/>
      <c r="B2939"/>
      <c r="C2939"/>
      <c r="D2939"/>
      <c r="E2939"/>
      <c r="F2939"/>
      <c r="G2939"/>
      <c r="H2939"/>
      <c r="I2939"/>
      <c r="J2939"/>
      <c r="K2939"/>
      <c r="L2939"/>
      <c r="M2939"/>
      <c r="N2939"/>
      <c r="O2939"/>
      <c r="P2939"/>
    </row>
    <row r="2940" spans="1:16" ht="15" x14ac:dyDescent="0.2">
      <c r="A2940"/>
      <c r="B2940"/>
      <c r="C2940"/>
      <c r="D2940"/>
      <c r="E2940"/>
      <c r="F2940"/>
      <c r="G2940"/>
      <c r="H2940"/>
      <c r="I2940"/>
      <c r="J2940"/>
      <c r="K2940"/>
      <c r="L2940"/>
      <c r="M2940"/>
      <c r="N2940"/>
      <c r="O2940"/>
      <c r="P2940"/>
    </row>
    <row r="2941" spans="1:16" ht="15" x14ac:dyDescent="0.2">
      <c r="A2941"/>
      <c r="B2941"/>
      <c r="C2941"/>
      <c r="D2941"/>
      <c r="E2941"/>
      <c r="F2941"/>
      <c r="G2941"/>
      <c r="H2941"/>
      <c r="I2941"/>
      <c r="J2941"/>
      <c r="K2941"/>
      <c r="L2941"/>
      <c r="M2941"/>
      <c r="N2941"/>
      <c r="O2941"/>
      <c r="P2941"/>
    </row>
    <row r="2942" spans="1:16" ht="15" x14ac:dyDescent="0.2">
      <c r="A2942"/>
      <c r="B2942"/>
      <c r="C2942"/>
      <c r="D2942"/>
      <c r="E2942"/>
      <c r="F2942"/>
      <c r="G2942"/>
      <c r="H2942"/>
      <c r="I2942"/>
      <c r="J2942"/>
      <c r="K2942"/>
      <c r="L2942"/>
      <c r="M2942"/>
      <c r="N2942"/>
      <c r="O2942"/>
      <c r="P2942"/>
    </row>
    <row r="2943" spans="1:16" ht="15" x14ac:dyDescent="0.2">
      <c r="A2943"/>
      <c r="B2943"/>
      <c r="C2943"/>
      <c r="D2943"/>
      <c r="E2943"/>
      <c r="F2943"/>
      <c r="G2943"/>
      <c r="H2943"/>
      <c r="I2943"/>
      <c r="J2943"/>
      <c r="K2943"/>
      <c r="L2943"/>
      <c r="M2943"/>
      <c r="N2943"/>
      <c r="O2943"/>
      <c r="P2943"/>
    </row>
    <row r="2944" spans="1:16" ht="15" x14ac:dyDescent="0.2">
      <c r="A2944"/>
      <c r="B2944"/>
      <c r="C2944"/>
      <c r="D2944"/>
      <c r="E2944"/>
      <c r="F2944"/>
      <c r="G2944"/>
      <c r="H2944"/>
      <c r="I2944"/>
      <c r="J2944"/>
      <c r="K2944"/>
      <c r="L2944"/>
      <c r="M2944"/>
      <c r="N2944"/>
      <c r="O2944"/>
      <c r="P2944"/>
    </row>
    <row r="2945" spans="1:16" ht="15" x14ac:dyDescent="0.2">
      <c r="A2945"/>
      <c r="B2945"/>
      <c r="C2945"/>
      <c r="D2945"/>
      <c r="E2945"/>
      <c r="F2945"/>
      <c r="G2945"/>
      <c r="H2945"/>
      <c r="I2945"/>
      <c r="J2945"/>
      <c r="K2945"/>
      <c r="L2945"/>
      <c r="M2945"/>
      <c r="N2945"/>
      <c r="O2945"/>
      <c r="P2945"/>
    </row>
    <row r="2946" spans="1:16" ht="15" x14ac:dyDescent="0.2">
      <c r="A2946"/>
      <c r="B2946"/>
      <c r="C2946"/>
      <c r="D2946"/>
      <c r="E2946"/>
      <c r="F2946"/>
      <c r="G2946"/>
      <c r="H2946"/>
      <c r="I2946"/>
      <c r="J2946"/>
      <c r="K2946"/>
      <c r="L2946"/>
      <c r="M2946"/>
      <c r="N2946"/>
      <c r="O2946"/>
      <c r="P2946"/>
    </row>
    <row r="2947" spans="1:16" ht="15" x14ac:dyDescent="0.2">
      <c r="A2947"/>
      <c r="B2947"/>
      <c r="C2947"/>
      <c r="D2947"/>
      <c r="E2947"/>
      <c r="F2947"/>
      <c r="G2947"/>
      <c r="H2947"/>
      <c r="I2947"/>
      <c r="J2947"/>
      <c r="K2947"/>
      <c r="L2947"/>
      <c r="M2947"/>
      <c r="N2947"/>
      <c r="O2947"/>
      <c r="P2947"/>
    </row>
    <row r="2948" spans="1:16" ht="15" x14ac:dyDescent="0.2">
      <c r="A2948"/>
      <c r="B2948"/>
      <c r="C2948"/>
      <c r="D2948"/>
      <c r="E2948"/>
      <c r="F2948"/>
      <c r="G2948"/>
      <c r="H2948"/>
      <c r="I2948"/>
      <c r="J2948"/>
      <c r="K2948"/>
      <c r="L2948"/>
      <c r="M2948"/>
      <c r="N2948"/>
      <c r="O2948"/>
      <c r="P2948"/>
    </row>
    <row r="2949" spans="1:16" ht="15" x14ac:dyDescent="0.2">
      <c r="A2949"/>
      <c r="B2949"/>
      <c r="C2949"/>
      <c r="D2949"/>
      <c r="E2949"/>
      <c r="F2949"/>
      <c r="G2949"/>
      <c r="H2949"/>
      <c r="I2949"/>
      <c r="J2949"/>
      <c r="K2949"/>
      <c r="L2949"/>
      <c r="M2949"/>
      <c r="N2949"/>
      <c r="O2949"/>
      <c r="P2949"/>
    </row>
    <row r="2950" spans="1:16" ht="15" x14ac:dyDescent="0.2">
      <c r="A2950"/>
      <c r="B2950"/>
      <c r="C2950"/>
      <c r="D2950"/>
      <c r="E2950"/>
      <c r="F2950"/>
      <c r="G2950"/>
      <c r="H2950"/>
      <c r="I2950"/>
      <c r="J2950"/>
      <c r="K2950"/>
      <c r="L2950"/>
      <c r="M2950"/>
      <c r="N2950"/>
      <c r="O2950"/>
      <c r="P2950"/>
    </row>
    <row r="2951" spans="1:16" ht="15" x14ac:dyDescent="0.2">
      <c r="A2951"/>
      <c r="B2951"/>
      <c r="C2951"/>
      <c r="D2951"/>
      <c r="E2951"/>
      <c r="F2951"/>
      <c r="G2951"/>
      <c r="H2951"/>
      <c r="I2951"/>
      <c r="J2951"/>
      <c r="K2951"/>
      <c r="L2951"/>
      <c r="M2951"/>
      <c r="N2951"/>
      <c r="O2951"/>
      <c r="P2951"/>
    </row>
    <row r="2952" spans="1:16" ht="15" x14ac:dyDescent="0.2">
      <c r="A2952"/>
      <c r="B2952"/>
      <c r="C2952"/>
      <c r="D2952"/>
      <c r="E2952"/>
      <c r="F2952"/>
      <c r="G2952"/>
      <c r="H2952"/>
      <c r="I2952"/>
      <c r="J2952"/>
      <c r="K2952"/>
      <c r="L2952"/>
      <c r="M2952"/>
      <c r="N2952"/>
      <c r="O2952"/>
      <c r="P2952"/>
    </row>
    <row r="2953" spans="1:16" ht="15" x14ac:dyDescent="0.2">
      <c r="A2953"/>
      <c r="B2953"/>
      <c r="C2953"/>
      <c r="D2953"/>
      <c r="E2953"/>
      <c r="F2953"/>
      <c r="G2953"/>
      <c r="H2953"/>
      <c r="I2953"/>
      <c r="J2953"/>
      <c r="K2953"/>
      <c r="L2953"/>
      <c r="M2953"/>
      <c r="N2953"/>
      <c r="O2953"/>
      <c r="P2953"/>
    </row>
    <row r="2954" spans="1:16" ht="15" x14ac:dyDescent="0.2">
      <c r="A2954"/>
      <c r="B2954"/>
      <c r="C2954"/>
      <c r="D2954"/>
      <c r="E2954"/>
      <c r="F2954"/>
      <c r="G2954"/>
      <c r="H2954"/>
      <c r="I2954"/>
      <c r="J2954"/>
      <c r="K2954"/>
      <c r="L2954"/>
      <c r="M2954"/>
      <c r="N2954"/>
      <c r="O2954"/>
      <c r="P2954"/>
    </row>
    <row r="2955" spans="1:16" ht="15" x14ac:dyDescent="0.2">
      <c r="A2955"/>
      <c r="B2955"/>
      <c r="C2955"/>
      <c r="D2955"/>
      <c r="E2955"/>
      <c r="F2955"/>
      <c r="G2955"/>
      <c r="H2955"/>
      <c r="I2955"/>
      <c r="J2955"/>
      <c r="K2955"/>
      <c r="L2955"/>
      <c r="M2955"/>
      <c r="N2955"/>
      <c r="O2955"/>
      <c r="P2955"/>
    </row>
    <row r="2956" spans="1:16" ht="15" x14ac:dyDescent="0.2">
      <c r="A2956"/>
      <c r="B2956"/>
      <c r="C2956"/>
      <c r="D2956"/>
      <c r="E2956"/>
      <c r="F2956"/>
      <c r="G2956"/>
      <c r="H2956"/>
      <c r="I2956"/>
      <c r="J2956"/>
      <c r="K2956"/>
      <c r="L2956"/>
      <c r="M2956"/>
      <c r="N2956"/>
      <c r="O2956"/>
      <c r="P2956"/>
    </row>
    <row r="2957" spans="1:16" ht="15" x14ac:dyDescent="0.2">
      <c r="A2957"/>
      <c r="B2957"/>
      <c r="C2957"/>
      <c r="D2957"/>
      <c r="E2957"/>
      <c r="F2957"/>
      <c r="G2957"/>
      <c r="H2957"/>
      <c r="I2957"/>
      <c r="J2957"/>
      <c r="K2957"/>
      <c r="L2957"/>
      <c r="M2957"/>
      <c r="N2957"/>
      <c r="O2957"/>
      <c r="P2957"/>
    </row>
    <row r="2958" spans="1:16" ht="15" x14ac:dyDescent="0.2">
      <c r="A2958"/>
      <c r="B2958"/>
      <c r="C2958"/>
      <c r="D2958"/>
      <c r="E2958"/>
      <c r="F2958"/>
      <c r="G2958"/>
      <c r="H2958"/>
      <c r="I2958"/>
      <c r="J2958"/>
      <c r="K2958"/>
      <c r="L2958"/>
      <c r="M2958"/>
      <c r="N2958"/>
      <c r="O2958"/>
      <c r="P2958"/>
    </row>
    <row r="2959" spans="1:16" ht="15" x14ac:dyDescent="0.2">
      <c r="A2959"/>
      <c r="B2959"/>
      <c r="C2959"/>
      <c r="D2959"/>
      <c r="E2959"/>
      <c r="F2959"/>
      <c r="G2959"/>
      <c r="H2959"/>
      <c r="I2959"/>
      <c r="J2959"/>
      <c r="K2959"/>
      <c r="L2959"/>
      <c r="M2959"/>
      <c r="N2959"/>
      <c r="O2959"/>
      <c r="P2959"/>
    </row>
    <row r="2960" spans="1:16" ht="15" x14ac:dyDescent="0.2">
      <c r="A2960"/>
      <c r="B2960"/>
      <c r="C2960"/>
      <c r="D2960"/>
      <c r="E2960"/>
      <c r="F2960"/>
      <c r="G2960"/>
      <c r="H2960"/>
      <c r="I2960"/>
      <c r="J2960"/>
      <c r="K2960"/>
      <c r="L2960"/>
      <c r="M2960"/>
      <c r="N2960"/>
      <c r="O2960"/>
      <c r="P2960"/>
    </row>
    <row r="2961" spans="1:16" ht="15" x14ac:dyDescent="0.2">
      <c r="A2961"/>
      <c r="B2961"/>
      <c r="C2961"/>
      <c r="D2961"/>
      <c r="E2961"/>
      <c r="F2961"/>
      <c r="G2961"/>
      <c r="H2961"/>
      <c r="I2961"/>
      <c r="J2961"/>
      <c r="K2961"/>
      <c r="L2961"/>
      <c r="M2961"/>
      <c r="N2961"/>
      <c r="O2961"/>
      <c r="P2961"/>
    </row>
    <row r="2962" spans="1:16" ht="15" x14ac:dyDescent="0.2">
      <c r="A2962"/>
      <c r="B2962"/>
      <c r="C2962"/>
      <c r="D2962"/>
      <c r="E2962"/>
      <c r="F2962"/>
      <c r="G2962"/>
      <c r="H2962"/>
      <c r="I2962"/>
      <c r="J2962"/>
      <c r="K2962"/>
      <c r="L2962"/>
      <c r="M2962"/>
      <c r="N2962"/>
      <c r="O2962"/>
      <c r="P2962"/>
    </row>
    <row r="2963" spans="1:16" ht="15" x14ac:dyDescent="0.2">
      <c r="A2963"/>
      <c r="B2963"/>
      <c r="C2963"/>
      <c r="D2963"/>
      <c r="E2963"/>
      <c r="F2963"/>
      <c r="G2963"/>
      <c r="H2963"/>
      <c r="I2963"/>
      <c r="J2963"/>
      <c r="K2963"/>
      <c r="L2963"/>
      <c r="M2963"/>
      <c r="N2963"/>
      <c r="O2963"/>
      <c r="P2963"/>
    </row>
    <row r="2964" spans="1:16" ht="15" x14ac:dyDescent="0.2">
      <c r="A2964"/>
      <c r="B2964"/>
      <c r="C2964"/>
      <c r="D2964"/>
      <c r="E2964"/>
      <c r="F2964"/>
      <c r="G2964"/>
      <c r="H2964"/>
      <c r="I2964"/>
      <c r="J2964"/>
      <c r="K2964"/>
      <c r="L2964"/>
      <c r="M2964"/>
      <c r="N2964"/>
      <c r="O2964"/>
      <c r="P2964"/>
    </row>
    <row r="2965" spans="1:16" ht="15" x14ac:dyDescent="0.2">
      <c r="A2965"/>
      <c r="B2965"/>
      <c r="C2965"/>
      <c r="D2965"/>
      <c r="E2965"/>
      <c r="F2965"/>
      <c r="G2965"/>
      <c r="H2965"/>
      <c r="I2965"/>
      <c r="J2965"/>
      <c r="K2965"/>
      <c r="L2965"/>
      <c r="M2965"/>
      <c r="N2965"/>
      <c r="O2965"/>
      <c r="P2965"/>
    </row>
    <row r="2966" spans="1:16" ht="15" x14ac:dyDescent="0.2">
      <c r="A2966"/>
      <c r="B2966"/>
      <c r="C2966"/>
      <c r="D2966"/>
      <c r="E2966"/>
      <c r="F2966"/>
      <c r="G2966"/>
      <c r="H2966"/>
      <c r="I2966"/>
      <c r="J2966"/>
      <c r="K2966"/>
      <c r="L2966"/>
      <c r="M2966"/>
      <c r="N2966"/>
      <c r="O2966"/>
      <c r="P2966"/>
    </row>
    <row r="2967" spans="1:16" ht="15" x14ac:dyDescent="0.2">
      <c r="A2967"/>
      <c r="B2967"/>
      <c r="C2967"/>
      <c r="D2967"/>
      <c r="E2967"/>
      <c r="F2967"/>
      <c r="G2967"/>
      <c r="H2967"/>
      <c r="I2967"/>
      <c r="J2967"/>
      <c r="K2967"/>
      <c r="L2967"/>
      <c r="M2967"/>
      <c r="N2967"/>
      <c r="O2967"/>
      <c r="P2967"/>
    </row>
    <row r="2968" spans="1:16" ht="15" x14ac:dyDescent="0.2">
      <c r="A2968"/>
      <c r="B2968"/>
      <c r="C2968"/>
      <c r="D2968"/>
      <c r="E2968"/>
      <c r="F2968"/>
      <c r="G2968"/>
      <c r="H2968"/>
      <c r="I2968"/>
      <c r="J2968"/>
      <c r="K2968"/>
      <c r="L2968"/>
      <c r="M2968"/>
      <c r="N2968"/>
      <c r="O2968"/>
      <c r="P2968"/>
    </row>
    <row r="2969" spans="1:16" ht="15" x14ac:dyDescent="0.2">
      <c r="A2969"/>
      <c r="B2969"/>
      <c r="C2969"/>
      <c r="D2969"/>
      <c r="E2969"/>
      <c r="F2969"/>
      <c r="G2969"/>
      <c r="H2969"/>
      <c r="I2969"/>
      <c r="J2969"/>
      <c r="K2969"/>
      <c r="L2969"/>
      <c r="M2969"/>
      <c r="N2969"/>
      <c r="O2969"/>
      <c r="P2969"/>
    </row>
    <row r="2970" spans="1:16" ht="15" x14ac:dyDescent="0.2">
      <c r="A2970"/>
      <c r="B2970"/>
      <c r="C2970"/>
      <c r="D2970"/>
      <c r="E2970"/>
      <c r="F2970"/>
      <c r="G2970"/>
      <c r="H2970"/>
      <c r="I2970"/>
      <c r="J2970"/>
      <c r="K2970"/>
      <c r="L2970"/>
      <c r="M2970"/>
      <c r="N2970"/>
      <c r="O2970"/>
      <c r="P2970"/>
    </row>
    <row r="2971" spans="1:16" ht="15" x14ac:dyDescent="0.2">
      <c r="A2971"/>
      <c r="B2971"/>
      <c r="C2971"/>
      <c r="D2971"/>
      <c r="E2971"/>
      <c r="F2971"/>
      <c r="G2971"/>
      <c r="H2971"/>
      <c r="I2971"/>
      <c r="J2971"/>
      <c r="K2971"/>
      <c r="L2971"/>
      <c r="M2971"/>
      <c r="N2971"/>
      <c r="O2971"/>
      <c r="P2971"/>
    </row>
    <row r="2972" spans="1:16" ht="15" x14ac:dyDescent="0.2">
      <c r="A2972"/>
      <c r="B2972"/>
      <c r="C2972"/>
      <c r="D2972"/>
      <c r="E2972"/>
      <c r="F2972"/>
      <c r="G2972"/>
      <c r="H2972"/>
      <c r="I2972"/>
      <c r="J2972"/>
      <c r="K2972"/>
      <c r="L2972"/>
      <c r="M2972"/>
      <c r="N2972"/>
      <c r="O2972"/>
      <c r="P2972"/>
    </row>
    <row r="2973" spans="1:16" ht="15" x14ac:dyDescent="0.2">
      <c r="A2973"/>
      <c r="B2973"/>
      <c r="C2973"/>
      <c r="D2973"/>
      <c r="E2973"/>
      <c r="F2973"/>
      <c r="G2973"/>
      <c r="H2973"/>
      <c r="I2973"/>
      <c r="J2973"/>
      <c r="K2973"/>
      <c r="L2973"/>
      <c r="M2973"/>
      <c r="N2973"/>
      <c r="O2973"/>
      <c r="P2973"/>
    </row>
    <row r="2974" spans="1:16" ht="15" x14ac:dyDescent="0.2">
      <c r="A2974"/>
      <c r="B2974"/>
      <c r="C2974"/>
      <c r="D2974"/>
      <c r="E2974"/>
      <c r="F2974"/>
      <c r="G2974"/>
      <c r="H2974"/>
      <c r="I2974"/>
      <c r="J2974"/>
      <c r="K2974"/>
      <c r="L2974"/>
      <c r="M2974"/>
      <c r="N2974"/>
      <c r="O2974"/>
      <c r="P2974"/>
    </row>
    <row r="2975" spans="1:16" ht="15" x14ac:dyDescent="0.2">
      <c r="A2975"/>
      <c r="B2975"/>
      <c r="C2975"/>
      <c r="D2975"/>
      <c r="E2975"/>
      <c r="F2975"/>
      <c r="G2975"/>
      <c r="H2975"/>
      <c r="I2975"/>
      <c r="J2975"/>
      <c r="K2975"/>
      <c r="L2975"/>
      <c r="M2975"/>
      <c r="N2975"/>
      <c r="O2975"/>
      <c r="P2975"/>
    </row>
    <row r="2976" spans="1:16" ht="15" x14ac:dyDescent="0.2">
      <c r="A2976"/>
      <c r="B2976"/>
      <c r="C2976"/>
      <c r="D2976"/>
      <c r="E2976"/>
      <c r="F2976"/>
      <c r="G2976"/>
      <c r="H2976"/>
      <c r="I2976"/>
      <c r="J2976"/>
      <c r="K2976"/>
      <c r="L2976"/>
      <c r="M2976"/>
      <c r="N2976"/>
      <c r="O2976"/>
      <c r="P2976"/>
    </row>
    <row r="2977" spans="1:16" ht="15" x14ac:dyDescent="0.2">
      <c r="A2977"/>
      <c r="B2977"/>
      <c r="C2977"/>
      <c r="D2977"/>
      <c r="E2977"/>
      <c r="F2977"/>
      <c r="G2977"/>
      <c r="H2977"/>
      <c r="I2977"/>
      <c r="J2977"/>
      <c r="K2977"/>
      <c r="L2977"/>
      <c r="M2977"/>
      <c r="N2977"/>
      <c r="O2977"/>
      <c r="P2977"/>
    </row>
    <row r="2978" spans="1:16" ht="15" x14ac:dyDescent="0.2">
      <c r="A2978"/>
      <c r="B2978"/>
      <c r="C2978"/>
      <c r="D2978"/>
      <c r="E2978"/>
      <c r="F2978"/>
      <c r="G2978"/>
      <c r="H2978"/>
      <c r="I2978"/>
      <c r="J2978"/>
      <c r="K2978"/>
      <c r="L2978"/>
      <c r="M2978"/>
      <c r="N2978"/>
      <c r="O2978"/>
      <c r="P2978"/>
    </row>
    <row r="2979" spans="1:16" ht="15" x14ac:dyDescent="0.2">
      <c r="A2979"/>
      <c r="B2979"/>
      <c r="C2979"/>
      <c r="D2979"/>
      <c r="E2979"/>
      <c r="F2979"/>
      <c r="G2979"/>
      <c r="H2979"/>
      <c r="I2979"/>
      <c r="J2979"/>
      <c r="K2979"/>
      <c r="L2979"/>
      <c r="M2979"/>
      <c r="N2979"/>
      <c r="O2979"/>
      <c r="P2979"/>
    </row>
    <row r="2980" spans="1:16" ht="15" x14ac:dyDescent="0.2">
      <c r="A2980"/>
      <c r="B2980"/>
      <c r="C2980"/>
      <c r="D2980"/>
      <c r="E2980"/>
      <c r="F2980"/>
      <c r="G2980"/>
      <c r="H2980"/>
      <c r="I2980"/>
      <c r="J2980"/>
      <c r="K2980"/>
      <c r="L2980"/>
      <c r="M2980"/>
      <c r="N2980"/>
      <c r="O2980"/>
      <c r="P2980"/>
    </row>
    <row r="2981" spans="1:16" ht="15" x14ac:dyDescent="0.2">
      <c r="A2981"/>
      <c r="B2981"/>
      <c r="C2981"/>
      <c r="D2981"/>
      <c r="E2981"/>
      <c r="F2981"/>
      <c r="G2981"/>
      <c r="H2981"/>
      <c r="I2981"/>
      <c r="J2981"/>
      <c r="K2981"/>
      <c r="L2981"/>
      <c r="M2981"/>
      <c r="N2981"/>
      <c r="O2981"/>
      <c r="P2981"/>
    </row>
    <row r="2982" spans="1:16" ht="15" x14ac:dyDescent="0.2">
      <c r="A2982"/>
      <c r="B2982"/>
      <c r="C2982"/>
      <c r="D2982"/>
      <c r="E2982"/>
      <c r="F2982"/>
      <c r="G2982"/>
      <c r="H2982"/>
      <c r="I2982"/>
      <c r="J2982"/>
      <c r="K2982"/>
      <c r="L2982"/>
      <c r="M2982"/>
      <c r="N2982"/>
      <c r="O2982"/>
      <c r="P2982"/>
    </row>
    <row r="2983" spans="1:16" ht="15" x14ac:dyDescent="0.2">
      <c r="A2983"/>
      <c r="B2983"/>
      <c r="C2983"/>
      <c r="D2983"/>
      <c r="E2983"/>
      <c r="F2983"/>
      <c r="G2983"/>
      <c r="H2983"/>
      <c r="I2983"/>
      <c r="J2983"/>
      <c r="K2983"/>
      <c r="L2983"/>
      <c r="M2983"/>
      <c r="N2983"/>
      <c r="O2983"/>
      <c r="P2983"/>
    </row>
    <row r="2984" spans="1:16" ht="15" x14ac:dyDescent="0.2">
      <c r="A2984"/>
      <c r="B2984"/>
      <c r="C2984"/>
      <c r="D2984"/>
      <c r="E2984"/>
      <c r="F2984"/>
      <c r="G2984"/>
      <c r="H2984"/>
      <c r="I2984"/>
      <c r="J2984"/>
      <c r="K2984"/>
      <c r="L2984"/>
      <c r="M2984"/>
      <c r="N2984"/>
      <c r="O2984"/>
      <c r="P2984"/>
    </row>
    <row r="2985" spans="1:16" ht="15" x14ac:dyDescent="0.2">
      <c r="A2985"/>
      <c r="B2985"/>
      <c r="C2985"/>
      <c r="D2985"/>
      <c r="E2985"/>
      <c r="F2985"/>
      <c r="G2985"/>
      <c r="H2985"/>
      <c r="I2985"/>
      <c r="J2985"/>
      <c r="K2985"/>
      <c r="L2985"/>
      <c r="M2985"/>
      <c r="N2985"/>
      <c r="O2985"/>
      <c r="P2985"/>
    </row>
    <row r="2986" spans="1:16" ht="15" x14ac:dyDescent="0.2">
      <c r="A2986"/>
      <c r="B2986"/>
      <c r="C2986"/>
      <c r="D2986"/>
      <c r="E2986"/>
      <c r="F2986"/>
      <c r="G2986"/>
      <c r="H2986"/>
      <c r="I2986"/>
      <c r="J2986"/>
      <c r="K2986"/>
      <c r="L2986"/>
      <c r="M2986"/>
      <c r="N2986"/>
      <c r="O2986"/>
      <c r="P2986"/>
    </row>
    <row r="2987" spans="1:16" ht="15" x14ac:dyDescent="0.2">
      <c r="A2987"/>
      <c r="B2987"/>
      <c r="C2987"/>
      <c r="D2987"/>
      <c r="E2987"/>
      <c r="F2987"/>
      <c r="G2987"/>
      <c r="H2987"/>
      <c r="I2987"/>
      <c r="J2987"/>
      <c r="K2987"/>
      <c r="L2987"/>
      <c r="M2987"/>
      <c r="N2987"/>
      <c r="O2987"/>
      <c r="P2987"/>
    </row>
    <row r="2988" spans="1:16" ht="15" x14ac:dyDescent="0.2">
      <c r="A2988"/>
      <c r="B2988"/>
      <c r="C2988"/>
      <c r="D2988"/>
      <c r="E2988"/>
      <c r="F2988"/>
      <c r="G2988"/>
      <c r="H2988"/>
      <c r="I2988"/>
      <c r="J2988"/>
      <c r="K2988"/>
      <c r="L2988"/>
      <c r="M2988"/>
      <c r="N2988"/>
      <c r="O2988"/>
      <c r="P2988"/>
    </row>
    <row r="2989" spans="1:16" ht="15" x14ac:dyDescent="0.2">
      <c r="A2989"/>
      <c r="B2989"/>
      <c r="C2989"/>
      <c r="D2989"/>
      <c r="E2989"/>
      <c r="F2989"/>
      <c r="G2989"/>
      <c r="H2989"/>
      <c r="I2989"/>
      <c r="J2989"/>
      <c r="K2989"/>
      <c r="L2989"/>
      <c r="M2989"/>
      <c r="N2989"/>
      <c r="O2989"/>
      <c r="P2989"/>
    </row>
    <row r="2990" spans="1:16" ht="15" x14ac:dyDescent="0.2">
      <c r="A2990"/>
      <c r="B2990"/>
      <c r="C2990"/>
      <c r="D2990"/>
      <c r="E2990"/>
      <c r="F2990"/>
      <c r="G2990"/>
      <c r="H2990"/>
      <c r="I2990"/>
      <c r="J2990"/>
      <c r="K2990"/>
      <c r="L2990"/>
      <c r="M2990"/>
      <c r="N2990"/>
      <c r="O2990"/>
      <c r="P2990"/>
    </row>
    <row r="2991" spans="1:16" ht="15" x14ac:dyDescent="0.2">
      <c r="A2991"/>
      <c r="B2991"/>
      <c r="C2991"/>
      <c r="D2991"/>
      <c r="E2991"/>
      <c r="F2991"/>
      <c r="G2991"/>
      <c r="H2991"/>
      <c r="I2991"/>
      <c r="J2991"/>
      <c r="K2991"/>
      <c r="L2991"/>
      <c r="M2991"/>
      <c r="N2991"/>
      <c r="O2991"/>
      <c r="P2991"/>
    </row>
    <row r="2992" spans="1:16" ht="15" x14ac:dyDescent="0.2">
      <c r="A2992"/>
      <c r="B2992"/>
      <c r="C2992"/>
      <c r="D2992"/>
      <c r="E2992"/>
      <c r="F2992"/>
      <c r="G2992"/>
      <c r="H2992"/>
      <c r="I2992"/>
      <c r="J2992"/>
      <c r="K2992"/>
      <c r="L2992"/>
      <c r="M2992"/>
      <c r="N2992"/>
      <c r="O2992"/>
      <c r="P2992"/>
    </row>
    <row r="2993" spans="1:16" ht="15" x14ac:dyDescent="0.2">
      <c r="A2993"/>
      <c r="B2993"/>
      <c r="C2993"/>
      <c r="D2993"/>
      <c r="E2993"/>
      <c r="F2993"/>
      <c r="G2993"/>
      <c r="H2993"/>
      <c r="I2993"/>
      <c r="J2993"/>
      <c r="K2993"/>
      <c r="L2993"/>
      <c r="M2993"/>
      <c r="N2993"/>
      <c r="O2993"/>
      <c r="P2993"/>
    </row>
    <row r="2994" spans="1:16" ht="15" x14ac:dyDescent="0.2">
      <c r="A2994"/>
      <c r="B2994"/>
      <c r="C2994"/>
      <c r="D2994"/>
      <c r="E2994"/>
      <c r="F2994"/>
      <c r="G2994"/>
      <c r="H2994"/>
      <c r="I2994"/>
      <c r="J2994"/>
      <c r="K2994"/>
      <c r="L2994"/>
      <c r="M2994"/>
      <c r="N2994"/>
      <c r="O2994"/>
      <c r="P2994"/>
    </row>
    <row r="2995" spans="1:16" ht="15" x14ac:dyDescent="0.2">
      <c r="A2995"/>
      <c r="B2995"/>
      <c r="C2995"/>
      <c r="D2995"/>
      <c r="E2995"/>
      <c r="F2995"/>
      <c r="G2995"/>
      <c r="H2995"/>
      <c r="I2995"/>
      <c r="J2995"/>
      <c r="K2995"/>
      <c r="L2995"/>
      <c r="M2995"/>
      <c r="N2995"/>
      <c r="O2995"/>
      <c r="P2995"/>
    </row>
    <row r="2996" spans="1:16" ht="15" x14ac:dyDescent="0.2">
      <c r="A2996"/>
      <c r="B2996"/>
      <c r="C2996"/>
      <c r="D2996"/>
      <c r="E2996"/>
      <c r="F2996"/>
      <c r="G2996"/>
      <c r="H2996"/>
      <c r="I2996"/>
      <c r="J2996"/>
      <c r="K2996"/>
      <c r="L2996"/>
      <c r="M2996"/>
      <c r="N2996"/>
      <c r="O2996"/>
      <c r="P2996"/>
    </row>
    <row r="2997" spans="1:16" ht="15" x14ac:dyDescent="0.2">
      <c r="A2997"/>
      <c r="B2997"/>
      <c r="C2997"/>
      <c r="D2997"/>
      <c r="E2997"/>
      <c r="F2997"/>
      <c r="G2997"/>
      <c r="H2997"/>
      <c r="I2997"/>
      <c r="J2997"/>
      <c r="K2997"/>
      <c r="L2997"/>
      <c r="M2997"/>
      <c r="N2997"/>
      <c r="O2997"/>
      <c r="P2997"/>
    </row>
    <row r="2998" spans="1:16" ht="15" x14ac:dyDescent="0.2">
      <c r="A2998"/>
      <c r="B2998"/>
      <c r="C2998"/>
      <c r="D2998"/>
      <c r="E2998"/>
      <c r="F2998"/>
      <c r="G2998"/>
      <c r="H2998"/>
      <c r="I2998"/>
      <c r="J2998"/>
      <c r="K2998"/>
      <c r="L2998"/>
      <c r="M2998"/>
      <c r="N2998"/>
      <c r="O2998"/>
      <c r="P2998"/>
    </row>
    <row r="2999" spans="1:16" ht="15" x14ac:dyDescent="0.2">
      <c r="A2999"/>
      <c r="B2999"/>
      <c r="C2999"/>
      <c r="D2999"/>
      <c r="E2999"/>
      <c r="F2999"/>
      <c r="G2999"/>
      <c r="H2999"/>
      <c r="I2999"/>
      <c r="J2999"/>
      <c r="K2999"/>
      <c r="L2999"/>
      <c r="M2999"/>
      <c r="N2999"/>
      <c r="O2999"/>
      <c r="P2999"/>
    </row>
    <row r="3000" spans="1:16" ht="15" x14ac:dyDescent="0.2">
      <c r="A3000"/>
      <c r="B3000"/>
      <c r="C3000"/>
      <c r="D3000"/>
      <c r="E3000"/>
      <c r="F3000"/>
      <c r="G3000"/>
      <c r="H3000"/>
      <c r="I3000"/>
      <c r="J3000"/>
      <c r="K3000"/>
      <c r="L3000"/>
      <c r="M3000"/>
      <c r="N3000"/>
      <c r="O3000"/>
      <c r="P3000"/>
    </row>
    <row r="3001" spans="1:16" ht="15" x14ac:dyDescent="0.2">
      <c r="A3001"/>
      <c r="B3001"/>
      <c r="C3001"/>
      <c r="D3001"/>
      <c r="E3001"/>
      <c r="F3001"/>
      <c r="G3001"/>
      <c r="H3001"/>
      <c r="I3001"/>
      <c r="J3001"/>
      <c r="K3001"/>
      <c r="L3001"/>
      <c r="M3001"/>
      <c r="N3001"/>
      <c r="O3001"/>
      <c r="P3001"/>
    </row>
    <row r="3002" spans="1:16" ht="15" x14ac:dyDescent="0.2">
      <c r="A3002"/>
      <c r="B3002"/>
      <c r="C3002"/>
      <c r="D3002"/>
      <c r="E3002"/>
      <c r="F3002"/>
      <c r="G3002"/>
      <c r="H3002"/>
      <c r="I3002"/>
      <c r="J3002"/>
      <c r="K3002"/>
      <c r="L3002"/>
      <c r="M3002"/>
      <c r="N3002"/>
      <c r="O3002"/>
      <c r="P3002"/>
    </row>
    <row r="3003" spans="1:16" ht="15" x14ac:dyDescent="0.2">
      <c r="A3003"/>
      <c r="B3003"/>
      <c r="C3003"/>
      <c r="D3003"/>
      <c r="E3003"/>
      <c r="F3003"/>
      <c r="G3003"/>
      <c r="H3003"/>
      <c r="I3003"/>
      <c r="J3003"/>
      <c r="K3003"/>
      <c r="L3003"/>
      <c r="M3003"/>
      <c r="N3003"/>
      <c r="O3003"/>
      <c r="P3003"/>
    </row>
    <row r="3004" spans="1:16" ht="15" x14ac:dyDescent="0.2">
      <c r="A3004"/>
      <c r="B3004"/>
      <c r="C3004"/>
      <c r="D3004"/>
      <c r="E3004"/>
      <c r="F3004"/>
      <c r="G3004"/>
      <c r="H3004"/>
      <c r="I3004"/>
      <c r="J3004"/>
      <c r="K3004"/>
      <c r="L3004"/>
      <c r="M3004"/>
      <c r="N3004"/>
      <c r="O3004"/>
      <c r="P3004"/>
    </row>
    <row r="3005" spans="1:16" ht="15" x14ac:dyDescent="0.2">
      <c r="A3005"/>
      <c r="B3005"/>
      <c r="C3005"/>
      <c r="D3005"/>
      <c r="E3005"/>
      <c r="F3005"/>
      <c r="G3005"/>
      <c r="H3005"/>
      <c r="I3005"/>
      <c r="J3005"/>
      <c r="K3005"/>
      <c r="L3005"/>
      <c r="M3005"/>
      <c r="N3005"/>
      <c r="O3005"/>
      <c r="P3005"/>
    </row>
    <row r="3006" spans="1:16" ht="15" x14ac:dyDescent="0.2">
      <c r="A3006"/>
      <c r="B3006"/>
      <c r="C3006"/>
      <c r="D3006"/>
      <c r="E3006"/>
      <c r="F3006"/>
      <c r="G3006"/>
      <c r="H3006"/>
      <c r="I3006"/>
      <c r="J3006"/>
      <c r="K3006"/>
      <c r="L3006"/>
      <c r="M3006"/>
      <c r="N3006"/>
      <c r="O3006"/>
      <c r="P3006"/>
    </row>
    <row r="3007" spans="1:16" ht="15" x14ac:dyDescent="0.2">
      <c r="A3007"/>
      <c r="B3007"/>
      <c r="C3007"/>
      <c r="D3007"/>
      <c r="E3007"/>
      <c r="F3007"/>
      <c r="G3007"/>
      <c r="H3007"/>
      <c r="I3007"/>
      <c r="J3007"/>
      <c r="K3007"/>
      <c r="L3007"/>
      <c r="M3007"/>
      <c r="N3007"/>
      <c r="O3007"/>
      <c r="P3007"/>
    </row>
    <row r="3008" spans="1:16" ht="15" x14ac:dyDescent="0.2">
      <c r="A3008"/>
      <c r="B3008"/>
      <c r="C3008"/>
      <c r="D3008"/>
      <c r="E3008"/>
      <c r="F3008"/>
      <c r="G3008"/>
      <c r="H3008"/>
      <c r="I3008"/>
      <c r="J3008"/>
      <c r="K3008"/>
      <c r="L3008"/>
      <c r="M3008"/>
      <c r="N3008"/>
      <c r="O3008"/>
      <c r="P3008"/>
    </row>
    <row r="3009" spans="1:16" ht="15" x14ac:dyDescent="0.2">
      <c r="A3009"/>
      <c r="B3009"/>
      <c r="C3009"/>
      <c r="D3009"/>
      <c r="E3009"/>
      <c r="F3009"/>
      <c r="G3009"/>
      <c r="H3009"/>
      <c r="I3009"/>
      <c r="J3009"/>
      <c r="K3009"/>
      <c r="L3009"/>
      <c r="M3009"/>
      <c r="N3009"/>
      <c r="O3009"/>
      <c r="P3009"/>
    </row>
    <row r="3010" spans="1:16" ht="15" x14ac:dyDescent="0.2">
      <c r="A3010"/>
      <c r="B3010"/>
      <c r="C3010"/>
      <c r="D3010"/>
      <c r="E3010"/>
      <c r="F3010"/>
      <c r="G3010"/>
      <c r="H3010"/>
      <c r="I3010"/>
      <c r="J3010"/>
      <c r="K3010"/>
      <c r="L3010"/>
      <c r="M3010"/>
      <c r="N3010"/>
      <c r="O3010"/>
      <c r="P3010"/>
    </row>
    <row r="3011" spans="1:16" ht="15" x14ac:dyDescent="0.2">
      <c r="A3011"/>
      <c r="B3011"/>
      <c r="C3011"/>
      <c r="D3011"/>
      <c r="E3011"/>
      <c r="F3011"/>
      <c r="G3011"/>
      <c r="H3011"/>
      <c r="I3011"/>
      <c r="J3011"/>
      <c r="K3011"/>
      <c r="L3011"/>
      <c r="M3011"/>
      <c r="N3011"/>
      <c r="O3011"/>
      <c r="P3011"/>
    </row>
    <row r="3012" spans="1:16" ht="15" x14ac:dyDescent="0.2">
      <c r="A3012"/>
      <c r="B3012"/>
      <c r="C3012"/>
      <c r="D3012"/>
      <c r="E3012"/>
      <c r="F3012"/>
      <c r="G3012"/>
      <c r="H3012"/>
      <c r="I3012"/>
      <c r="J3012"/>
      <c r="K3012"/>
      <c r="L3012"/>
      <c r="M3012"/>
      <c r="N3012"/>
      <c r="O3012"/>
      <c r="P3012"/>
    </row>
    <row r="3013" spans="1:16" ht="15" x14ac:dyDescent="0.2">
      <c r="A3013"/>
      <c r="B3013"/>
      <c r="C3013"/>
      <c r="D3013"/>
      <c r="E3013"/>
      <c r="F3013"/>
      <c r="G3013"/>
      <c r="H3013"/>
      <c r="I3013"/>
      <c r="J3013"/>
      <c r="K3013"/>
      <c r="L3013"/>
      <c r="M3013"/>
      <c r="N3013"/>
      <c r="O3013"/>
      <c r="P3013"/>
    </row>
    <row r="3014" spans="1:16" ht="15" x14ac:dyDescent="0.2">
      <c r="A3014"/>
      <c r="B3014"/>
      <c r="C3014"/>
      <c r="D3014"/>
      <c r="E3014"/>
      <c r="F3014"/>
      <c r="G3014"/>
      <c r="H3014"/>
      <c r="I3014"/>
      <c r="J3014"/>
      <c r="K3014"/>
      <c r="L3014"/>
      <c r="M3014"/>
      <c r="N3014"/>
      <c r="O3014"/>
      <c r="P3014"/>
    </row>
    <row r="3015" spans="1:16" ht="15" x14ac:dyDescent="0.2">
      <c r="A3015"/>
      <c r="B3015"/>
      <c r="C3015"/>
      <c r="D3015"/>
      <c r="E3015"/>
      <c r="F3015"/>
      <c r="G3015"/>
      <c r="H3015"/>
      <c r="I3015"/>
      <c r="J3015"/>
      <c r="K3015"/>
      <c r="L3015"/>
      <c r="M3015"/>
      <c r="N3015"/>
      <c r="O3015"/>
      <c r="P3015"/>
    </row>
    <row r="3016" spans="1:16" ht="15" x14ac:dyDescent="0.2">
      <c r="A3016"/>
      <c r="B3016"/>
      <c r="C3016"/>
      <c r="D3016"/>
      <c r="E3016"/>
      <c r="F3016"/>
      <c r="G3016"/>
      <c r="H3016"/>
      <c r="I3016"/>
      <c r="J3016"/>
      <c r="K3016"/>
      <c r="L3016"/>
      <c r="M3016"/>
      <c r="N3016"/>
      <c r="O3016"/>
      <c r="P3016"/>
    </row>
    <row r="3017" spans="1:16" ht="15" x14ac:dyDescent="0.2">
      <c r="A3017"/>
      <c r="B3017"/>
      <c r="C3017"/>
      <c r="D3017"/>
      <c r="E3017"/>
      <c r="F3017"/>
      <c r="G3017"/>
      <c r="H3017"/>
      <c r="I3017"/>
      <c r="J3017"/>
      <c r="K3017"/>
      <c r="L3017"/>
      <c r="M3017"/>
      <c r="N3017"/>
      <c r="O3017"/>
      <c r="P3017"/>
    </row>
    <row r="3018" spans="1:16" ht="15" x14ac:dyDescent="0.2">
      <c r="A3018"/>
      <c r="B3018"/>
      <c r="C3018"/>
      <c r="D3018"/>
      <c r="E3018"/>
      <c r="F3018"/>
      <c r="G3018"/>
      <c r="H3018"/>
      <c r="I3018"/>
      <c r="J3018"/>
      <c r="K3018"/>
      <c r="L3018"/>
      <c r="M3018"/>
      <c r="N3018"/>
      <c r="O3018"/>
      <c r="P3018"/>
    </row>
    <row r="3019" spans="1:16" ht="15" x14ac:dyDescent="0.2">
      <c r="A3019"/>
      <c r="B3019"/>
      <c r="C3019"/>
      <c r="D3019"/>
      <c r="E3019"/>
      <c r="F3019"/>
      <c r="G3019"/>
      <c r="H3019"/>
      <c r="I3019"/>
      <c r="J3019"/>
      <c r="K3019"/>
      <c r="L3019"/>
      <c r="M3019"/>
      <c r="N3019"/>
      <c r="O3019"/>
      <c r="P3019"/>
    </row>
    <row r="3020" spans="1:16" ht="15" x14ac:dyDescent="0.2">
      <c r="A3020"/>
      <c r="B3020"/>
      <c r="C3020"/>
      <c r="D3020"/>
      <c r="E3020"/>
      <c r="F3020"/>
      <c r="G3020"/>
      <c r="H3020"/>
      <c r="I3020"/>
      <c r="J3020"/>
      <c r="K3020"/>
      <c r="L3020"/>
      <c r="M3020"/>
      <c r="N3020"/>
      <c r="O3020"/>
      <c r="P3020"/>
    </row>
    <row r="3021" spans="1:16" ht="15" x14ac:dyDescent="0.2">
      <c r="A3021"/>
      <c r="B3021"/>
      <c r="C3021"/>
      <c r="D3021"/>
      <c r="E3021"/>
      <c r="F3021"/>
      <c r="G3021"/>
      <c r="H3021"/>
      <c r="I3021"/>
      <c r="J3021"/>
      <c r="K3021"/>
      <c r="L3021"/>
      <c r="M3021"/>
      <c r="N3021"/>
      <c r="O3021"/>
      <c r="P3021"/>
    </row>
    <row r="3022" spans="1:16" ht="15" x14ac:dyDescent="0.2">
      <c r="A3022"/>
      <c r="B3022"/>
      <c r="C3022"/>
      <c r="D3022"/>
      <c r="E3022"/>
      <c r="F3022"/>
      <c r="G3022"/>
      <c r="H3022"/>
      <c r="I3022"/>
      <c r="J3022"/>
      <c r="K3022"/>
      <c r="L3022"/>
      <c r="M3022"/>
      <c r="N3022"/>
      <c r="O3022"/>
      <c r="P3022"/>
    </row>
    <row r="3023" spans="1:16" ht="15" x14ac:dyDescent="0.2">
      <c r="A3023"/>
      <c r="B3023"/>
      <c r="C3023"/>
      <c r="D3023"/>
      <c r="E3023"/>
      <c r="F3023"/>
      <c r="G3023"/>
      <c r="H3023"/>
      <c r="I3023"/>
      <c r="J3023"/>
      <c r="K3023"/>
      <c r="L3023"/>
      <c r="M3023"/>
      <c r="N3023"/>
      <c r="O3023"/>
      <c r="P3023"/>
    </row>
    <row r="3024" spans="1:16" ht="15" x14ac:dyDescent="0.2">
      <c r="A3024"/>
      <c r="B3024"/>
      <c r="C3024"/>
      <c r="D3024"/>
      <c r="E3024"/>
      <c r="F3024"/>
      <c r="G3024"/>
      <c r="H3024"/>
      <c r="I3024"/>
      <c r="J3024"/>
      <c r="K3024"/>
      <c r="L3024"/>
      <c r="M3024"/>
      <c r="N3024"/>
      <c r="O3024"/>
      <c r="P3024"/>
    </row>
    <row r="3025" spans="1:16" ht="15" x14ac:dyDescent="0.2">
      <c r="A3025"/>
      <c r="B3025"/>
      <c r="C3025"/>
      <c r="D3025"/>
      <c r="E3025"/>
      <c r="F3025"/>
      <c r="G3025"/>
      <c r="H3025"/>
      <c r="I3025"/>
      <c r="J3025"/>
      <c r="K3025"/>
      <c r="L3025"/>
      <c r="M3025"/>
      <c r="N3025"/>
      <c r="O3025"/>
      <c r="P3025"/>
    </row>
    <row r="3026" spans="1:16" ht="15" x14ac:dyDescent="0.2">
      <c r="A3026"/>
      <c r="B3026"/>
      <c r="C3026"/>
      <c r="D3026"/>
      <c r="E3026"/>
      <c r="F3026"/>
      <c r="G3026"/>
      <c r="H3026"/>
      <c r="I3026"/>
      <c r="J3026"/>
      <c r="K3026"/>
      <c r="L3026"/>
      <c r="M3026"/>
      <c r="N3026"/>
      <c r="O3026"/>
      <c r="P3026"/>
    </row>
    <row r="3027" spans="1:16" ht="15" x14ac:dyDescent="0.2">
      <c r="A3027"/>
      <c r="B3027"/>
      <c r="C3027"/>
      <c r="D3027"/>
      <c r="E3027"/>
      <c r="F3027"/>
      <c r="G3027"/>
      <c r="H3027"/>
      <c r="I3027"/>
      <c r="J3027"/>
      <c r="K3027"/>
      <c r="L3027"/>
      <c r="M3027"/>
      <c r="N3027"/>
      <c r="O3027"/>
      <c r="P3027"/>
    </row>
    <row r="3028" spans="1:16" ht="15" x14ac:dyDescent="0.2">
      <c r="A3028"/>
      <c r="B3028"/>
      <c r="C3028"/>
      <c r="D3028"/>
      <c r="E3028"/>
      <c r="F3028"/>
      <c r="G3028"/>
      <c r="H3028"/>
      <c r="I3028"/>
      <c r="J3028"/>
      <c r="K3028"/>
      <c r="L3028"/>
      <c r="M3028"/>
      <c r="N3028"/>
      <c r="O3028"/>
      <c r="P3028"/>
    </row>
    <row r="3029" spans="1:16" ht="15" x14ac:dyDescent="0.2">
      <c r="A3029"/>
      <c r="B3029"/>
      <c r="C3029"/>
      <c r="D3029"/>
      <c r="E3029"/>
      <c r="F3029"/>
      <c r="G3029"/>
      <c r="H3029"/>
      <c r="I3029"/>
      <c r="J3029"/>
      <c r="K3029"/>
      <c r="L3029"/>
      <c r="M3029"/>
      <c r="N3029"/>
      <c r="O3029"/>
      <c r="P3029"/>
    </row>
    <row r="3030" spans="1:16" ht="15" x14ac:dyDescent="0.2">
      <c r="A3030"/>
      <c r="B3030"/>
      <c r="C3030"/>
      <c r="D3030"/>
      <c r="E3030"/>
      <c r="F3030"/>
      <c r="G3030"/>
      <c r="H3030"/>
      <c r="I3030"/>
      <c r="J3030"/>
      <c r="K3030"/>
      <c r="L3030"/>
      <c r="M3030"/>
      <c r="N3030"/>
      <c r="O3030"/>
      <c r="P3030"/>
    </row>
    <row r="3031" spans="1:16" ht="15" x14ac:dyDescent="0.2">
      <c r="A3031"/>
      <c r="B3031"/>
      <c r="C3031"/>
      <c r="D3031"/>
      <c r="E3031"/>
      <c r="F3031"/>
      <c r="G3031"/>
      <c r="H3031"/>
      <c r="I3031"/>
      <c r="J3031"/>
      <c r="K3031"/>
      <c r="L3031"/>
      <c r="M3031"/>
      <c r="N3031"/>
      <c r="O3031"/>
      <c r="P3031"/>
    </row>
    <row r="3032" spans="1:16" ht="15" x14ac:dyDescent="0.2">
      <c r="A3032"/>
      <c r="B3032"/>
      <c r="C3032"/>
      <c r="D3032"/>
      <c r="E3032"/>
      <c r="F3032"/>
      <c r="G3032"/>
      <c r="H3032"/>
      <c r="I3032"/>
      <c r="J3032"/>
      <c r="K3032"/>
      <c r="L3032"/>
      <c r="M3032"/>
      <c r="N3032"/>
      <c r="O3032"/>
      <c r="P3032"/>
    </row>
    <row r="3033" spans="1:16" ht="15" x14ac:dyDescent="0.2">
      <c r="A3033"/>
      <c r="B3033"/>
      <c r="C3033"/>
      <c r="D3033"/>
      <c r="E3033"/>
      <c r="F3033"/>
      <c r="G3033"/>
      <c r="H3033"/>
      <c r="I3033"/>
      <c r="J3033"/>
      <c r="K3033"/>
      <c r="L3033"/>
      <c r="M3033"/>
      <c r="N3033"/>
      <c r="O3033"/>
      <c r="P3033"/>
    </row>
    <row r="3034" spans="1:16" ht="15" x14ac:dyDescent="0.2">
      <c r="A3034"/>
      <c r="B3034"/>
      <c r="C3034"/>
      <c r="D3034"/>
      <c r="E3034"/>
      <c r="F3034"/>
      <c r="G3034"/>
      <c r="H3034"/>
      <c r="I3034"/>
      <c r="J3034"/>
      <c r="K3034"/>
      <c r="L3034"/>
      <c r="M3034"/>
      <c r="N3034"/>
      <c r="O3034"/>
      <c r="P3034"/>
    </row>
    <row r="3035" spans="1:16" ht="15" x14ac:dyDescent="0.2">
      <c r="A3035"/>
      <c r="B3035"/>
      <c r="C3035"/>
      <c r="D3035"/>
      <c r="E3035"/>
      <c r="F3035"/>
      <c r="G3035"/>
      <c r="H3035"/>
      <c r="I3035"/>
      <c r="J3035"/>
      <c r="K3035"/>
      <c r="L3035"/>
      <c r="M3035"/>
      <c r="N3035"/>
      <c r="O3035"/>
      <c r="P3035"/>
    </row>
    <row r="3036" spans="1:16" ht="15" x14ac:dyDescent="0.2">
      <c r="A3036"/>
      <c r="B3036"/>
      <c r="C3036"/>
      <c r="D3036"/>
      <c r="E3036"/>
      <c r="F3036"/>
      <c r="G3036"/>
      <c r="H3036"/>
      <c r="I3036"/>
      <c r="J3036"/>
      <c r="K3036"/>
      <c r="L3036"/>
      <c r="M3036"/>
      <c r="N3036"/>
      <c r="O3036"/>
      <c r="P3036"/>
    </row>
    <row r="3037" spans="1:16" ht="15" x14ac:dyDescent="0.2">
      <c r="A3037"/>
      <c r="B3037"/>
      <c r="C3037"/>
      <c r="D3037"/>
      <c r="E3037"/>
      <c r="F3037"/>
      <c r="G3037"/>
      <c r="H3037"/>
      <c r="I3037"/>
      <c r="J3037"/>
      <c r="K3037"/>
      <c r="L3037"/>
      <c r="M3037"/>
      <c r="N3037"/>
      <c r="O3037"/>
      <c r="P3037"/>
    </row>
    <row r="3038" spans="1:16" ht="15" x14ac:dyDescent="0.2">
      <c r="A3038"/>
      <c r="B3038"/>
      <c r="C3038"/>
      <c r="D3038"/>
      <c r="E3038"/>
      <c r="F3038"/>
      <c r="G3038"/>
      <c r="H3038"/>
      <c r="I3038"/>
      <c r="J3038"/>
      <c r="K3038"/>
      <c r="L3038"/>
      <c r="M3038"/>
      <c r="N3038"/>
      <c r="O3038"/>
      <c r="P3038"/>
    </row>
    <row r="3039" spans="1:16" ht="15" x14ac:dyDescent="0.2">
      <c r="A3039"/>
      <c r="B3039"/>
      <c r="C3039"/>
      <c r="D3039"/>
      <c r="E3039"/>
      <c r="F3039"/>
      <c r="G3039"/>
      <c r="H3039"/>
      <c r="I3039"/>
      <c r="J3039"/>
      <c r="K3039"/>
      <c r="L3039"/>
      <c r="M3039"/>
      <c r="N3039"/>
      <c r="O3039"/>
      <c r="P3039"/>
    </row>
    <row r="3040" spans="1:16" ht="15" x14ac:dyDescent="0.2">
      <c r="A3040"/>
      <c r="B3040"/>
      <c r="C3040"/>
      <c r="D3040"/>
      <c r="E3040"/>
      <c r="F3040"/>
      <c r="G3040"/>
      <c r="H3040"/>
      <c r="I3040"/>
      <c r="J3040"/>
      <c r="K3040"/>
      <c r="L3040"/>
      <c r="M3040"/>
      <c r="N3040"/>
      <c r="O3040"/>
      <c r="P3040"/>
    </row>
    <row r="3041" spans="1:16" ht="15" x14ac:dyDescent="0.2">
      <c r="A3041"/>
      <c r="B3041"/>
      <c r="C3041"/>
      <c r="D3041"/>
      <c r="E3041"/>
      <c r="F3041"/>
      <c r="G3041"/>
      <c r="H3041"/>
      <c r="I3041"/>
      <c r="J3041"/>
      <c r="K3041"/>
      <c r="L3041"/>
      <c r="M3041"/>
      <c r="N3041"/>
      <c r="O3041"/>
      <c r="P3041"/>
    </row>
    <row r="3042" spans="1:16" ht="15" x14ac:dyDescent="0.2">
      <c r="A3042"/>
      <c r="B3042"/>
      <c r="C3042"/>
      <c r="D3042"/>
      <c r="E3042"/>
      <c r="F3042"/>
      <c r="G3042"/>
      <c r="H3042"/>
      <c r="I3042"/>
      <c r="J3042"/>
      <c r="K3042"/>
      <c r="L3042"/>
      <c r="M3042"/>
      <c r="N3042"/>
      <c r="O3042"/>
      <c r="P3042"/>
    </row>
    <row r="3043" spans="1:16" ht="15" x14ac:dyDescent="0.2">
      <c r="A3043"/>
      <c r="B3043"/>
      <c r="C3043"/>
      <c r="D3043"/>
      <c r="E3043"/>
      <c r="F3043"/>
      <c r="G3043"/>
      <c r="H3043"/>
      <c r="I3043"/>
      <c r="J3043"/>
      <c r="K3043"/>
      <c r="L3043"/>
      <c r="M3043"/>
      <c r="N3043"/>
      <c r="O3043"/>
      <c r="P3043"/>
    </row>
    <row r="3044" spans="1:16" ht="15" x14ac:dyDescent="0.2">
      <c r="A3044"/>
      <c r="B3044"/>
      <c r="C3044"/>
      <c r="D3044"/>
      <c r="E3044"/>
      <c r="F3044"/>
      <c r="G3044"/>
      <c r="H3044"/>
      <c r="I3044"/>
      <c r="J3044"/>
      <c r="K3044"/>
      <c r="L3044"/>
      <c r="M3044"/>
      <c r="N3044"/>
      <c r="O3044"/>
      <c r="P3044"/>
    </row>
    <row r="3045" spans="1:16" ht="15" x14ac:dyDescent="0.2">
      <c r="A3045"/>
      <c r="B3045"/>
      <c r="C3045"/>
      <c r="D3045"/>
      <c r="E3045"/>
      <c r="F3045"/>
      <c r="G3045"/>
      <c r="H3045"/>
      <c r="I3045"/>
      <c r="J3045"/>
      <c r="K3045"/>
      <c r="L3045"/>
      <c r="M3045"/>
      <c r="N3045"/>
      <c r="O3045"/>
      <c r="P3045"/>
    </row>
    <row r="3046" spans="1:16" ht="15" x14ac:dyDescent="0.2">
      <c r="A3046"/>
      <c r="B3046"/>
      <c r="C3046"/>
      <c r="D3046"/>
      <c r="E3046"/>
      <c r="F3046"/>
      <c r="G3046"/>
      <c r="H3046"/>
      <c r="I3046"/>
      <c r="J3046"/>
      <c r="K3046"/>
      <c r="L3046"/>
      <c r="M3046"/>
      <c r="N3046"/>
      <c r="O3046"/>
      <c r="P3046"/>
    </row>
    <row r="3047" spans="1:16" ht="15" x14ac:dyDescent="0.2">
      <c r="A3047"/>
      <c r="B3047"/>
      <c r="C3047"/>
      <c r="D3047"/>
      <c r="E3047"/>
      <c r="F3047"/>
      <c r="G3047"/>
      <c r="H3047"/>
      <c r="I3047"/>
      <c r="J3047"/>
      <c r="K3047"/>
      <c r="L3047"/>
      <c r="M3047"/>
      <c r="N3047"/>
      <c r="O3047"/>
      <c r="P3047"/>
    </row>
    <row r="3048" spans="1:16" ht="15" x14ac:dyDescent="0.2">
      <c r="A3048"/>
      <c r="B3048"/>
      <c r="C3048"/>
      <c r="D3048"/>
      <c r="E3048"/>
      <c r="F3048"/>
      <c r="G3048"/>
      <c r="H3048"/>
      <c r="I3048"/>
      <c r="J3048"/>
      <c r="K3048"/>
      <c r="L3048"/>
      <c r="M3048"/>
      <c r="N3048"/>
      <c r="O3048"/>
      <c r="P3048"/>
    </row>
    <row r="3049" spans="1:16" ht="15" x14ac:dyDescent="0.2">
      <c r="A3049"/>
      <c r="B3049"/>
      <c r="C3049"/>
      <c r="D3049"/>
      <c r="E3049"/>
      <c r="F3049"/>
      <c r="G3049"/>
      <c r="H3049"/>
      <c r="I3049"/>
      <c r="J3049"/>
      <c r="K3049"/>
      <c r="L3049"/>
      <c r="M3049"/>
      <c r="N3049"/>
      <c r="O3049"/>
      <c r="P3049"/>
    </row>
    <row r="3050" spans="1:16" ht="15" x14ac:dyDescent="0.2">
      <c r="A3050"/>
      <c r="B3050"/>
      <c r="C3050"/>
      <c r="D3050"/>
      <c r="E3050"/>
      <c r="F3050"/>
      <c r="G3050"/>
      <c r="H3050"/>
      <c r="I3050"/>
      <c r="J3050"/>
      <c r="K3050"/>
      <c r="L3050"/>
      <c r="M3050"/>
      <c r="N3050"/>
      <c r="O3050"/>
      <c r="P3050"/>
    </row>
    <row r="3051" spans="1:16" ht="15" x14ac:dyDescent="0.2">
      <c r="A3051"/>
      <c r="B3051"/>
      <c r="C3051"/>
      <c r="D3051"/>
      <c r="E3051"/>
      <c r="F3051"/>
      <c r="G3051"/>
      <c r="H3051"/>
      <c r="I3051"/>
      <c r="J3051"/>
      <c r="K3051"/>
      <c r="L3051"/>
      <c r="M3051"/>
      <c r="N3051"/>
      <c r="O3051"/>
      <c r="P3051"/>
    </row>
    <row r="3052" spans="1:16" ht="15" x14ac:dyDescent="0.2">
      <c r="A3052"/>
      <c r="B3052"/>
      <c r="C3052"/>
      <c r="D3052"/>
      <c r="E3052"/>
      <c r="F3052"/>
      <c r="G3052"/>
      <c r="H3052"/>
      <c r="I3052"/>
      <c r="J3052"/>
      <c r="K3052"/>
      <c r="L3052"/>
      <c r="M3052"/>
      <c r="N3052"/>
      <c r="O3052"/>
      <c r="P3052"/>
    </row>
    <row r="3053" spans="1:16" ht="15" x14ac:dyDescent="0.2">
      <c r="A3053"/>
      <c r="B3053"/>
      <c r="C3053"/>
      <c r="D3053"/>
      <c r="E3053"/>
      <c r="F3053"/>
      <c r="G3053"/>
      <c r="H3053"/>
      <c r="I3053"/>
      <c r="J3053"/>
      <c r="K3053"/>
      <c r="L3053"/>
      <c r="M3053"/>
      <c r="N3053"/>
      <c r="O3053"/>
      <c r="P3053"/>
    </row>
    <row r="3054" spans="1:16" ht="15" x14ac:dyDescent="0.2">
      <c r="A3054"/>
      <c r="B3054"/>
      <c r="C3054"/>
      <c r="D3054"/>
      <c r="E3054"/>
      <c r="F3054"/>
      <c r="G3054"/>
      <c r="H3054"/>
      <c r="I3054"/>
      <c r="J3054"/>
      <c r="K3054"/>
      <c r="L3054"/>
      <c r="M3054"/>
      <c r="N3054"/>
      <c r="O3054"/>
      <c r="P3054"/>
    </row>
    <row r="3055" spans="1:16" ht="15" x14ac:dyDescent="0.2">
      <c r="A3055"/>
      <c r="B3055"/>
      <c r="C3055"/>
      <c r="D3055"/>
      <c r="E3055"/>
      <c r="F3055"/>
      <c r="G3055"/>
      <c r="H3055"/>
      <c r="I3055"/>
      <c r="J3055"/>
      <c r="K3055"/>
      <c r="L3055"/>
      <c r="M3055"/>
      <c r="N3055"/>
      <c r="O3055"/>
      <c r="P3055"/>
    </row>
    <row r="3056" spans="1:16" ht="15" x14ac:dyDescent="0.2">
      <c r="A3056"/>
      <c r="B3056"/>
      <c r="C3056"/>
      <c r="D3056"/>
      <c r="E3056"/>
      <c r="F3056"/>
      <c r="G3056"/>
      <c r="H3056"/>
      <c r="I3056"/>
      <c r="J3056"/>
      <c r="K3056"/>
      <c r="L3056"/>
      <c r="M3056"/>
      <c r="N3056"/>
      <c r="O3056"/>
      <c r="P3056"/>
    </row>
    <row r="3057" spans="1:16" ht="15" x14ac:dyDescent="0.2">
      <c r="A3057"/>
      <c r="B3057"/>
      <c r="C3057"/>
      <c r="D3057"/>
      <c r="E3057"/>
      <c r="F3057"/>
      <c r="G3057"/>
      <c r="H3057"/>
      <c r="I3057"/>
      <c r="J3057"/>
      <c r="K3057"/>
      <c r="L3057"/>
      <c r="M3057"/>
      <c r="N3057"/>
      <c r="O3057"/>
      <c r="P3057"/>
    </row>
    <row r="3058" spans="1:16" ht="15" x14ac:dyDescent="0.2">
      <c r="A3058"/>
      <c r="B3058"/>
      <c r="C3058"/>
      <c r="D3058"/>
      <c r="E3058"/>
      <c r="F3058"/>
      <c r="G3058"/>
      <c r="H3058"/>
      <c r="I3058"/>
      <c r="J3058"/>
      <c r="K3058"/>
      <c r="L3058"/>
      <c r="M3058"/>
      <c r="N3058"/>
      <c r="O3058"/>
      <c r="P3058"/>
    </row>
    <row r="3059" spans="1:16" ht="15" x14ac:dyDescent="0.2">
      <c r="A3059"/>
      <c r="B3059"/>
      <c r="C3059"/>
      <c r="D3059"/>
      <c r="E3059"/>
      <c r="F3059"/>
      <c r="G3059"/>
      <c r="H3059"/>
      <c r="I3059"/>
      <c r="J3059"/>
      <c r="K3059"/>
      <c r="L3059"/>
      <c r="M3059"/>
      <c r="N3059"/>
      <c r="O3059"/>
      <c r="P3059"/>
    </row>
    <row r="3060" spans="1:16" ht="15" x14ac:dyDescent="0.2">
      <c r="A3060"/>
      <c r="B3060"/>
      <c r="C3060"/>
      <c r="D3060"/>
      <c r="E3060"/>
      <c r="F3060"/>
      <c r="G3060"/>
      <c r="H3060"/>
      <c r="I3060"/>
      <c r="J3060"/>
      <c r="K3060"/>
      <c r="L3060"/>
      <c r="M3060"/>
      <c r="N3060"/>
      <c r="O3060"/>
      <c r="P3060"/>
    </row>
    <row r="3061" spans="1:16" ht="15" x14ac:dyDescent="0.2">
      <c r="A3061"/>
      <c r="B3061"/>
      <c r="C3061"/>
      <c r="D3061"/>
      <c r="E3061"/>
      <c r="F3061"/>
      <c r="G3061"/>
      <c r="H3061"/>
      <c r="I3061"/>
      <c r="J3061"/>
      <c r="K3061"/>
      <c r="L3061"/>
      <c r="M3061"/>
      <c r="N3061"/>
      <c r="O3061"/>
      <c r="P3061"/>
    </row>
    <row r="3062" spans="1:16" ht="15" x14ac:dyDescent="0.2">
      <c r="A3062"/>
      <c r="B3062"/>
      <c r="C3062"/>
      <c r="D3062"/>
      <c r="E3062"/>
      <c r="F3062"/>
      <c r="G3062"/>
      <c r="H3062"/>
      <c r="I3062"/>
      <c r="J3062"/>
      <c r="K3062"/>
      <c r="L3062"/>
      <c r="M3062"/>
      <c r="N3062"/>
      <c r="O3062"/>
      <c r="P3062"/>
    </row>
    <row r="3063" spans="1:16" ht="15" x14ac:dyDescent="0.2">
      <c r="A3063"/>
      <c r="B3063"/>
      <c r="C3063"/>
      <c r="D3063"/>
      <c r="E3063"/>
      <c r="F3063"/>
      <c r="G3063"/>
      <c r="H3063"/>
      <c r="I3063"/>
      <c r="J3063"/>
      <c r="K3063"/>
      <c r="L3063"/>
      <c r="M3063"/>
      <c r="N3063"/>
      <c r="O3063"/>
      <c r="P3063"/>
    </row>
    <row r="3064" spans="1:16" ht="15" x14ac:dyDescent="0.2">
      <c r="A3064"/>
      <c r="B3064"/>
      <c r="C3064"/>
      <c r="D3064"/>
      <c r="E3064"/>
      <c r="F3064"/>
      <c r="G3064"/>
      <c r="H3064"/>
      <c r="I3064"/>
      <c r="J3064"/>
      <c r="K3064"/>
      <c r="L3064"/>
      <c r="M3064"/>
      <c r="N3064"/>
      <c r="O3064"/>
      <c r="P3064"/>
    </row>
    <row r="3065" spans="1:16" ht="15" x14ac:dyDescent="0.2">
      <c r="A3065"/>
      <c r="B3065"/>
      <c r="C3065"/>
      <c r="D3065"/>
      <c r="E3065"/>
      <c r="F3065"/>
      <c r="G3065"/>
      <c r="H3065"/>
      <c r="I3065"/>
      <c r="J3065"/>
      <c r="K3065"/>
      <c r="L3065"/>
      <c r="M3065"/>
      <c r="N3065"/>
      <c r="O3065"/>
      <c r="P3065"/>
    </row>
    <row r="3066" spans="1:16" ht="15" x14ac:dyDescent="0.2">
      <c r="A3066"/>
      <c r="B3066"/>
      <c r="C3066"/>
      <c r="D3066"/>
      <c r="E3066"/>
      <c r="F3066"/>
      <c r="G3066"/>
      <c r="H3066"/>
      <c r="I3066"/>
      <c r="J3066"/>
      <c r="K3066"/>
      <c r="L3066"/>
      <c r="M3066"/>
      <c r="N3066"/>
      <c r="O3066"/>
      <c r="P3066"/>
    </row>
    <row r="3067" spans="1:16" ht="15" x14ac:dyDescent="0.2">
      <c r="A3067"/>
      <c r="B3067"/>
      <c r="C3067"/>
      <c r="D3067"/>
      <c r="E3067"/>
      <c r="F3067"/>
      <c r="G3067"/>
      <c r="H3067"/>
      <c r="I3067"/>
      <c r="J3067"/>
      <c r="K3067"/>
      <c r="L3067"/>
      <c r="M3067"/>
      <c r="N3067"/>
      <c r="O3067"/>
      <c r="P3067"/>
    </row>
    <row r="3068" spans="1:16" ht="15" x14ac:dyDescent="0.2">
      <c r="A3068"/>
      <c r="B3068"/>
      <c r="C3068"/>
      <c r="D3068"/>
      <c r="E3068"/>
      <c r="F3068"/>
      <c r="G3068"/>
      <c r="H3068"/>
      <c r="I3068"/>
      <c r="J3068"/>
      <c r="K3068"/>
      <c r="L3068"/>
      <c r="M3068"/>
      <c r="N3068"/>
      <c r="O3068"/>
      <c r="P3068"/>
    </row>
    <row r="3069" spans="1:16" ht="15" x14ac:dyDescent="0.2">
      <c r="A3069"/>
      <c r="B3069"/>
      <c r="C3069"/>
      <c r="D3069"/>
      <c r="E3069"/>
      <c r="F3069"/>
      <c r="G3069"/>
      <c r="H3069"/>
      <c r="I3069"/>
      <c r="J3069"/>
      <c r="K3069"/>
      <c r="L3069"/>
      <c r="M3069"/>
      <c r="N3069"/>
      <c r="O3069"/>
      <c r="P3069"/>
    </row>
    <row r="3070" spans="1:16" ht="15" x14ac:dyDescent="0.2">
      <c r="A3070"/>
      <c r="B3070"/>
      <c r="C3070"/>
      <c r="D3070"/>
      <c r="E3070"/>
      <c r="F3070"/>
      <c r="G3070"/>
      <c r="H3070"/>
      <c r="I3070"/>
      <c r="J3070"/>
      <c r="K3070"/>
      <c r="L3070"/>
      <c r="M3070"/>
      <c r="N3070"/>
      <c r="O3070"/>
      <c r="P3070"/>
    </row>
    <row r="3071" spans="1:16" ht="15" x14ac:dyDescent="0.2">
      <c r="A3071"/>
      <c r="B3071"/>
      <c r="C3071"/>
      <c r="D3071"/>
      <c r="E3071"/>
      <c r="F3071"/>
      <c r="G3071"/>
      <c r="H3071"/>
      <c r="I3071"/>
      <c r="J3071"/>
      <c r="K3071"/>
      <c r="L3071"/>
      <c r="M3071"/>
      <c r="N3071"/>
      <c r="O3071"/>
      <c r="P3071"/>
    </row>
    <row r="3072" spans="1:16" ht="15" x14ac:dyDescent="0.2">
      <c r="A3072"/>
      <c r="B3072"/>
      <c r="C3072"/>
      <c r="D3072"/>
      <c r="E3072"/>
      <c r="F3072"/>
      <c r="G3072"/>
      <c r="H3072"/>
      <c r="I3072"/>
      <c r="J3072"/>
      <c r="K3072"/>
      <c r="L3072"/>
      <c r="M3072"/>
      <c r="N3072"/>
      <c r="O3072"/>
      <c r="P3072"/>
    </row>
    <row r="3073" spans="1:16" ht="15" x14ac:dyDescent="0.2">
      <c r="A3073"/>
      <c r="B3073"/>
      <c r="C3073"/>
      <c r="D3073"/>
      <c r="E3073"/>
      <c r="F3073"/>
      <c r="G3073"/>
      <c r="H3073"/>
      <c r="I3073"/>
      <c r="J3073"/>
      <c r="K3073"/>
      <c r="L3073"/>
      <c r="M3073"/>
      <c r="N3073"/>
      <c r="O3073"/>
      <c r="P3073"/>
    </row>
    <row r="3074" spans="1:16" ht="15" x14ac:dyDescent="0.2">
      <c r="A3074"/>
      <c r="B3074"/>
      <c r="C3074"/>
      <c r="D3074"/>
      <c r="E3074"/>
      <c r="F3074"/>
      <c r="G3074"/>
      <c r="H3074"/>
      <c r="I3074"/>
      <c r="J3074"/>
      <c r="K3074"/>
      <c r="L3074"/>
      <c r="M3074"/>
      <c r="N3074"/>
      <c r="O3074"/>
      <c r="P3074"/>
    </row>
    <row r="3075" spans="1:16" ht="15" x14ac:dyDescent="0.2">
      <c r="A3075"/>
      <c r="B3075"/>
      <c r="C3075"/>
      <c r="D3075"/>
      <c r="E3075"/>
      <c r="F3075"/>
      <c r="G3075"/>
      <c r="H3075"/>
      <c r="I3075"/>
      <c r="J3075"/>
      <c r="K3075"/>
      <c r="L3075"/>
      <c r="M3075"/>
      <c r="N3075"/>
      <c r="O3075"/>
      <c r="P3075"/>
    </row>
    <row r="3076" spans="1:16" ht="15" x14ac:dyDescent="0.2">
      <c r="A3076"/>
      <c r="B3076"/>
      <c r="C3076"/>
      <c r="D3076"/>
      <c r="E3076"/>
      <c r="F3076"/>
      <c r="G3076"/>
      <c r="H3076"/>
      <c r="I3076"/>
      <c r="J3076"/>
      <c r="K3076"/>
      <c r="L3076"/>
      <c r="M3076"/>
      <c r="N3076"/>
      <c r="O3076"/>
      <c r="P3076"/>
    </row>
    <row r="3077" spans="1:16" ht="15" x14ac:dyDescent="0.2">
      <c r="A3077"/>
      <c r="B3077"/>
      <c r="C3077"/>
      <c r="D3077"/>
      <c r="E3077"/>
      <c r="F3077"/>
      <c r="G3077"/>
      <c r="H3077"/>
      <c r="I3077"/>
      <c r="J3077"/>
      <c r="K3077"/>
      <c r="L3077"/>
      <c r="M3077"/>
      <c r="N3077"/>
      <c r="O3077"/>
      <c r="P3077"/>
    </row>
    <row r="3078" spans="1:16" ht="15" x14ac:dyDescent="0.2">
      <c r="A3078"/>
      <c r="B3078"/>
      <c r="C3078"/>
      <c r="D3078"/>
      <c r="E3078"/>
      <c r="F3078"/>
      <c r="G3078"/>
      <c r="H3078"/>
      <c r="I3078"/>
      <c r="J3078"/>
      <c r="K3078"/>
      <c r="L3078"/>
      <c r="M3078"/>
      <c r="N3078"/>
      <c r="O3078"/>
      <c r="P3078"/>
    </row>
    <row r="3079" spans="1:16" ht="15" x14ac:dyDescent="0.2">
      <c r="A3079"/>
      <c r="B3079"/>
      <c r="C3079"/>
      <c r="D3079"/>
      <c r="E3079"/>
      <c r="F3079"/>
      <c r="G3079"/>
      <c r="H3079"/>
      <c r="I3079"/>
      <c r="J3079"/>
      <c r="K3079"/>
      <c r="L3079"/>
      <c r="M3079"/>
      <c r="N3079"/>
      <c r="O3079"/>
      <c r="P3079"/>
    </row>
    <row r="3080" spans="1:16" ht="15" x14ac:dyDescent="0.2">
      <c r="A3080"/>
      <c r="B3080"/>
      <c r="C3080"/>
      <c r="D3080"/>
      <c r="E3080"/>
      <c r="F3080"/>
      <c r="G3080"/>
      <c r="H3080"/>
      <c r="I3080"/>
      <c r="J3080"/>
      <c r="K3080"/>
      <c r="L3080"/>
      <c r="M3080"/>
      <c r="N3080"/>
      <c r="O3080"/>
      <c r="P3080"/>
    </row>
    <row r="3081" spans="1:16" ht="15" x14ac:dyDescent="0.2">
      <c r="A3081"/>
      <c r="B3081"/>
      <c r="C3081"/>
      <c r="D3081"/>
      <c r="E3081"/>
      <c r="F3081"/>
      <c r="G3081"/>
      <c r="H3081"/>
      <c r="I3081"/>
      <c r="J3081"/>
      <c r="K3081"/>
      <c r="L3081"/>
      <c r="M3081"/>
      <c r="N3081"/>
      <c r="O3081"/>
      <c r="P3081"/>
    </row>
    <row r="3082" spans="1:16" ht="15" x14ac:dyDescent="0.2">
      <c r="A3082"/>
      <c r="B3082"/>
      <c r="C3082"/>
      <c r="D3082"/>
      <c r="E3082"/>
      <c r="F3082"/>
      <c r="G3082"/>
      <c r="H3082"/>
      <c r="I3082"/>
      <c r="J3082"/>
      <c r="K3082"/>
      <c r="L3082"/>
      <c r="M3082"/>
      <c r="N3082"/>
      <c r="O3082"/>
      <c r="P3082"/>
    </row>
    <row r="3083" spans="1:16" ht="15" x14ac:dyDescent="0.2">
      <c r="A3083"/>
      <c r="B3083"/>
      <c r="C3083"/>
      <c r="D3083"/>
      <c r="E3083"/>
      <c r="F3083"/>
      <c r="G3083"/>
      <c r="H3083"/>
      <c r="I3083"/>
      <c r="J3083"/>
      <c r="K3083"/>
      <c r="L3083"/>
      <c r="M3083"/>
      <c r="N3083"/>
      <c r="O3083"/>
      <c r="P3083"/>
    </row>
    <row r="3084" spans="1:16" ht="15" x14ac:dyDescent="0.2">
      <c r="A3084"/>
      <c r="B3084"/>
      <c r="C3084"/>
      <c r="D3084"/>
      <c r="E3084"/>
      <c r="F3084"/>
      <c r="G3084"/>
      <c r="H3084"/>
      <c r="I3084"/>
      <c r="J3084"/>
      <c r="K3084"/>
      <c r="L3084"/>
      <c r="M3084"/>
      <c r="N3084"/>
      <c r="O3084"/>
      <c r="P3084"/>
    </row>
    <row r="3085" spans="1:16" ht="15" x14ac:dyDescent="0.2">
      <c r="A3085"/>
      <c r="B3085"/>
      <c r="C3085"/>
      <c r="D3085"/>
      <c r="E3085"/>
      <c r="F3085"/>
      <c r="G3085"/>
      <c r="H3085"/>
      <c r="I3085"/>
      <c r="J3085"/>
      <c r="K3085"/>
      <c r="L3085"/>
      <c r="M3085"/>
      <c r="N3085"/>
      <c r="O3085"/>
      <c r="P3085"/>
    </row>
    <row r="3086" spans="1:16" ht="15" x14ac:dyDescent="0.2">
      <c r="A3086"/>
      <c r="B3086"/>
      <c r="C3086"/>
      <c r="D3086"/>
      <c r="E3086"/>
      <c r="F3086"/>
      <c r="G3086"/>
      <c r="H3086"/>
      <c r="I3086"/>
      <c r="J3086"/>
      <c r="K3086"/>
      <c r="L3086"/>
      <c r="M3086"/>
      <c r="N3086"/>
      <c r="O3086"/>
      <c r="P3086"/>
    </row>
    <row r="3087" spans="1:16" ht="15" x14ac:dyDescent="0.2">
      <c r="A3087"/>
      <c r="B3087"/>
      <c r="C3087"/>
      <c r="D3087"/>
      <c r="E3087"/>
      <c r="F3087"/>
      <c r="G3087"/>
      <c r="H3087"/>
      <c r="I3087"/>
      <c r="J3087"/>
      <c r="K3087"/>
      <c r="L3087"/>
      <c r="M3087"/>
      <c r="N3087"/>
      <c r="O3087"/>
      <c r="P3087"/>
    </row>
    <row r="3088" spans="1:16" ht="15" x14ac:dyDescent="0.2">
      <c r="A3088"/>
      <c r="B3088"/>
      <c r="C3088"/>
      <c r="D3088"/>
      <c r="E3088"/>
      <c r="F3088"/>
      <c r="G3088"/>
      <c r="H3088"/>
      <c r="I3088"/>
      <c r="J3088"/>
      <c r="K3088"/>
      <c r="L3088"/>
      <c r="M3088"/>
      <c r="N3088"/>
      <c r="O3088"/>
      <c r="P3088"/>
    </row>
    <row r="3089" spans="1:16" ht="15" x14ac:dyDescent="0.2">
      <c r="A3089"/>
      <c r="B3089"/>
      <c r="C3089"/>
      <c r="D3089"/>
      <c r="E3089"/>
      <c r="F3089"/>
      <c r="G3089"/>
      <c r="H3089"/>
      <c r="I3089"/>
      <c r="J3089"/>
      <c r="K3089"/>
      <c r="L3089"/>
      <c r="M3089"/>
      <c r="N3089"/>
      <c r="O3089"/>
      <c r="P3089"/>
    </row>
    <row r="3090" spans="1:16" ht="15" x14ac:dyDescent="0.2">
      <c r="A3090"/>
      <c r="B3090"/>
      <c r="C3090"/>
      <c r="D3090"/>
      <c r="E3090"/>
      <c r="F3090"/>
      <c r="G3090"/>
      <c r="H3090"/>
      <c r="I3090"/>
      <c r="J3090"/>
      <c r="K3090"/>
      <c r="L3090"/>
      <c r="M3090"/>
      <c r="N3090"/>
      <c r="O3090"/>
      <c r="P3090"/>
    </row>
    <row r="3091" spans="1:16" ht="15" x14ac:dyDescent="0.2">
      <c r="A3091"/>
      <c r="B3091"/>
      <c r="C3091"/>
      <c r="D3091"/>
      <c r="E3091"/>
      <c r="F3091"/>
      <c r="G3091"/>
      <c r="H3091"/>
      <c r="I3091"/>
      <c r="J3091"/>
      <c r="K3091"/>
      <c r="L3091"/>
      <c r="M3091"/>
      <c r="N3091"/>
      <c r="O3091"/>
      <c r="P3091"/>
    </row>
    <row r="3092" spans="1:16" ht="15" x14ac:dyDescent="0.2">
      <c r="A3092"/>
      <c r="B3092"/>
      <c r="C3092"/>
      <c r="D3092"/>
      <c r="E3092"/>
      <c r="F3092"/>
      <c r="G3092"/>
      <c r="H3092"/>
      <c r="I3092"/>
      <c r="J3092"/>
      <c r="K3092"/>
      <c r="L3092"/>
      <c r="M3092"/>
      <c r="N3092"/>
      <c r="O3092"/>
      <c r="P3092"/>
    </row>
    <row r="3093" spans="1:16" ht="15" x14ac:dyDescent="0.2">
      <c r="A3093"/>
      <c r="B3093"/>
      <c r="C3093"/>
      <c r="D3093"/>
      <c r="E3093"/>
      <c r="F3093"/>
      <c r="G3093"/>
      <c r="H3093"/>
      <c r="I3093"/>
      <c r="J3093"/>
      <c r="K3093"/>
      <c r="L3093"/>
      <c r="M3093"/>
      <c r="N3093"/>
      <c r="O3093"/>
      <c r="P3093"/>
    </row>
    <row r="3094" spans="1:16" ht="15" x14ac:dyDescent="0.2">
      <c r="A3094"/>
      <c r="B3094"/>
      <c r="C3094"/>
      <c r="D3094"/>
      <c r="E3094"/>
      <c r="F3094"/>
      <c r="G3094"/>
      <c r="H3094"/>
      <c r="I3094"/>
      <c r="J3094"/>
      <c r="K3094"/>
      <c r="L3094"/>
      <c r="M3094"/>
      <c r="N3094"/>
      <c r="O3094"/>
      <c r="P3094"/>
    </row>
    <row r="3095" spans="1:16" ht="15" x14ac:dyDescent="0.2">
      <c r="A3095"/>
      <c r="B3095"/>
      <c r="C3095"/>
      <c r="D3095"/>
      <c r="E3095"/>
      <c r="F3095"/>
      <c r="G3095"/>
      <c r="H3095"/>
      <c r="I3095"/>
      <c r="J3095"/>
      <c r="K3095"/>
      <c r="L3095"/>
      <c r="M3095"/>
      <c r="N3095"/>
      <c r="O3095"/>
      <c r="P3095"/>
    </row>
    <row r="3096" spans="1:16" ht="15" x14ac:dyDescent="0.2">
      <c r="A3096"/>
      <c r="B3096"/>
      <c r="C3096"/>
      <c r="D3096"/>
      <c r="E3096"/>
      <c r="F3096"/>
      <c r="G3096"/>
      <c r="H3096"/>
      <c r="I3096"/>
      <c r="J3096"/>
      <c r="K3096"/>
      <c r="L3096"/>
      <c r="M3096"/>
      <c r="N3096"/>
      <c r="O3096"/>
      <c r="P3096"/>
    </row>
    <row r="3097" spans="1:16" ht="15" x14ac:dyDescent="0.2">
      <c r="A3097"/>
      <c r="B3097"/>
      <c r="C3097"/>
      <c r="D3097"/>
      <c r="E3097"/>
      <c r="F3097"/>
      <c r="G3097"/>
      <c r="H3097"/>
      <c r="I3097"/>
      <c r="J3097"/>
      <c r="K3097"/>
      <c r="L3097"/>
      <c r="M3097"/>
      <c r="N3097"/>
      <c r="O3097"/>
      <c r="P3097"/>
    </row>
    <row r="3098" spans="1:16" ht="15" x14ac:dyDescent="0.2">
      <c r="A3098"/>
      <c r="B3098"/>
      <c r="C3098"/>
      <c r="D3098"/>
      <c r="E3098"/>
      <c r="F3098"/>
      <c r="G3098"/>
      <c r="H3098"/>
      <c r="I3098"/>
      <c r="J3098"/>
      <c r="K3098"/>
      <c r="L3098"/>
      <c r="M3098"/>
      <c r="N3098"/>
      <c r="O3098"/>
      <c r="P3098"/>
    </row>
    <row r="3099" spans="1:16" ht="15" x14ac:dyDescent="0.2">
      <c r="A3099"/>
      <c r="B3099"/>
      <c r="C3099"/>
      <c r="D3099"/>
      <c r="E3099"/>
      <c r="F3099"/>
      <c r="G3099"/>
      <c r="H3099"/>
      <c r="I3099"/>
      <c r="J3099"/>
      <c r="K3099"/>
      <c r="L3099"/>
      <c r="M3099"/>
      <c r="N3099"/>
      <c r="O3099"/>
      <c r="P3099"/>
    </row>
    <row r="3100" spans="1:16" ht="15" x14ac:dyDescent="0.2">
      <c r="A3100"/>
      <c r="B3100"/>
      <c r="C3100"/>
      <c r="D3100"/>
      <c r="E3100"/>
      <c r="F3100"/>
      <c r="G3100"/>
      <c r="H3100"/>
      <c r="I3100"/>
      <c r="J3100"/>
      <c r="K3100"/>
      <c r="L3100"/>
      <c r="M3100"/>
      <c r="N3100"/>
      <c r="O3100"/>
      <c r="P3100"/>
    </row>
    <row r="3101" spans="1:16" ht="15" x14ac:dyDescent="0.2">
      <c r="A3101"/>
      <c r="B3101"/>
      <c r="C3101"/>
      <c r="D3101"/>
      <c r="E3101"/>
      <c r="F3101"/>
      <c r="G3101"/>
      <c r="H3101"/>
      <c r="I3101"/>
      <c r="J3101"/>
      <c r="K3101"/>
      <c r="L3101"/>
      <c r="M3101"/>
      <c r="N3101"/>
      <c r="O3101"/>
      <c r="P3101"/>
    </row>
    <row r="3102" spans="1:16" ht="15" x14ac:dyDescent="0.2">
      <c r="A3102"/>
      <c r="B3102"/>
      <c r="C3102"/>
      <c r="D3102"/>
      <c r="E3102"/>
      <c r="F3102"/>
      <c r="G3102"/>
      <c r="H3102"/>
      <c r="I3102"/>
      <c r="J3102"/>
      <c r="K3102"/>
      <c r="L3102"/>
      <c r="M3102"/>
      <c r="N3102"/>
      <c r="O3102"/>
      <c r="P3102"/>
    </row>
    <row r="3103" spans="1:16" ht="15" x14ac:dyDescent="0.2">
      <c r="A3103"/>
      <c r="B3103"/>
      <c r="C3103"/>
      <c r="D3103"/>
      <c r="E3103"/>
      <c r="F3103"/>
      <c r="G3103"/>
      <c r="H3103"/>
      <c r="I3103"/>
      <c r="J3103"/>
      <c r="K3103"/>
      <c r="L3103"/>
      <c r="M3103"/>
      <c r="N3103"/>
      <c r="O3103"/>
      <c r="P3103"/>
    </row>
    <row r="3104" spans="1:16" ht="15" x14ac:dyDescent="0.2">
      <c r="A3104"/>
      <c r="B3104"/>
      <c r="C3104"/>
      <c r="D3104"/>
      <c r="E3104"/>
      <c r="F3104"/>
      <c r="G3104"/>
      <c r="H3104"/>
      <c r="I3104"/>
      <c r="J3104"/>
      <c r="K3104"/>
      <c r="L3104"/>
      <c r="M3104"/>
      <c r="N3104"/>
      <c r="O3104"/>
      <c r="P3104"/>
    </row>
    <row r="3105" spans="1:16" ht="15" x14ac:dyDescent="0.2">
      <c r="A3105"/>
      <c r="B3105"/>
      <c r="C3105"/>
      <c r="D3105"/>
      <c r="E3105"/>
      <c r="F3105"/>
      <c r="G3105"/>
      <c r="H3105"/>
      <c r="I3105"/>
      <c r="J3105"/>
      <c r="K3105"/>
      <c r="L3105"/>
      <c r="M3105"/>
      <c r="N3105"/>
      <c r="O3105"/>
      <c r="P3105"/>
    </row>
    <row r="3106" spans="1:16" ht="15" x14ac:dyDescent="0.2">
      <c r="A3106"/>
      <c r="B3106"/>
      <c r="C3106"/>
      <c r="D3106"/>
      <c r="E3106"/>
      <c r="F3106"/>
      <c r="G3106"/>
      <c r="H3106"/>
      <c r="I3106"/>
      <c r="J3106"/>
      <c r="K3106"/>
      <c r="L3106"/>
      <c r="M3106"/>
      <c r="N3106"/>
      <c r="O3106"/>
      <c r="P3106"/>
    </row>
    <row r="3107" spans="1:16" ht="15" x14ac:dyDescent="0.2">
      <c r="A3107"/>
      <c r="B3107"/>
      <c r="C3107"/>
      <c r="D3107"/>
      <c r="E3107"/>
      <c r="F3107"/>
      <c r="G3107"/>
      <c r="H3107"/>
      <c r="I3107"/>
      <c r="J3107"/>
      <c r="K3107"/>
      <c r="L3107"/>
      <c r="M3107"/>
      <c r="N3107"/>
      <c r="O3107"/>
      <c r="P3107"/>
    </row>
    <row r="3108" spans="1:16" ht="15" x14ac:dyDescent="0.2">
      <c r="A3108"/>
      <c r="B3108"/>
      <c r="C3108"/>
      <c r="D3108"/>
      <c r="E3108"/>
      <c r="F3108"/>
      <c r="G3108"/>
      <c r="H3108"/>
      <c r="I3108"/>
      <c r="J3108"/>
      <c r="K3108"/>
      <c r="L3108"/>
      <c r="M3108"/>
      <c r="N3108"/>
      <c r="O3108"/>
      <c r="P3108"/>
    </row>
    <row r="3109" spans="1:16" ht="15" x14ac:dyDescent="0.2">
      <c r="A3109"/>
      <c r="B3109"/>
      <c r="C3109"/>
      <c r="D3109"/>
      <c r="E3109"/>
      <c r="F3109"/>
      <c r="G3109"/>
      <c r="H3109"/>
      <c r="I3109"/>
      <c r="J3109"/>
      <c r="K3109"/>
      <c r="L3109"/>
      <c r="M3109"/>
      <c r="N3109"/>
      <c r="O3109"/>
      <c r="P3109"/>
    </row>
    <row r="3110" spans="1:16" ht="15" x14ac:dyDescent="0.2">
      <c r="A3110"/>
      <c r="B3110"/>
      <c r="C3110"/>
      <c r="D3110"/>
      <c r="E3110"/>
      <c r="F3110"/>
      <c r="G3110"/>
      <c r="H3110"/>
      <c r="I3110"/>
      <c r="J3110"/>
      <c r="K3110"/>
      <c r="L3110"/>
      <c r="M3110"/>
      <c r="N3110"/>
      <c r="O3110"/>
      <c r="P3110"/>
    </row>
    <row r="3111" spans="1:16" ht="15" x14ac:dyDescent="0.2">
      <c r="A3111"/>
      <c r="B3111"/>
      <c r="C3111"/>
      <c r="D3111"/>
      <c r="E3111"/>
      <c r="F3111"/>
      <c r="G3111"/>
      <c r="H3111"/>
      <c r="I3111"/>
      <c r="J3111"/>
      <c r="K3111"/>
      <c r="L3111"/>
      <c r="M3111"/>
      <c r="N3111"/>
      <c r="O3111"/>
      <c r="P3111"/>
    </row>
    <row r="3112" spans="1:16" ht="15" x14ac:dyDescent="0.2">
      <c r="A3112"/>
      <c r="B3112"/>
      <c r="C3112"/>
      <c r="D3112"/>
      <c r="E3112"/>
      <c r="F3112"/>
      <c r="G3112"/>
      <c r="H3112"/>
      <c r="I3112"/>
      <c r="J3112"/>
      <c r="K3112"/>
      <c r="L3112"/>
      <c r="M3112"/>
      <c r="N3112"/>
      <c r="O3112"/>
      <c r="P3112"/>
    </row>
    <row r="3113" spans="1:16" ht="15" x14ac:dyDescent="0.2">
      <c r="A3113"/>
      <c r="B3113"/>
      <c r="C3113"/>
      <c r="D3113"/>
      <c r="E3113"/>
      <c r="F3113"/>
      <c r="G3113"/>
      <c r="H3113"/>
      <c r="I3113"/>
      <c r="J3113"/>
      <c r="K3113"/>
      <c r="L3113"/>
      <c r="M3113"/>
      <c r="N3113"/>
      <c r="O3113"/>
      <c r="P3113"/>
    </row>
    <row r="3114" spans="1:16" ht="15" x14ac:dyDescent="0.2">
      <c r="A3114"/>
      <c r="B3114"/>
      <c r="C3114"/>
      <c r="D3114"/>
      <c r="E3114"/>
      <c r="F3114"/>
      <c r="G3114"/>
      <c r="H3114"/>
      <c r="I3114"/>
      <c r="J3114"/>
      <c r="K3114"/>
      <c r="L3114"/>
      <c r="M3114"/>
      <c r="N3114"/>
      <c r="O3114"/>
      <c r="P3114"/>
    </row>
    <row r="3115" spans="1:16" ht="15" x14ac:dyDescent="0.2">
      <c r="A3115"/>
      <c r="B3115"/>
      <c r="C3115"/>
      <c r="D3115"/>
      <c r="E3115"/>
      <c r="F3115"/>
      <c r="G3115"/>
      <c r="H3115"/>
      <c r="I3115"/>
      <c r="J3115"/>
      <c r="K3115"/>
      <c r="L3115"/>
      <c r="M3115"/>
      <c r="N3115"/>
      <c r="O3115"/>
      <c r="P3115"/>
    </row>
    <row r="3116" spans="1:16" ht="15" x14ac:dyDescent="0.2">
      <c r="A3116"/>
      <c r="B3116"/>
      <c r="C3116"/>
      <c r="D3116"/>
      <c r="E3116"/>
      <c r="F3116"/>
      <c r="G3116"/>
      <c r="H3116"/>
      <c r="I3116"/>
      <c r="J3116"/>
      <c r="K3116"/>
      <c r="L3116"/>
      <c r="M3116"/>
      <c r="N3116"/>
      <c r="O3116"/>
      <c r="P3116"/>
    </row>
    <row r="3117" spans="1:16" ht="15" x14ac:dyDescent="0.2">
      <c r="A3117"/>
      <c r="B3117"/>
      <c r="C3117"/>
      <c r="D3117"/>
      <c r="E3117"/>
      <c r="F3117"/>
      <c r="G3117"/>
      <c r="H3117"/>
      <c r="I3117"/>
      <c r="J3117"/>
      <c r="K3117"/>
      <c r="L3117"/>
      <c r="M3117"/>
      <c r="N3117"/>
      <c r="O3117"/>
      <c r="P3117"/>
    </row>
    <row r="3118" spans="1:16" ht="15" x14ac:dyDescent="0.2">
      <c r="A3118"/>
      <c r="B3118"/>
      <c r="C3118"/>
      <c r="D3118"/>
      <c r="E3118"/>
      <c r="F3118"/>
      <c r="G3118"/>
      <c r="H3118"/>
      <c r="I3118"/>
      <c r="J3118"/>
      <c r="K3118"/>
      <c r="L3118"/>
      <c r="M3118"/>
      <c r="N3118"/>
      <c r="O3118"/>
      <c r="P3118"/>
    </row>
    <row r="3119" spans="1:16" ht="15" x14ac:dyDescent="0.2">
      <c r="A3119"/>
      <c r="B3119"/>
      <c r="C3119"/>
      <c r="D3119"/>
      <c r="E3119"/>
      <c r="F3119"/>
      <c r="G3119"/>
      <c r="H3119"/>
      <c r="I3119"/>
      <c r="J3119"/>
      <c r="K3119"/>
      <c r="L3119"/>
      <c r="M3119"/>
      <c r="N3119"/>
      <c r="O3119"/>
      <c r="P3119"/>
    </row>
    <row r="3120" spans="1:16" ht="15" x14ac:dyDescent="0.2">
      <c r="A3120"/>
      <c r="B3120"/>
      <c r="C3120"/>
      <c r="D3120"/>
      <c r="E3120"/>
      <c r="F3120"/>
      <c r="G3120"/>
      <c r="H3120"/>
      <c r="I3120"/>
      <c r="J3120"/>
      <c r="K3120"/>
      <c r="L3120"/>
      <c r="M3120"/>
      <c r="N3120"/>
      <c r="O3120"/>
      <c r="P3120"/>
    </row>
    <row r="3121" spans="1:16" ht="15" x14ac:dyDescent="0.2">
      <c r="A3121"/>
      <c r="B3121"/>
      <c r="C3121"/>
      <c r="D3121"/>
      <c r="E3121"/>
      <c r="F3121"/>
      <c r="G3121"/>
      <c r="H3121"/>
      <c r="I3121"/>
      <c r="J3121"/>
      <c r="K3121"/>
      <c r="L3121"/>
      <c r="M3121"/>
      <c r="N3121"/>
      <c r="O3121"/>
      <c r="P3121"/>
    </row>
    <row r="3122" spans="1:16" ht="15" x14ac:dyDescent="0.2">
      <c r="A3122"/>
      <c r="B3122"/>
      <c r="C3122"/>
      <c r="D3122"/>
      <c r="E3122"/>
      <c r="F3122"/>
      <c r="G3122"/>
      <c r="H3122"/>
      <c r="I3122"/>
      <c r="J3122"/>
      <c r="K3122"/>
      <c r="L3122"/>
      <c r="M3122"/>
      <c r="N3122"/>
      <c r="O3122"/>
      <c r="P3122"/>
    </row>
    <row r="3123" spans="1:16" ht="15" x14ac:dyDescent="0.2">
      <c r="A3123"/>
      <c r="B3123"/>
      <c r="C3123"/>
      <c r="D3123"/>
      <c r="E3123"/>
      <c r="F3123"/>
      <c r="G3123"/>
      <c r="H3123"/>
      <c r="I3123"/>
      <c r="J3123"/>
      <c r="K3123"/>
      <c r="L3123"/>
      <c r="M3123"/>
      <c r="N3123"/>
      <c r="O3123"/>
      <c r="P3123"/>
    </row>
    <row r="3124" spans="1:16" ht="15" x14ac:dyDescent="0.2">
      <c r="A3124"/>
      <c r="B3124"/>
      <c r="C3124"/>
      <c r="D3124"/>
      <c r="E3124"/>
      <c r="F3124"/>
      <c r="G3124"/>
      <c r="H3124"/>
      <c r="I3124"/>
      <c r="J3124"/>
      <c r="K3124"/>
      <c r="L3124"/>
      <c r="M3124"/>
      <c r="N3124"/>
      <c r="O3124"/>
      <c r="P3124"/>
    </row>
    <row r="3125" spans="1:16" ht="15" x14ac:dyDescent="0.2">
      <c r="A3125"/>
      <c r="B3125"/>
      <c r="C3125"/>
      <c r="D3125"/>
      <c r="E3125"/>
      <c r="F3125"/>
      <c r="G3125"/>
      <c r="H3125"/>
      <c r="I3125"/>
      <c r="J3125"/>
      <c r="K3125"/>
      <c r="L3125"/>
      <c r="M3125"/>
      <c r="N3125"/>
      <c r="O3125"/>
      <c r="P3125"/>
    </row>
    <row r="3126" spans="1:16" ht="15" x14ac:dyDescent="0.2">
      <c r="A3126"/>
      <c r="B3126"/>
      <c r="C3126"/>
      <c r="D3126"/>
      <c r="E3126"/>
      <c r="F3126"/>
      <c r="G3126"/>
      <c r="H3126"/>
      <c r="I3126"/>
      <c r="J3126"/>
      <c r="K3126"/>
      <c r="L3126"/>
      <c r="M3126"/>
      <c r="N3126"/>
      <c r="O3126"/>
      <c r="P3126"/>
    </row>
    <row r="3127" spans="1:16" ht="15" x14ac:dyDescent="0.2">
      <c r="A3127"/>
      <c r="B3127"/>
      <c r="C3127"/>
      <c r="D3127"/>
      <c r="E3127"/>
      <c r="F3127"/>
      <c r="G3127"/>
      <c r="H3127"/>
      <c r="I3127"/>
      <c r="J3127"/>
      <c r="K3127"/>
      <c r="L3127"/>
      <c r="M3127"/>
      <c r="N3127"/>
      <c r="O3127"/>
      <c r="P3127"/>
    </row>
    <row r="3128" spans="1:16" ht="15" x14ac:dyDescent="0.2">
      <c r="A3128"/>
      <c r="B3128"/>
      <c r="C3128"/>
      <c r="D3128"/>
      <c r="E3128"/>
      <c r="F3128"/>
      <c r="G3128"/>
      <c r="H3128"/>
      <c r="I3128"/>
      <c r="J3128"/>
      <c r="K3128"/>
      <c r="L3128"/>
      <c r="M3128"/>
      <c r="N3128"/>
      <c r="O3128"/>
      <c r="P3128"/>
    </row>
    <row r="3129" spans="1:16" ht="15" x14ac:dyDescent="0.2">
      <c r="A3129"/>
      <c r="B3129"/>
      <c r="C3129"/>
      <c r="D3129"/>
      <c r="E3129"/>
      <c r="F3129"/>
      <c r="G3129"/>
      <c r="H3129"/>
      <c r="I3129"/>
      <c r="J3129"/>
      <c r="K3129"/>
      <c r="L3129"/>
      <c r="M3129"/>
      <c r="N3129"/>
      <c r="O3129"/>
      <c r="P3129"/>
    </row>
    <row r="3130" spans="1:16" ht="15" x14ac:dyDescent="0.2">
      <c r="A3130"/>
      <c r="B3130"/>
      <c r="C3130"/>
      <c r="D3130"/>
      <c r="E3130"/>
      <c r="F3130"/>
      <c r="G3130"/>
      <c r="H3130"/>
      <c r="I3130"/>
      <c r="J3130"/>
      <c r="K3130"/>
      <c r="L3130"/>
      <c r="M3130"/>
      <c r="N3130"/>
      <c r="O3130"/>
      <c r="P3130"/>
    </row>
    <row r="3131" spans="1:16" ht="15" x14ac:dyDescent="0.2">
      <c r="A3131"/>
      <c r="B3131"/>
      <c r="C3131"/>
      <c r="D3131"/>
      <c r="E3131"/>
      <c r="F3131"/>
      <c r="G3131"/>
      <c r="H3131"/>
      <c r="I3131"/>
      <c r="J3131"/>
      <c r="K3131"/>
      <c r="L3131"/>
      <c r="M3131"/>
      <c r="N3131"/>
      <c r="O3131"/>
      <c r="P3131"/>
    </row>
    <row r="3132" spans="1:16" ht="15" x14ac:dyDescent="0.2">
      <c r="A3132"/>
      <c r="B3132"/>
      <c r="C3132"/>
      <c r="D3132"/>
      <c r="E3132"/>
      <c r="F3132"/>
      <c r="G3132"/>
      <c r="H3132"/>
      <c r="I3132"/>
      <c r="J3132"/>
      <c r="K3132"/>
      <c r="L3132"/>
      <c r="M3132"/>
      <c r="N3132"/>
      <c r="O3132"/>
      <c r="P3132"/>
    </row>
    <row r="3133" spans="1:16" ht="15" x14ac:dyDescent="0.2">
      <c r="A3133"/>
      <c r="B3133"/>
      <c r="C3133"/>
      <c r="D3133"/>
      <c r="E3133"/>
      <c r="F3133"/>
      <c r="G3133"/>
      <c r="H3133"/>
      <c r="I3133"/>
      <c r="J3133"/>
      <c r="K3133"/>
      <c r="L3133"/>
      <c r="M3133"/>
      <c r="N3133"/>
      <c r="O3133"/>
      <c r="P3133"/>
    </row>
    <row r="3134" spans="1:16" ht="15" x14ac:dyDescent="0.2">
      <c r="A3134"/>
      <c r="B3134"/>
      <c r="C3134"/>
      <c r="D3134"/>
      <c r="E3134"/>
      <c r="F3134"/>
      <c r="G3134"/>
      <c r="H3134"/>
      <c r="I3134"/>
      <c r="J3134"/>
      <c r="K3134"/>
      <c r="L3134"/>
      <c r="M3134"/>
      <c r="N3134"/>
      <c r="O3134"/>
      <c r="P3134"/>
    </row>
    <row r="3135" spans="1:16" ht="15" x14ac:dyDescent="0.2">
      <c r="A3135"/>
      <c r="B3135"/>
      <c r="C3135"/>
      <c r="D3135"/>
      <c r="E3135"/>
      <c r="F3135"/>
      <c r="G3135"/>
      <c r="H3135"/>
      <c r="I3135"/>
      <c r="J3135"/>
      <c r="K3135"/>
      <c r="L3135"/>
      <c r="M3135"/>
      <c r="N3135"/>
      <c r="O3135"/>
      <c r="P3135"/>
    </row>
    <row r="3136" spans="1:16" ht="15" x14ac:dyDescent="0.2">
      <c r="A3136"/>
      <c r="B3136"/>
      <c r="C3136"/>
      <c r="D3136"/>
      <c r="E3136"/>
      <c r="F3136"/>
      <c r="G3136"/>
      <c r="H3136"/>
      <c r="I3136"/>
      <c r="J3136"/>
      <c r="K3136"/>
      <c r="L3136"/>
      <c r="M3136"/>
      <c r="N3136"/>
      <c r="O3136"/>
      <c r="P3136"/>
    </row>
    <row r="3137" spans="1:16" ht="15" x14ac:dyDescent="0.2">
      <c r="A3137"/>
      <c r="B3137"/>
      <c r="C3137"/>
      <c r="D3137"/>
      <c r="E3137"/>
      <c r="F3137"/>
      <c r="G3137"/>
      <c r="H3137"/>
      <c r="I3137"/>
      <c r="J3137"/>
      <c r="K3137"/>
      <c r="L3137"/>
      <c r="M3137"/>
      <c r="N3137"/>
      <c r="O3137"/>
      <c r="P3137"/>
    </row>
    <row r="3138" spans="1:16" ht="15" x14ac:dyDescent="0.2">
      <c r="A3138"/>
      <c r="B3138"/>
      <c r="C3138"/>
      <c r="D3138"/>
      <c r="E3138"/>
      <c r="F3138"/>
      <c r="G3138"/>
      <c r="H3138"/>
      <c r="I3138"/>
      <c r="J3138"/>
      <c r="K3138"/>
      <c r="L3138"/>
      <c r="M3138"/>
      <c r="N3138"/>
      <c r="O3138"/>
      <c r="P3138"/>
    </row>
    <row r="3139" spans="1:16" ht="15" x14ac:dyDescent="0.2">
      <c r="A3139"/>
      <c r="B3139"/>
      <c r="C3139"/>
      <c r="D3139"/>
      <c r="E3139"/>
      <c r="F3139"/>
      <c r="G3139"/>
      <c r="H3139"/>
      <c r="I3139"/>
      <c r="J3139"/>
      <c r="K3139"/>
      <c r="L3139"/>
      <c r="M3139"/>
      <c r="N3139"/>
      <c r="O3139"/>
      <c r="P3139"/>
    </row>
    <row r="3140" spans="1:16" ht="15" x14ac:dyDescent="0.2">
      <c r="A3140"/>
      <c r="B3140"/>
      <c r="C3140"/>
      <c r="D3140"/>
      <c r="E3140"/>
      <c r="F3140"/>
      <c r="G3140"/>
      <c r="H3140"/>
      <c r="I3140"/>
      <c r="J3140"/>
      <c r="K3140"/>
      <c r="L3140"/>
      <c r="M3140"/>
      <c r="N3140"/>
      <c r="O3140"/>
      <c r="P3140"/>
    </row>
    <row r="3141" spans="1:16" ht="15" x14ac:dyDescent="0.2">
      <c r="A3141"/>
      <c r="B3141"/>
      <c r="C3141"/>
      <c r="D3141"/>
      <c r="E3141"/>
      <c r="F3141"/>
      <c r="G3141"/>
      <c r="H3141"/>
      <c r="I3141"/>
      <c r="J3141"/>
      <c r="K3141"/>
      <c r="L3141"/>
      <c r="M3141"/>
      <c r="N3141"/>
      <c r="O3141"/>
      <c r="P3141"/>
    </row>
    <row r="3142" spans="1:16" ht="15" x14ac:dyDescent="0.2">
      <c r="A3142"/>
      <c r="B3142"/>
      <c r="C3142"/>
      <c r="D3142"/>
      <c r="E3142"/>
      <c r="F3142"/>
      <c r="G3142"/>
      <c r="H3142"/>
      <c r="I3142"/>
      <c r="J3142"/>
      <c r="K3142"/>
      <c r="L3142"/>
      <c r="M3142"/>
      <c r="N3142"/>
      <c r="O3142"/>
      <c r="P3142"/>
    </row>
    <row r="3143" spans="1:16" ht="15" x14ac:dyDescent="0.2">
      <c r="A3143"/>
      <c r="B3143"/>
      <c r="C3143"/>
      <c r="D3143"/>
      <c r="E3143"/>
      <c r="F3143"/>
      <c r="G3143"/>
      <c r="H3143"/>
      <c r="I3143"/>
      <c r="J3143"/>
      <c r="K3143"/>
      <c r="L3143"/>
      <c r="M3143"/>
      <c r="N3143"/>
      <c r="O3143"/>
      <c r="P3143"/>
    </row>
    <row r="3144" spans="1:16" ht="15" x14ac:dyDescent="0.2">
      <c r="A3144"/>
      <c r="B3144"/>
      <c r="C3144"/>
      <c r="D3144"/>
      <c r="E3144"/>
      <c r="F3144"/>
      <c r="G3144"/>
      <c r="H3144"/>
      <c r="I3144"/>
      <c r="J3144"/>
      <c r="K3144"/>
      <c r="L3144"/>
      <c r="M3144"/>
      <c r="N3144"/>
      <c r="O3144"/>
      <c r="P3144"/>
    </row>
    <row r="3145" spans="1:16" ht="15" x14ac:dyDescent="0.2">
      <c r="A3145"/>
      <c r="B3145"/>
      <c r="C3145"/>
      <c r="D3145"/>
      <c r="E3145"/>
      <c r="F3145"/>
      <c r="G3145"/>
      <c r="H3145"/>
      <c r="I3145"/>
      <c r="J3145"/>
      <c r="K3145"/>
      <c r="L3145"/>
      <c r="M3145"/>
      <c r="N3145"/>
      <c r="O3145"/>
      <c r="P3145"/>
    </row>
    <row r="3146" spans="1:16" ht="15" x14ac:dyDescent="0.2">
      <c r="A3146"/>
      <c r="B3146"/>
      <c r="C3146"/>
      <c r="D3146"/>
      <c r="E3146"/>
      <c r="F3146"/>
      <c r="G3146"/>
      <c r="H3146"/>
      <c r="I3146"/>
      <c r="J3146"/>
      <c r="K3146"/>
      <c r="L3146"/>
      <c r="M3146"/>
      <c r="N3146"/>
      <c r="O3146"/>
      <c r="P3146"/>
    </row>
    <row r="3147" spans="1:16" ht="15" x14ac:dyDescent="0.2">
      <c r="A3147"/>
      <c r="B3147"/>
      <c r="C3147"/>
      <c r="D3147"/>
      <c r="E3147"/>
      <c r="F3147"/>
      <c r="G3147"/>
      <c r="H3147"/>
      <c r="I3147"/>
      <c r="J3147"/>
      <c r="K3147"/>
      <c r="L3147"/>
      <c r="M3147"/>
      <c r="N3147"/>
      <c r="O3147"/>
      <c r="P3147"/>
    </row>
    <row r="3148" spans="1:16" ht="15" x14ac:dyDescent="0.2">
      <c r="A3148"/>
      <c r="B3148"/>
      <c r="C3148"/>
      <c r="D3148"/>
      <c r="E3148"/>
      <c r="F3148"/>
      <c r="G3148"/>
      <c r="H3148"/>
      <c r="I3148"/>
      <c r="J3148"/>
      <c r="K3148"/>
      <c r="L3148"/>
      <c r="M3148"/>
      <c r="N3148"/>
      <c r="O3148"/>
      <c r="P3148"/>
    </row>
    <row r="3149" spans="1:16" ht="15" x14ac:dyDescent="0.2">
      <c r="A3149"/>
      <c r="B3149"/>
      <c r="C3149"/>
      <c r="D3149"/>
      <c r="E3149"/>
      <c r="F3149"/>
      <c r="G3149"/>
      <c r="H3149"/>
      <c r="I3149"/>
      <c r="J3149"/>
      <c r="K3149"/>
      <c r="L3149"/>
      <c r="M3149"/>
      <c r="N3149"/>
      <c r="O3149"/>
      <c r="P3149"/>
    </row>
    <row r="3150" spans="1:16" ht="15" x14ac:dyDescent="0.2">
      <c r="A3150"/>
      <c r="B3150"/>
      <c r="C3150"/>
      <c r="D3150"/>
      <c r="E3150"/>
      <c r="F3150"/>
      <c r="G3150"/>
      <c r="H3150"/>
      <c r="I3150"/>
      <c r="J3150"/>
      <c r="K3150"/>
      <c r="L3150"/>
      <c r="M3150"/>
      <c r="N3150"/>
      <c r="O3150"/>
      <c r="P3150"/>
    </row>
    <row r="3151" spans="1:16" ht="15" x14ac:dyDescent="0.2">
      <c r="A3151"/>
      <c r="B3151"/>
      <c r="C3151"/>
      <c r="D3151"/>
      <c r="E3151"/>
      <c r="F3151"/>
      <c r="G3151"/>
      <c r="H3151"/>
      <c r="I3151"/>
      <c r="J3151"/>
      <c r="K3151"/>
      <c r="L3151"/>
      <c r="M3151"/>
      <c r="N3151"/>
      <c r="O3151"/>
      <c r="P3151"/>
    </row>
    <row r="3152" spans="1:16" ht="15" x14ac:dyDescent="0.2">
      <c r="A3152"/>
      <c r="B3152"/>
      <c r="C3152"/>
      <c r="D3152"/>
      <c r="E3152"/>
      <c r="F3152"/>
      <c r="G3152"/>
      <c r="H3152"/>
      <c r="I3152"/>
      <c r="J3152"/>
      <c r="K3152"/>
      <c r="L3152"/>
      <c r="M3152"/>
      <c r="N3152"/>
      <c r="O3152"/>
      <c r="P3152"/>
    </row>
    <row r="3153" spans="1:16" ht="15" x14ac:dyDescent="0.2">
      <c r="A3153"/>
      <c r="B3153"/>
      <c r="C3153"/>
      <c r="D3153"/>
      <c r="E3153"/>
      <c r="F3153"/>
      <c r="G3153"/>
      <c r="H3153"/>
      <c r="I3153"/>
      <c r="J3153"/>
      <c r="K3153"/>
      <c r="L3153"/>
      <c r="M3153"/>
      <c r="N3153"/>
      <c r="O3153"/>
      <c r="P3153"/>
    </row>
    <row r="3154" spans="1:16" ht="15" x14ac:dyDescent="0.2">
      <c r="A3154"/>
      <c r="B3154"/>
      <c r="C3154"/>
      <c r="D3154"/>
      <c r="E3154"/>
      <c r="F3154"/>
      <c r="G3154"/>
      <c r="H3154"/>
      <c r="I3154"/>
      <c r="J3154"/>
      <c r="K3154"/>
      <c r="L3154"/>
      <c r="M3154"/>
      <c r="N3154"/>
      <c r="O3154"/>
      <c r="P3154"/>
    </row>
    <row r="3155" spans="1:16" ht="15" x14ac:dyDescent="0.2">
      <c r="A3155"/>
      <c r="B3155"/>
      <c r="C3155"/>
      <c r="D3155"/>
      <c r="E3155"/>
      <c r="F3155"/>
      <c r="G3155"/>
      <c r="H3155"/>
      <c r="I3155"/>
      <c r="J3155"/>
      <c r="K3155"/>
      <c r="L3155"/>
      <c r="M3155"/>
      <c r="N3155"/>
      <c r="O3155"/>
      <c r="P3155"/>
    </row>
    <row r="3156" spans="1:16" ht="15" x14ac:dyDescent="0.2">
      <c r="A3156"/>
      <c r="B3156"/>
      <c r="C3156"/>
      <c r="D3156"/>
      <c r="E3156"/>
      <c r="F3156"/>
      <c r="G3156"/>
      <c r="H3156"/>
      <c r="I3156"/>
      <c r="J3156"/>
      <c r="K3156"/>
      <c r="L3156"/>
      <c r="M3156"/>
      <c r="N3156"/>
      <c r="O3156"/>
      <c r="P3156"/>
    </row>
    <row r="3157" spans="1:16" ht="15" x14ac:dyDescent="0.2">
      <c r="A3157"/>
      <c r="B3157"/>
      <c r="C3157"/>
      <c r="D3157"/>
      <c r="E3157"/>
      <c r="F3157"/>
      <c r="G3157"/>
      <c r="H3157"/>
      <c r="I3157"/>
      <c r="J3157"/>
      <c r="K3157"/>
      <c r="L3157"/>
      <c r="M3157"/>
      <c r="N3157"/>
      <c r="O3157"/>
      <c r="P3157"/>
    </row>
    <row r="3158" spans="1:16" ht="15" x14ac:dyDescent="0.2">
      <c r="A3158"/>
      <c r="B3158"/>
      <c r="C3158"/>
      <c r="D3158"/>
      <c r="E3158"/>
      <c r="F3158"/>
      <c r="G3158"/>
      <c r="H3158"/>
      <c r="I3158"/>
      <c r="J3158"/>
      <c r="K3158"/>
      <c r="L3158"/>
      <c r="M3158"/>
      <c r="N3158"/>
      <c r="O3158"/>
      <c r="P3158"/>
    </row>
    <row r="3159" spans="1:16" ht="15" x14ac:dyDescent="0.2">
      <c r="A3159"/>
      <c r="B3159"/>
      <c r="C3159"/>
      <c r="D3159"/>
      <c r="E3159"/>
      <c r="F3159"/>
      <c r="G3159"/>
      <c r="H3159"/>
      <c r="I3159"/>
      <c r="J3159"/>
      <c r="K3159"/>
      <c r="L3159"/>
      <c r="M3159"/>
      <c r="N3159"/>
      <c r="O3159"/>
      <c r="P3159"/>
    </row>
    <row r="3160" spans="1:16" ht="15" x14ac:dyDescent="0.2">
      <c r="A3160"/>
      <c r="B3160"/>
      <c r="C3160"/>
      <c r="D3160"/>
      <c r="E3160"/>
      <c r="F3160"/>
      <c r="G3160"/>
      <c r="H3160"/>
      <c r="I3160"/>
      <c r="J3160"/>
      <c r="K3160"/>
      <c r="L3160"/>
      <c r="M3160"/>
      <c r="N3160"/>
      <c r="O3160"/>
      <c r="P3160"/>
    </row>
    <row r="3161" spans="1:16" ht="15" x14ac:dyDescent="0.2">
      <c r="A3161"/>
      <c r="B3161"/>
      <c r="C3161"/>
      <c r="D3161"/>
      <c r="E3161"/>
      <c r="F3161"/>
      <c r="G3161"/>
      <c r="H3161"/>
      <c r="I3161"/>
      <c r="J3161"/>
      <c r="K3161"/>
      <c r="L3161"/>
      <c r="M3161"/>
      <c r="N3161"/>
      <c r="O3161"/>
      <c r="P3161"/>
    </row>
    <row r="3162" spans="1:16" ht="15" x14ac:dyDescent="0.2">
      <c r="A3162"/>
      <c r="B3162"/>
      <c r="C3162"/>
      <c r="D3162"/>
      <c r="E3162"/>
      <c r="F3162"/>
      <c r="G3162"/>
      <c r="H3162"/>
      <c r="I3162"/>
      <c r="J3162"/>
      <c r="K3162"/>
      <c r="L3162"/>
      <c r="M3162"/>
      <c r="N3162"/>
      <c r="O3162"/>
      <c r="P3162"/>
    </row>
    <row r="3163" spans="1:16" ht="15" x14ac:dyDescent="0.2">
      <c r="A3163"/>
      <c r="B3163"/>
      <c r="C3163"/>
      <c r="D3163"/>
      <c r="E3163"/>
      <c r="F3163"/>
      <c r="G3163"/>
      <c r="H3163"/>
      <c r="I3163"/>
      <c r="J3163"/>
      <c r="K3163"/>
      <c r="L3163"/>
      <c r="M3163"/>
      <c r="N3163"/>
      <c r="O3163"/>
      <c r="P3163"/>
    </row>
    <row r="3164" spans="1:16" ht="15" x14ac:dyDescent="0.2">
      <c r="A3164"/>
      <c r="B3164"/>
      <c r="C3164"/>
      <c r="D3164"/>
      <c r="E3164"/>
      <c r="F3164"/>
      <c r="G3164"/>
      <c r="H3164"/>
      <c r="I3164"/>
      <c r="J3164"/>
      <c r="K3164"/>
      <c r="L3164"/>
      <c r="M3164"/>
      <c r="N3164"/>
      <c r="O3164"/>
      <c r="P3164"/>
    </row>
    <row r="3165" spans="1:16" ht="15" x14ac:dyDescent="0.2">
      <c r="A3165"/>
      <c r="B3165"/>
      <c r="C3165"/>
      <c r="D3165"/>
      <c r="E3165"/>
      <c r="F3165"/>
      <c r="G3165"/>
      <c r="H3165"/>
      <c r="I3165"/>
      <c r="J3165"/>
      <c r="K3165"/>
      <c r="L3165"/>
      <c r="M3165"/>
      <c r="N3165"/>
      <c r="O3165"/>
      <c r="P3165"/>
    </row>
    <row r="3166" spans="1:16" ht="15" x14ac:dyDescent="0.2">
      <c r="A3166"/>
      <c r="B3166"/>
      <c r="C3166"/>
      <c r="D3166"/>
      <c r="E3166"/>
      <c r="F3166"/>
      <c r="G3166"/>
      <c r="H3166"/>
      <c r="I3166"/>
      <c r="J3166"/>
      <c r="K3166"/>
      <c r="L3166"/>
      <c r="M3166"/>
      <c r="N3166"/>
      <c r="O3166"/>
      <c r="P3166"/>
    </row>
    <row r="3167" spans="1:16" ht="15" x14ac:dyDescent="0.2">
      <c r="A3167"/>
      <c r="B3167"/>
      <c r="C3167"/>
      <c r="D3167"/>
      <c r="E3167"/>
      <c r="F3167"/>
      <c r="G3167"/>
      <c r="H3167"/>
      <c r="I3167"/>
      <c r="J3167"/>
      <c r="K3167"/>
      <c r="L3167"/>
      <c r="M3167"/>
      <c r="N3167"/>
      <c r="O3167"/>
      <c r="P316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Ods" enableFormatConditionsCalculation="0"/>
  <dimension ref="A1:S4345"/>
  <sheetViews>
    <sheetView showGridLines="0" workbookViewId="0">
      <pane ySplit="1" topLeftCell="A2" activePane="bottomLeft" state="frozen"/>
      <selection activeCell="R10" sqref="R10"/>
      <selection pane="bottomLeft" activeCell="F2" sqref="F2"/>
    </sheetView>
  </sheetViews>
  <sheetFormatPr baseColWidth="10" defaultColWidth="8.83203125" defaultRowHeight="14" x14ac:dyDescent="0.2"/>
  <cols>
    <col min="1" max="1" width="10.1640625" style="14" customWidth="1"/>
    <col min="2" max="4" width="13" style="14" customWidth="1"/>
    <col min="5" max="5" width="21" style="14" customWidth="1"/>
    <col min="6" max="8" width="13.5" style="14" customWidth="1"/>
    <col min="9" max="14" width="9.1640625" style="14" hidden="1" customWidth="1"/>
    <col min="15" max="15" width="11.1640625" style="14" hidden="1" customWidth="1"/>
    <col min="16" max="19" width="9.1640625" style="14" hidden="1" customWidth="1"/>
    <col min="20" max="16384" width="8.83203125" style="14"/>
  </cols>
  <sheetData>
    <row r="1" spans="1:19" ht="60" customHeight="1" x14ac:dyDescent="0.2">
      <c r="A1" s="11" t="s">
        <v>7</v>
      </c>
      <c r="B1" s="11" t="s">
        <v>106</v>
      </c>
      <c r="C1" s="11" t="s">
        <v>107</v>
      </c>
      <c r="D1" s="12" t="s">
        <v>108</v>
      </c>
      <c r="E1" s="12" t="s">
        <v>120</v>
      </c>
      <c r="F1" s="12" t="s">
        <v>121</v>
      </c>
      <c r="G1" s="12" t="s">
        <v>122</v>
      </c>
      <c r="H1" s="12" t="s">
        <v>123</v>
      </c>
      <c r="I1" s="14" t="s">
        <v>146</v>
      </c>
      <c r="J1" s="14" t="s">
        <v>147</v>
      </c>
      <c r="K1" s="14" t="s">
        <v>149</v>
      </c>
      <c r="L1" s="14" t="s">
        <v>148</v>
      </c>
      <c r="M1" s="14" t="s">
        <v>161</v>
      </c>
      <c r="N1" s="14" t="s">
        <v>162</v>
      </c>
      <c r="O1" s="14" t="s">
        <v>177</v>
      </c>
      <c r="P1" s="17" t="s">
        <v>183</v>
      </c>
      <c r="Q1" s="17" t="s">
        <v>184</v>
      </c>
      <c r="R1" s="17" t="s">
        <v>185</v>
      </c>
      <c r="S1" s="17" t="s">
        <v>186</v>
      </c>
    </row>
    <row r="2" spans="1:19" x14ac:dyDescent="0.2">
      <c r="A2" s="25"/>
      <c r="B2" s="15"/>
      <c r="C2" s="15"/>
      <c r="D2" s="16"/>
      <c r="E2" s="16"/>
      <c r="F2" s="16"/>
      <c r="G2" s="16"/>
      <c r="H2" s="16"/>
    </row>
    <row r="3" spans="1:19" x14ac:dyDescent="0.2">
      <c r="A3" s="25"/>
      <c r="B3" s="15"/>
      <c r="C3" s="15"/>
      <c r="D3" s="16"/>
      <c r="E3" s="16"/>
      <c r="F3" s="16"/>
      <c r="G3" s="16"/>
      <c r="H3" s="16"/>
    </row>
    <row r="4" spans="1:19" x14ac:dyDescent="0.2">
      <c r="A4" s="25"/>
      <c r="B4" s="15"/>
      <c r="C4" s="15"/>
      <c r="D4" s="16"/>
      <c r="E4" s="16"/>
      <c r="F4" s="16"/>
      <c r="G4" s="16"/>
      <c r="H4" s="16"/>
    </row>
    <row r="5" spans="1:19" x14ac:dyDescent="0.2">
      <c r="A5" s="25"/>
      <c r="B5" s="15"/>
      <c r="C5" s="15"/>
      <c r="D5" s="16"/>
      <c r="E5" s="16"/>
      <c r="F5" s="16"/>
      <c r="G5" s="16"/>
      <c r="H5" s="16"/>
    </row>
    <row r="6" spans="1:19" x14ac:dyDescent="0.2">
      <c r="A6" s="25"/>
      <c r="B6" s="15"/>
      <c r="C6" s="15"/>
      <c r="D6" s="16"/>
      <c r="E6" s="16"/>
      <c r="F6" s="16"/>
      <c r="G6" s="16"/>
      <c r="H6" s="16"/>
    </row>
    <row r="7" spans="1:19" x14ac:dyDescent="0.2">
      <c r="A7" s="25"/>
      <c r="B7" s="15"/>
      <c r="C7" s="15"/>
      <c r="D7" s="16"/>
      <c r="E7" s="16"/>
      <c r="F7" s="16"/>
      <c r="G7" s="16"/>
      <c r="H7" s="16"/>
    </row>
    <row r="8" spans="1:19" x14ac:dyDescent="0.2">
      <c r="A8" s="25"/>
      <c r="B8" s="15"/>
      <c r="C8" s="15"/>
      <c r="D8" s="16"/>
      <c r="E8" s="16"/>
      <c r="F8" s="16"/>
      <c r="G8" s="16"/>
      <c r="H8" s="16"/>
    </row>
    <row r="9" spans="1:19" x14ac:dyDescent="0.2">
      <c r="A9" s="25"/>
      <c r="B9" s="15"/>
      <c r="C9" s="15"/>
      <c r="D9" s="16"/>
      <c r="E9" s="16"/>
      <c r="F9" s="16"/>
      <c r="G9" s="16"/>
      <c r="H9" s="16"/>
    </row>
    <row r="10" spans="1:19" x14ac:dyDescent="0.2">
      <c r="A10" s="25"/>
      <c r="B10" s="15"/>
      <c r="C10" s="15"/>
      <c r="D10" s="16"/>
      <c r="E10" s="16"/>
      <c r="F10" s="16"/>
      <c r="G10" s="16"/>
      <c r="H10" s="16"/>
    </row>
    <row r="11" spans="1:19" x14ac:dyDescent="0.2">
      <c r="A11" s="25"/>
      <c r="B11" s="15"/>
      <c r="C11" s="15"/>
      <c r="D11" s="16"/>
      <c r="E11" s="16"/>
      <c r="F11" s="16"/>
      <c r="G11" s="16"/>
      <c r="H11" s="16"/>
    </row>
    <row r="12" spans="1:19" x14ac:dyDescent="0.2">
      <c r="A12" s="25"/>
      <c r="B12" s="15"/>
      <c r="C12" s="15"/>
      <c r="D12" s="16"/>
      <c r="E12" s="16"/>
      <c r="F12" s="16"/>
      <c r="G12" s="16"/>
      <c r="H12" s="16"/>
    </row>
    <row r="13" spans="1:19" x14ac:dyDescent="0.2">
      <c r="A13" s="25"/>
      <c r="B13" s="15"/>
      <c r="C13" s="15"/>
      <c r="D13" s="16"/>
      <c r="E13" s="16"/>
      <c r="F13" s="16"/>
      <c r="G13" s="16"/>
      <c r="H13" s="16"/>
    </row>
    <row r="14" spans="1:19" x14ac:dyDescent="0.2">
      <c r="A14" s="25"/>
      <c r="B14" s="15"/>
      <c r="C14" s="15"/>
      <c r="D14" s="16"/>
      <c r="E14" s="16"/>
      <c r="F14" s="16"/>
      <c r="G14" s="16"/>
      <c r="H14" s="16"/>
    </row>
    <row r="15" spans="1:19" x14ac:dyDescent="0.2">
      <c r="A15" s="25"/>
      <c r="B15" s="15"/>
      <c r="C15" s="15"/>
      <c r="D15" s="16"/>
      <c r="E15" s="16"/>
      <c r="F15" s="16"/>
      <c r="G15" s="16"/>
      <c r="H15" s="16"/>
    </row>
    <row r="16" spans="1:19" x14ac:dyDescent="0.2">
      <c r="A16" s="25"/>
      <c r="B16" s="15"/>
      <c r="C16" s="15"/>
      <c r="D16" s="16"/>
      <c r="E16" s="16"/>
      <c r="F16" s="16"/>
      <c r="G16" s="16"/>
      <c r="H16" s="16"/>
    </row>
    <row r="17" spans="1:8" x14ac:dyDescent="0.2">
      <c r="A17" s="25"/>
      <c r="B17" s="15"/>
      <c r="C17" s="15"/>
      <c r="D17" s="16"/>
      <c r="E17" s="16"/>
      <c r="F17" s="16"/>
      <c r="G17" s="16"/>
      <c r="H17" s="16"/>
    </row>
    <row r="18" spans="1:8" x14ac:dyDescent="0.2">
      <c r="A18" s="25"/>
      <c r="B18" s="15"/>
      <c r="C18" s="15"/>
      <c r="D18" s="16"/>
      <c r="E18" s="16"/>
      <c r="F18" s="16"/>
      <c r="G18" s="16"/>
      <c r="H18" s="16"/>
    </row>
    <row r="19" spans="1:8" x14ac:dyDescent="0.2">
      <c r="A19" s="25"/>
      <c r="B19" s="15"/>
      <c r="C19" s="15"/>
      <c r="D19" s="16"/>
      <c r="E19" s="16"/>
      <c r="F19" s="16"/>
      <c r="G19" s="16"/>
      <c r="H19" s="16"/>
    </row>
    <row r="20" spans="1:8" x14ac:dyDescent="0.2">
      <c r="A20" s="25"/>
      <c r="B20" s="15"/>
      <c r="C20" s="15"/>
      <c r="D20" s="16"/>
      <c r="E20" s="16"/>
      <c r="F20" s="16"/>
      <c r="G20" s="16"/>
      <c r="H20" s="16"/>
    </row>
    <row r="21" spans="1:8" x14ac:dyDescent="0.2">
      <c r="A21" s="25"/>
      <c r="B21" s="15"/>
      <c r="C21" s="15"/>
      <c r="D21" s="16"/>
      <c r="E21" s="16"/>
      <c r="F21" s="16"/>
      <c r="G21" s="16"/>
      <c r="H21" s="16"/>
    </row>
    <row r="22" spans="1:8" x14ac:dyDescent="0.2">
      <c r="A22" s="25"/>
      <c r="B22" s="15"/>
      <c r="C22" s="15"/>
      <c r="D22" s="16"/>
      <c r="E22" s="16"/>
      <c r="F22" s="16"/>
      <c r="G22" s="16"/>
      <c r="H22" s="16"/>
    </row>
    <row r="23" spans="1:8" x14ac:dyDescent="0.2">
      <c r="A23" s="25"/>
      <c r="B23" s="15"/>
      <c r="C23" s="15"/>
      <c r="D23" s="16"/>
      <c r="E23" s="16"/>
      <c r="F23" s="16"/>
      <c r="G23" s="16"/>
      <c r="H23" s="16"/>
    </row>
    <row r="24" spans="1:8" x14ac:dyDescent="0.2">
      <c r="A24" s="25"/>
      <c r="B24" s="15"/>
      <c r="C24" s="15"/>
      <c r="D24" s="16"/>
      <c r="E24" s="16"/>
      <c r="F24" s="16"/>
      <c r="G24" s="16"/>
      <c r="H24" s="16"/>
    </row>
    <row r="25" spans="1:8" x14ac:dyDescent="0.2">
      <c r="A25" s="25"/>
      <c r="B25" s="15"/>
      <c r="C25" s="15"/>
      <c r="D25" s="16"/>
      <c r="E25" s="16"/>
      <c r="F25" s="16"/>
      <c r="G25" s="16"/>
      <c r="H25" s="16"/>
    </row>
    <row r="26" spans="1:8" x14ac:dyDescent="0.2">
      <c r="A26" s="25"/>
      <c r="B26" s="15"/>
      <c r="C26" s="15"/>
      <c r="D26" s="16"/>
      <c r="E26" s="16"/>
      <c r="F26" s="16"/>
      <c r="G26" s="16"/>
      <c r="H26" s="16"/>
    </row>
    <row r="27" spans="1:8" x14ac:dyDescent="0.2">
      <c r="A27" s="25"/>
      <c r="B27" s="15"/>
      <c r="C27" s="15"/>
      <c r="D27" s="16"/>
      <c r="E27" s="16"/>
      <c r="F27" s="16"/>
      <c r="G27" s="16"/>
      <c r="H27" s="16"/>
    </row>
    <row r="28" spans="1:8" x14ac:dyDescent="0.2">
      <c r="A28" s="25"/>
      <c r="B28" s="15"/>
      <c r="C28" s="15"/>
      <c r="D28" s="16"/>
      <c r="E28" s="16"/>
      <c r="F28" s="16"/>
      <c r="G28" s="16"/>
      <c r="H28" s="16"/>
    </row>
    <row r="29" spans="1:8" x14ac:dyDescent="0.2">
      <c r="A29" s="25"/>
      <c r="B29" s="15"/>
      <c r="C29" s="15"/>
      <c r="D29" s="16"/>
      <c r="E29" s="16"/>
      <c r="F29" s="16"/>
      <c r="G29" s="16"/>
      <c r="H29" s="16"/>
    </row>
    <row r="30" spans="1:8" x14ac:dyDescent="0.2">
      <c r="A30" s="25"/>
      <c r="B30" s="15"/>
      <c r="C30" s="15"/>
      <c r="D30" s="16"/>
      <c r="E30" s="16"/>
      <c r="F30" s="16"/>
      <c r="G30" s="16"/>
      <c r="H30" s="16"/>
    </row>
    <row r="31" spans="1:8" x14ac:dyDescent="0.2">
      <c r="A31" s="25"/>
      <c r="B31" s="15"/>
      <c r="C31" s="15"/>
      <c r="D31" s="16"/>
      <c r="E31" s="16"/>
      <c r="F31" s="16"/>
      <c r="G31" s="16"/>
      <c r="H31" s="16"/>
    </row>
    <row r="32" spans="1:8" x14ac:dyDescent="0.2">
      <c r="A32" s="25"/>
      <c r="B32" s="15"/>
      <c r="C32" s="15"/>
      <c r="D32" s="16"/>
      <c r="E32" s="16"/>
      <c r="F32" s="16"/>
      <c r="G32" s="16"/>
      <c r="H32" s="16"/>
    </row>
    <row r="33" spans="1:8" x14ac:dyDescent="0.2">
      <c r="A33" s="25"/>
      <c r="B33" s="15"/>
      <c r="C33" s="15"/>
      <c r="D33" s="16"/>
      <c r="E33" s="16"/>
      <c r="F33" s="16"/>
      <c r="G33" s="16"/>
      <c r="H33" s="16"/>
    </row>
    <row r="34" spans="1:8" x14ac:dyDescent="0.2">
      <c r="A34" s="25"/>
      <c r="B34" s="15"/>
      <c r="C34" s="15"/>
      <c r="D34" s="16"/>
      <c r="E34" s="16"/>
      <c r="F34" s="16"/>
      <c r="G34" s="16"/>
      <c r="H34" s="16"/>
    </row>
    <row r="35" spans="1:8" x14ac:dyDescent="0.2">
      <c r="A35" s="25"/>
      <c r="B35" s="15"/>
      <c r="C35" s="15"/>
      <c r="D35" s="16"/>
      <c r="E35" s="16"/>
      <c r="F35" s="16"/>
      <c r="G35" s="16"/>
      <c r="H35" s="16"/>
    </row>
    <row r="36" spans="1:8" x14ac:dyDescent="0.2">
      <c r="A36" s="25"/>
      <c r="B36" s="15"/>
      <c r="C36" s="15"/>
      <c r="D36" s="16"/>
      <c r="E36" s="16"/>
      <c r="F36" s="16"/>
      <c r="G36" s="16"/>
      <c r="H36" s="16"/>
    </row>
    <row r="37" spans="1:8" x14ac:dyDescent="0.2">
      <c r="A37" s="25"/>
      <c r="B37" s="15"/>
      <c r="C37" s="15"/>
      <c r="D37" s="16"/>
      <c r="E37" s="16"/>
      <c r="F37" s="16"/>
      <c r="G37" s="16"/>
      <c r="H37" s="16"/>
    </row>
    <row r="38" spans="1:8" x14ac:dyDescent="0.2">
      <c r="A38" s="25"/>
      <c r="B38" s="15"/>
      <c r="C38" s="15"/>
      <c r="D38" s="16"/>
      <c r="E38" s="16"/>
      <c r="F38" s="16"/>
      <c r="G38" s="16"/>
      <c r="H38" s="16"/>
    </row>
    <row r="39" spans="1:8" x14ac:dyDescent="0.2">
      <c r="A39" s="25"/>
      <c r="B39" s="15"/>
      <c r="C39" s="15"/>
      <c r="D39" s="16"/>
      <c r="E39" s="16"/>
      <c r="F39" s="16"/>
      <c r="G39" s="16"/>
      <c r="H39" s="16"/>
    </row>
    <row r="40" spans="1:8" x14ac:dyDescent="0.2">
      <c r="A40" s="25"/>
      <c r="B40" s="15"/>
      <c r="C40" s="15"/>
      <c r="D40" s="16"/>
      <c r="E40" s="16"/>
      <c r="F40" s="16"/>
      <c r="G40" s="16"/>
      <c r="H40" s="16"/>
    </row>
    <row r="41" spans="1:8" x14ac:dyDescent="0.2">
      <c r="A41" s="25"/>
      <c r="B41" s="15"/>
      <c r="C41" s="15"/>
      <c r="D41" s="16"/>
      <c r="E41" s="16"/>
      <c r="F41" s="16"/>
      <c r="G41" s="16"/>
      <c r="H41" s="16"/>
    </row>
    <row r="42" spans="1:8" x14ac:dyDescent="0.2">
      <c r="A42" s="25"/>
      <c r="B42" s="15"/>
      <c r="C42" s="15"/>
      <c r="D42" s="16"/>
      <c r="E42" s="16"/>
      <c r="F42" s="16"/>
      <c r="G42" s="16"/>
      <c r="H42" s="16"/>
    </row>
    <row r="43" spans="1:8" x14ac:dyDescent="0.2">
      <c r="A43" s="25"/>
      <c r="B43" s="15"/>
      <c r="C43" s="15"/>
      <c r="D43" s="16"/>
      <c r="E43" s="16"/>
      <c r="F43" s="16"/>
      <c r="G43" s="16"/>
      <c r="H43" s="16"/>
    </row>
    <row r="44" spans="1:8" x14ac:dyDescent="0.2">
      <c r="A44" s="25"/>
      <c r="B44" s="15"/>
      <c r="C44" s="15"/>
      <c r="D44" s="16"/>
      <c r="E44" s="16"/>
      <c r="F44" s="16"/>
      <c r="G44" s="16"/>
      <c r="H44" s="16"/>
    </row>
    <row r="45" spans="1:8" x14ac:dyDescent="0.2">
      <c r="A45" s="25"/>
      <c r="B45" s="15"/>
      <c r="C45" s="15"/>
      <c r="D45" s="16"/>
      <c r="E45" s="16"/>
      <c r="F45" s="16"/>
      <c r="G45" s="16"/>
      <c r="H45" s="16"/>
    </row>
    <row r="46" spans="1:8" x14ac:dyDescent="0.2">
      <c r="A46" s="25"/>
      <c r="B46" s="15"/>
      <c r="C46" s="15"/>
      <c r="D46" s="16"/>
      <c r="E46" s="16"/>
      <c r="F46" s="16"/>
      <c r="G46" s="16"/>
      <c r="H46" s="16"/>
    </row>
    <row r="47" spans="1:8" x14ac:dyDescent="0.2">
      <c r="A47" s="25"/>
      <c r="B47" s="15"/>
      <c r="C47" s="15"/>
      <c r="D47" s="16"/>
      <c r="E47" s="16"/>
      <c r="F47" s="16"/>
      <c r="G47" s="16"/>
      <c r="H47" s="16"/>
    </row>
    <row r="48" spans="1:8" x14ac:dyDescent="0.2">
      <c r="A48" s="25"/>
      <c r="B48" s="15"/>
      <c r="C48" s="15"/>
      <c r="D48" s="16"/>
      <c r="E48" s="16"/>
      <c r="F48" s="16"/>
      <c r="G48" s="16"/>
      <c r="H48" s="16"/>
    </row>
    <row r="49" spans="1:8" x14ac:dyDescent="0.2">
      <c r="A49" s="25"/>
      <c r="B49" s="15"/>
      <c r="C49" s="15"/>
      <c r="D49" s="16"/>
      <c r="E49" s="16"/>
      <c r="F49" s="16"/>
      <c r="G49" s="16"/>
      <c r="H49" s="16"/>
    </row>
    <row r="50" spans="1:8" x14ac:dyDescent="0.2">
      <c r="A50" s="25"/>
      <c r="B50" s="15"/>
      <c r="C50" s="15"/>
      <c r="D50" s="16"/>
      <c r="E50" s="16"/>
      <c r="F50" s="16"/>
      <c r="G50" s="16"/>
      <c r="H50" s="16"/>
    </row>
    <row r="51" spans="1:8" x14ac:dyDescent="0.2">
      <c r="A51" s="25"/>
      <c r="B51" s="15"/>
      <c r="C51" s="15"/>
      <c r="D51" s="16"/>
      <c r="E51" s="16"/>
      <c r="F51" s="16"/>
      <c r="G51" s="16"/>
      <c r="H51" s="16"/>
    </row>
    <row r="52" spans="1:8" x14ac:dyDescent="0.2">
      <c r="A52" s="25"/>
      <c r="B52" s="15"/>
      <c r="C52" s="15"/>
      <c r="D52" s="16"/>
      <c r="E52" s="16"/>
      <c r="F52" s="16"/>
      <c r="G52" s="16"/>
      <c r="H52" s="16"/>
    </row>
    <row r="53" spans="1:8" x14ac:dyDescent="0.2">
      <c r="A53" s="25"/>
      <c r="B53" s="15"/>
      <c r="C53" s="15"/>
      <c r="D53" s="16"/>
      <c r="E53" s="16"/>
      <c r="F53" s="16"/>
      <c r="G53" s="16"/>
      <c r="H53" s="16"/>
    </row>
    <row r="54" spans="1:8" x14ac:dyDescent="0.2">
      <c r="A54" s="25"/>
      <c r="B54" s="15"/>
      <c r="C54" s="15"/>
      <c r="D54" s="16"/>
      <c r="E54" s="16"/>
      <c r="F54" s="16"/>
      <c r="G54" s="16"/>
      <c r="H54" s="16"/>
    </row>
    <row r="55" spans="1:8" x14ac:dyDescent="0.2">
      <c r="A55" s="25"/>
      <c r="B55" s="15"/>
      <c r="C55" s="15"/>
      <c r="D55" s="16"/>
      <c r="E55" s="16"/>
      <c r="F55" s="16"/>
      <c r="G55" s="16"/>
      <c r="H55" s="16"/>
    </row>
    <row r="56" spans="1:8" x14ac:dyDescent="0.2">
      <c r="A56" s="25"/>
      <c r="B56" s="15"/>
      <c r="C56" s="15"/>
      <c r="D56" s="16"/>
      <c r="E56" s="16"/>
      <c r="F56" s="16"/>
      <c r="G56" s="16"/>
      <c r="H56" s="16"/>
    </row>
    <row r="57" spans="1:8" x14ac:dyDescent="0.2">
      <c r="A57" s="25"/>
      <c r="B57" s="15"/>
      <c r="C57" s="15"/>
      <c r="D57" s="16"/>
      <c r="E57" s="16"/>
      <c r="F57" s="16"/>
      <c r="G57" s="16"/>
      <c r="H57" s="16"/>
    </row>
    <row r="58" spans="1:8" x14ac:dyDescent="0.2">
      <c r="A58" s="25"/>
      <c r="B58" s="15"/>
      <c r="C58" s="15"/>
      <c r="D58" s="16"/>
      <c r="E58" s="16"/>
      <c r="F58" s="16"/>
      <c r="G58" s="16"/>
      <c r="H58" s="16"/>
    </row>
    <row r="59" spans="1:8" x14ac:dyDescent="0.2">
      <c r="A59" s="25"/>
      <c r="B59" s="15"/>
      <c r="C59" s="15"/>
      <c r="D59" s="16"/>
      <c r="E59" s="16"/>
      <c r="F59" s="16"/>
      <c r="G59" s="16"/>
      <c r="H59" s="16"/>
    </row>
    <row r="60" spans="1:8" x14ac:dyDescent="0.2">
      <c r="A60" s="25"/>
      <c r="B60" s="15"/>
      <c r="C60" s="15"/>
      <c r="D60" s="16"/>
      <c r="E60" s="16"/>
      <c r="F60" s="16"/>
      <c r="G60" s="16"/>
      <c r="H60" s="16"/>
    </row>
    <row r="61" spans="1:8" x14ac:dyDescent="0.2">
      <c r="A61" s="25"/>
      <c r="B61" s="15"/>
      <c r="C61" s="15"/>
      <c r="D61" s="16"/>
      <c r="E61" s="16"/>
      <c r="F61" s="16"/>
      <c r="G61" s="16"/>
      <c r="H61" s="16"/>
    </row>
    <row r="62" spans="1:8" x14ac:dyDescent="0.2">
      <c r="A62" s="25"/>
      <c r="B62" s="15"/>
      <c r="C62" s="15"/>
      <c r="D62" s="16"/>
      <c r="E62" s="16"/>
      <c r="F62" s="16"/>
      <c r="G62" s="16"/>
      <c r="H62" s="16"/>
    </row>
    <row r="63" spans="1:8" x14ac:dyDescent="0.2">
      <c r="A63" s="25"/>
      <c r="B63" s="15"/>
      <c r="C63" s="15"/>
      <c r="D63" s="16"/>
      <c r="E63" s="16"/>
      <c r="F63" s="16"/>
      <c r="G63" s="16"/>
      <c r="H63" s="16"/>
    </row>
    <row r="64" spans="1:8" x14ac:dyDescent="0.2">
      <c r="A64" s="25"/>
      <c r="B64" s="15"/>
      <c r="C64" s="15"/>
      <c r="D64" s="16"/>
      <c r="E64" s="16"/>
      <c r="F64" s="16"/>
      <c r="G64" s="16"/>
      <c r="H64" s="16"/>
    </row>
    <row r="65" spans="1:8" x14ac:dyDescent="0.2">
      <c r="A65" s="25"/>
      <c r="B65" s="15"/>
      <c r="C65" s="15"/>
      <c r="D65" s="16"/>
      <c r="E65" s="16"/>
      <c r="F65" s="16"/>
      <c r="G65" s="16"/>
      <c r="H65" s="16"/>
    </row>
    <row r="66" spans="1:8" x14ac:dyDescent="0.2">
      <c r="A66" s="25"/>
      <c r="B66" s="15"/>
      <c r="C66" s="15"/>
      <c r="D66" s="16"/>
      <c r="E66" s="16"/>
      <c r="F66" s="16"/>
      <c r="G66" s="16"/>
      <c r="H66" s="16"/>
    </row>
    <row r="67" spans="1:8" x14ac:dyDescent="0.2">
      <c r="A67" s="25"/>
      <c r="B67" s="15"/>
      <c r="C67" s="15"/>
      <c r="D67" s="16"/>
      <c r="E67" s="16"/>
      <c r="F67" s="16"/>
      <c r="G67" s="16"/>
      <c r="H67" s="16"/>
    </row>
    <row r="68" spans="1:8" x14ac:dyDescent="0.2">
      <c r="A68" s="25"/>
      <c r="B68" s="15"/>
      <c r="C68" s="15"/>
      <c r="D68" s="16"/>
      <c r="E68" s="16"/>
      <c r="F68" s="16"/>
      <c r="G68" s="16"/>
      <c r="H68" s="16"/>
    </row>
    <row r="69" spans="1:8" x14ac:dyDescent="0.2">
      <c r="A69" s="25"/>
      <c r="B69" s="15"/>
      <c r="C69" s="15"/>
      <c r="D69" s="16"/>
      <c r="E69" s="16"/>
      <c r="F69" s="16"/>
      <c r="G69" s="16"/>
      <c r="H69" s="16"/>
    </row>
    <row r="70" spans="1:8" x14ac:dyDescent="0.2">
      <c r="A70" s="25"/>
      <c r="B70" s="15"/>
      <c r="C70" s="15"/>
      <c r="D70" s="16"/>
      <c r="E70" s="16"/>
      <c r="F70" s="16"/>
      <c r="G70" s="16"/>
      <c r="H70" s="16"/>
    </row>
    <row r="71" spans="1:8" x14ac:dyDescent="0.2">
      <c r="A71" s="25"/>
      <c r="B71" s="15"/>
      <c r="C71" s="15"/>
      <c r="D71" s="16"/>
      <c r="E71" s="16"/>
      <c r="F71" s="16"/>
      <c r="G71" s="16"/>
      <c r="H71" s="16"/>
    </row>
    <row r="72" spans="1:8" x14ac:dyDescent="0.2">
      <c r="A72" s="25"/>
      <c r="B72" s="15"/>
      <c r="C72" s="15"/>
      <c r="D72" s="16"/>
      <c r="E72" s="16"/>
      <c r="F72" s="16"/>
      <c r="G72" s="16"/>
      <c r="H72" s="16"/>
    </row>
    <row r="73" spans="1:8" x14ac:dyDescent="0.2">
      <c r="A73" s="25"/>
      <c r="B73" s="15"/>
      <c r="C73" s="15"/>
      <c r="D73" s="16"/>
      <c r="E73" s="16"/>
      <c r="F73" s="16"/>
      <c r="G73" s="16"/>
      <c r="H73" s="16"/>
    </row>
    <row r="74" spans="1:8" x14ac:dyDescent="0.2">
      <c r="A74" s="25"/>
      <c r="B74" s="15"/>
      <c r="C74" s="15"/>
      <c r="D74" s="16"/>
      <c r="E74" s="16"/>
      <c r="F74" s="16"/>
      <c r="G74" s="16"/>
      <c r="H74" s="16"/>
    </row>
    <row r="75" spans="1:8" x14ac:dyDescent="0.2">
      <c r="A75" s="25"/>
      <c r="B75" s="15"/>
      <c r="C75" s="15"/>
      <c r="D75" s="16"/>
      <c r="E75" s="16"/>
      <c r="F75" s="16"/>
      <c r="G75" s="16"/>
      <c r="H75" s="16"/>
    </row>
    <row r="76" spans="1:8" x14ac:dyDescent="0.2">
      <c r="A76" s="25"/>
      <c r="B76" s="15"/>
      <c r="C76" s="15"/>
      <c r="D76" s="16"/>
      <c r="E76" s="16"/>
      <c r="F76" s="16"/>
      <c r="G76" s="16"/>
      <c r="H76" s="16"/>
    </row>
    <row r="77" spans="1:8" x14ac:dyDescent="0.2">
      <c r="A77" s="25"/>
      <c r="B77" s="15"/>
      <c r="C77" s="15"/>
      <c r="D77" s="16"/>
      <c r="E77" s="16"/>
      <c r="F77" s="16"/>
      <c r="G77" s="16"/>
      <c r="H77" s="16"/>
    </row>
    <row r="78" spans="1:8" x14ac:dyDescent="0.2">
      <c r="A78" s="25"/>
      <c r="B78" s="15"/>
      <c r="C78" s="15"/>
      <c r="D78" s="16"/>
      <c r="E78" s="16"/>
      <c r="F78" s="16"/>
      <c r="G78" s="16"/>
      <c r="H78" s="16"/>
    </row>
    <row r="79" spans="1:8" x14ac:dyDescent="0.2">
      <c r="A79" s="25"/>
      <c r="B79" s="15"/>
      <c r="C79" s="15"/>
      <c r="D79" s="16"/>
      <c r="E79" s="16"/>
      <c r="F79" s="16"/>
      <c r="G79" s="16"/>
      <c r="H79" s="16"/>
    </row>
    <row r="80" spans="1:8" x14ac:dyDescent="0.2">
      <c r="A80" s="25"/>
      <c r="B80" s="15"/>
      <c r="C80" s="15"/>
      <c r="D80" s="16"/>
      <c r="E80" s="16"/>
      <c r="F80" s="16"/>
      <c r="G80" s="16"/>
      <c r="H80" s="16"/>
    </row>
    <row r="81" spans="1:8" x14ac:dyDescent="0.2">
      <c r="A81" s="25"/>
      <c r="B81" s="15"/>
      <c r="C81" s="15"/>
      <c r="D81" s="16"/>
      <c r="E81" s="16"/>
      <c r="F81" s="16"/>
      <c r="G81" s="16"/>
      <c r="H81" s="16"/>
    </row>
    <row r="82" spans="1:8" x14ac:dyDescent="0.2">
      <c r="A82" s="25"/>
      <c r="B82" s="15"/>
      <c r="C82" s="15"/>
      <c r="D82" s="16"/>
      <c r="E82" s="16"/>
      <c r="F82" s="16"/>
      <c r="G82" s="16"/>
      <c r="H82" s="16"/>
    </row>
    <row r="83" spans="1:8" x14ac:dyDescent="0.2">
      <c r="A83" s="25"/>
      <c r="B83" s="15"/>
      <c r="C83" s="15"/>
      <c r="D83" s="16"/>
      <c r="E83" s="16"/>
      <c r="F83" s="16"/>
      <c r="G83" s="16"/>
      <c r="H83" s="16"/>
    </row>
    <row r="84" spans="1:8" x14ac:dyDescent="0.2">
      <c r="A84" s="25"/>
      <c r="B84" s="15"/>
      <c r="C84" s="15"/>
      <c r="D84" s="16"/>
      <c r="E84" s="16"/>
      <c r="F84" s="16"/>
      <c r="G84" s="16"/>
      <c r="H84" s="16"/>
    </row>
    <row r="85" spans="1:8" x14ac:dyDescent="0.2">
      <c r="A85" s="25"/>
      <c r="B85" s="15"/>
      <c r="C85" s="15"/>
      <c r="D85" s="16"/>
      <c r="E85" s="16"/>
      <c r="F85" s="16"/>
      <c r="G85" s="16"/>
      <c r="H85" s="16"/>
    </row>
    <row r="86" spans="1:8" x14ac:dyDescent="0.2">
      <c r="A86" s="25"/>
      <c r="B86" s="15"/>
      <c r="C86" s="15"/>
      <c r="D86" s="16"/>
      <c r="E86" s="16"/>
      <c r="F86" s="16"/>
      <c r="G86" s="16"/>
      <c r="H86" s="16"/>
    </row>
    <row r="87" spans="1:8" x14ac:dyDescent="0.2">
      <c r="A87" s="25"/>
      <c r="B87" s="15"/>
      <c r="C87" s="15"/>
      <c r="D87" s="16"/>
      <c r="E87" s="16"/>
      <c r="F87" s="16"/>
      <c r="G87" s="16"/>
      <c r="H87" s="16"/>
    </row>
    <row r="88" spans="1:8" x14ac:dyDescent="0.2">
      <c r="A88" s="25"/>
      <c r="B88" s="15"/>
      <c r="C88" s="15"/>
      <c r="D88" s="16"/>
      <c r="E88" s="16"/>
      <c r="F88" s="16"/>
      <c r="G88" s="16"/>
      <c r="H88" s="16"/>
    </row>
    <row r="89" spans="1:8" x14ac:dyDescent="0.2">
      <c r="A89" s="25"/>
      <c r="B89" s="15"/>
      <c r="C89" s="15"/>
      <c r="D89" s="16"/>
      <c r="E89" s="16"/>
      <c r="F89" s="16"/>
      <c r="G89" s="16"/>
      <c r="H89" s="16"/>
    </row>
    <row r="90" spans="1:8" x14ac:dyDescent="0.2">
      <c r="A90" s="25"/>
      <c r="B90" s="15"/>
      <c r="C90" s="15"/>
      <c r="D90" s="16"/>
      <c r="E90" s="16"/>
      <c r="F90" s="16"/>
      <c r="G90" s="16"/>
      <c r="H90" s="16"/>
    </row>
    <row r="91" spans="1:8" x14ac:dyDescent="0.2">
      <c r="A91" s="25"/>
      <c r="B91" s="15"/>
      <c r="C91" s="15"/>
      <c r="D91" s="16"/>
      <c r="E91" s="16"/>
      <c r="F91" s="16"/>
      <c r="G91" s="16"/>
      <c r="H91" s="16"/>
    </row>
    <row r="92" spans="1:8" x14ac:dyDescent="0.2">
      <c r="A92" s="25"/>
      <c r="B92" s="15"/>
      <c r="C92" s="15"/>
      <c r="D92" s="16"/>
      <c r="E92" s="16"/>
      <c r="F92" s="16"/>
      <c r="G92" s="16"/>
      <c r="H92" s="16"/>
    </row>
    <row r="93" spans="1:8" x14ac:dyDescent="0.2">
      <c r="A93" s="25"/>
      <c r="B93" s="15"/>
      <c r="C93" s="15"/>
      <c r="D93" s="16"/>
      <c r="E93" s="16"/>
      <c r="F93" s="16"/>
      <c r="G93" s="16"/>
      <c r="H93" s="16"/>
    </row>
    <row r="94" spans="1:8" x14ac:dyDescent="0.2">
      <c r="A94" s="25"/>
      <c r="B94" s="15"/>
      <c r="C94" s="15"/>
      <c r="D94" s="16"/>
      <c r="E94" s="16"/>
      <c r="F94" s="16"/>
      <c r="G94" s="16"/>
      <c r="H94" s="16"/>
    </row>
    <row r="95" spans="1:8" x14ac:dyDescent="0.2">
      <c r="A95" s="25"/>
      <c r="B95" s="15"/>
      <c r="C95" s="15"/>
      <c r="D95" s="16"/>
      <c r="E95" s="16"/>
      <c r="F95" s="16"/>
      <c r="G95" s="16"/>
      <c r="H95" s="16"/>
    </row>
    <row r="96" spans="1:8" x14ac:dyDescent="0.2">
      <c r="A96" s="25"/>
      <c r="B96" s="15"/>
      <c r="C96" s="15"/>
      <c r="D96" s="16"/>
      <c r="E96" s="16"/>
      <c r="F96" s="16"/>
      <c r="G96" s="16"/>
      <c r="H96" s="16"/>
    </row>
    <row r="97" spans="1:19" x14ac:dyDescent="0.2">
      <c r="A97" s="25"/>
      <c r="B97" s="15"/>
      <c r="C97" s="15"/>
      <c r="D97" s="16"/>
      <c r="E97" s="16"/>
      <c r="F97" s="16"/>
      <c r="G97" s="16"/>
      <c r="H97" s="16"/>
    </row>
    <row r="98" spans="1:19" x14ac:dyDescent="0.2">
      <c r="A98" s="25"/>
      <c r="B98" s="15"/>
      <c r="C98" s="15"/>
      <c r="D98" s="16"/>
      <c r="E98" s="16"/>
      <c r="F98" s="16"/>
      <c r="G98" s="16"/>
      <c r="H98" s="16"/>
    </row>
    <row r="99" spans="1:19" x14ac:dyDescent="0.2">
      <c r="A99" s="25"/>
      <c r="B99" s="15"/>
      <c r="C99" s="15"/>
      <c r="D99" s="16"/>
      <c r="E99" s="16"/>
      <c r="F99" s="16"/>
      <c r="G99" s="16"/>
      <c r="H99" s="16"/>
    </row>
    <row r="100" spans="1:19" x14ac:dyDescent="0.2">
      <c r="A100" s="25"/>
      <c r="B100" s="15"/>
      <c r="C100" s="15"/>
      <c r="D100" s="16"/>
      <c r="E100" s="16"/>
      <c r="F100" s="16"/>
      <c r="G100" s="16"/>
      <c r="H100" s="16"/>
    </row>
    <row r="101" spans="1:19" ht="15" x14ac:dyDescent="0.2">
      <c r="A101"/>
      <c r="B101"/>
      <c r="C101"/>
      <c r="D101"/>
      <c r="E101"/>
      <c r="F101"/>
      <c r="G101"/>
      <c r="H101"/>
      <c r="I101"/>
      <c r="J101"/>
      <c r="K101"/>
      <c r="L101"/>
      <c r="M101"/>
      <c r="N101"/>
      <c r="O101"/>
      <c r="P101"/>
      <c r="Q101"/>
      <c r="R101"/>
      <c r="S101"/>
    </row>
    <row r="102" spans="1:19" ht="15" x14ac:dyDescent="0.2">
      <c r="A102"/>
      <c r="B102"/>
      <c r="C102"/>
      <c r="D102"/>
      <c r="E102"/>
      <c r="F102"/>
      <c r="G102"/>
      <c r="H102"/>
      <c r="I102"/>
      <c r="J102"/>
      <c r="K102"/>
      <c r="L102"/>
      <c r="M102"/>
      <c r="N102"/>
      <c r="O102"/>
      <c r="P102"/>
      <c r="Q102"/>
      <c r="R102"/>
      <c r="S102"/>
    </row>
    <row r="103" spans="1:19" ht="15" x14ac:dyDescent="0.2">
      <c r="A103"/>
      <c r="B103"/>
      <c r="C103"/>
      <c r="D103"/>
      <c r="E103"/>
      <c r="F103"/>
      <c r="G103"/>
      <c r="H103"/>
      <c r="I103"/>
      <c r="J103"/>
      <c r="K103"/>
      <c r="L103"/>
      <c r="M103"/>
      <c r="N103"/>
      <c r="O103"/>
      <c r="P103"/>
      <c r="Q103"/>
      <c r="R103"/>
      <c r="S103"/>
    </row>
    <row r="104" spans="1:19" ht="15" x14ac:dyDescent="0.2">
      <c r="A104"/>
      <c r="B104"/>
      <c r="C104"/>
      <c r="D104"/>
      <c r="E104"/>
      <c r="F104"/>
      <c r="G104"/>
      <c r="H104"/>
      <c r="I104"/>
      <c r="J104"/>
      <c r="K104"/>
      <c r="L104"/>
      <c r="M104"/>
      <c r="N104"/>
      <c r="O104"/>
      <c r="P104"/>
      <c r="Q104"/>
      <c r="R104"/>
      <c r="S104"/>
    </row>
    <row r="105" spans="1:19" ht="15" x14ac:dyDescent="0.2">
      <c r="A105"/>
      <c r="B105"/>
      <c r="C105"/>
      <c r="D105"/>
      <c r="E105"/>
      <c r="F105"/>
      <c r="G105"/>
      <c r="H105"/>
      <c r="I105"/>
      <c r="J105"/>
      <c r="K105"/>
      <c r="L105"/>
      <c r="M105"/>
      <c r="N105"/>
      <c r="O105"/>
      <c r="P105"/>
      <c r="Q105"/>
      <c r="R105"/>
      <c r="S105"/>
    </row>
    <row r="106" spans="1:19" ht="15" x14ac:dyDescent="0.2">
      <c r="A106"/>
      <c r="B106"/>
      <c r="C106"/>
      <c r="D106"/>
      <c r="E106"/>
      <c r="F106"/>
      <c r="G106"/>
      <c r="H106"/>
      <c r="I106"/>
      <c r="J106"/>
      <c r="K106"/>
      <c r="L106"/>
      <c r="M106"/>
      <c r="N106"/>
      <c r="O106"/>
      <c r="P106"/>
      <c r="Q106"/>
      <c r="R106"/>
      <c r="S106"/>
    </row>
    <row r="107" spans="1:19" ht="15" x14ac:dyDescent="0.2">
      <c r="A107"/>
      <c r="B107"/>
      <c r="C107"/>
      <c r="D107"/>
      <c r="E107"/>
      <c r="F107"/>
      <c r="G107"/>
      <c r="H107"/>
      <c r="I107"/>
      <c r="J107"/>
      <c r="K107"/>
      <c r="L107"/>
      <c r="M107"/>
      <c r="N107"/>
      <c r="O107"/>
      <c r="P107"/>
      <c r="Q107"/>
      <c r="R107"/>
      <c r="S107"/>
    </row>
    <row r="108" spans="1:19" ht="15" x14ac:dyDescent="0.2">
      <c r="A108"/>
      <c r="B108"/>
      <c r="C108"/>
      <c r="D108"/>
      <c r="E108"/>
      <c r="F108"/>
      <c r="G108"/>
      <c r="H108"/>
      <c r="I108"/>
      <c r="J108"/>
      <c r="K108"/>
      <c r="L108"/>
      <c r="M108"/>
      <c r="N108"/>
      <c r="O108"/>
      <c r="P108"/>
      <c r="Q108"/>
      <c r="R108"/>
      <c r="S108"/>
    </row>
    <row r="109" spans="1:19" ht="15" x14ac:dyDescent="0.2">
      <c r="A109"/>
      <c r="B109"/>
      <c r="C109"/>
      <c r="D109"/>
      <c r="E109"/>
      <c r="F109"/>
      <c r="G109"/>
      <c r="H109"/>
      <c r="I109"/>
      <c r="J109"/>
      <c r="K109"/>
      <c r="L109"/>
      <c r="M109"/>
      <c r="N109"/>
      <c r="O109"/>
      <c r="P109"/>
      <c r="Q109"/>
      <c r="R109"/>
      <c r="S109"/>
    </row>
    <row r="110" spans="1:19" ht="15" x14ac:dyDescent="0.2">
      <c r="A110"/>
      <c r="B110"/>
      <c r="C110"/>
      <c r="D110"/>
      <c r="E110"/>
      <c r="F110"/>
      <c r="G110"/>
      <c r="H110"/>
      <c r="I110"/>
      <c r="J110"/>
      <c r="K110"/>
      <c r="L110"/>
      <c r="M110"/>
      <c r="N110"/>
      <c r="O110"/>
      <c r="P110"/>
      <c r="Q110"/>
      <c r="R110"/>
      <c r="S110"/>
    </row>
    <row r="111" spans="1:19" ht="15" x14ac:dyDescent="0.2">
      <c r="A111"/>
      <c r="B111"/>
      <c r="C111"/>
      <c r="D111"/>
      <c r="E111"/>
      <c r="F111"/>
      <c r="G111"/>
      <c r="H111"/>
      <c r="I111"/>
      <c r="J111"/>
      <c r="K111"/>
      <c r="L111"/>
      <c r="M111"/>
      <c r="N111"/>
      <c r="O111"/>
      <c r="P111"/>
      <c r="Q111"/>
      <c r="R111"/>
      <c r="S111"/>
    </row>
    <row r="112" spans="1:19" ht="15" x14ac:dyDescent="0.2">
      <c r="A112"/>
      <c r="B112"/>
      <c r="C112"/>
      <c r="D112"/>
      <c r="E112"/>
      <c r="F112"/>
      <c r="G112"/>
      <c r="H112"/>
      <c r="I112"/>
      <c r="J112"/>
      <c r="K112"/>
      <c r="L112"/>
      <c r="M112"/>
      <c r="N112"/>
      <c r="O112"/>
      <c r="P112"/>
      <c r="Q112"/>
      <c r="R112"/>
      <c r="S112"/>
    </row>
    <row r="113" spans="1:19" ht="15" x14ac:dyDescent="0.2">
      <c r="A113"/>
      <c r="B113"/>
      <c r="C113"/>
      <c r="D113"/>
      <c r="E113"/>
      <c r="F113"/>
      <c r="G113"/>
      <c r="H113"/>
      <c r="I113"/>
      <c r="J113"/>
      <c r="K113"/>
      <c r="L113"/>
      <c r="M113"/>
      <c r="N113"/>
      <c r="O113"/>
      <c r="P113"/>
      <c r="Q113"/>
      <c r="R113"/>
      <c r="S113"/>
    </row>
    <row r="114" spans="1:19" ht="15" x14ac:dyDescent="0.2">
      <c r="A114"/>
      <c r="B114"/>
      <c r="C114"/>
      <c r="D114"/>
      <c r="E114"/>
      <c r="F114"/>
      <c r="G114"/>
      <c r="H114"/>
      <c r="I114"/>
      <c r="J114"/>
      <c r="K114"/>
      <c r="L114"/>
      <c r="M114"/>
      <c r="N114"/>
      <c r="O114"/>
      <c r="P114"/>
      <c r="Q114"/>
      <c r="R114"/>
      <c r="S114"/>
    </row>
    <row r="115" spans="1:19" ht="15" x14ac:dyDescent="0.2">
      <c r="A115"/>
      <c r="B115"/>
      <c r="C115"/>
      <c r="D115"/>
      <c r="E115"/>
      <c r="F115"/>
      <c r="G115"/>
      <c r="H115"/>
      <c r="I115"/>
      <c r="J115"/>
      <c r="K115"/>
      <c r="L115"/>
      <c r="M115"/>
      <c r="N115"/>
      <c r="O115"/>
      <c r="P115"/>
      <c r="Q115"/>
      <c r="R115"/>
      <c r="S115"/>
    </row>
    <row r="116" spans="1:19" ht="15" x14ac:dyDescent="0.2">
      <c r="A116"/>
      <c r="B116"/>
      <c r="C116"/>
      <c r="D116"/>
      <c r="E116"/>
      <c r="F116"/>
      <c r="G116"/>
      <c r="H116"/>
      <c r="I116"/>
      <c r="J116"/>
      <c r="K116"/>
      <c r="L116"/>
      <c r="M116"/>
      <c r="N116"/>
      <c r="O116"/>
      <c r="P116"/>
      <c r="Q116"/>
      <c r="R116"/>
      <c r="S116"/>
    </row>
    <row r="117" spans="1:19" ht="15" x14ac:dyDescent="0.2">
      <c r="A117"/>
      <c r="B117"/>
      <c r="C117"/>
      <c r="D117"/>
      <c r="E117"/>
      <c r="F117"/>
      <c r="G117"/>
      <c r="H117"/>
      <c r="I117"/>
      <c r="J117"/>
      <c r="K117"/>
      <c r="L117"/>
      <c r="M117"/>
      <c r="N117"/>
      <c r="O117"/>
      <c r="P117"/>
      <c r="Q117"/>
      <c r="R117"/>
      <c r="S117"/>
    </row>
    <row r="118" spans="1:19" ht="15" x14ac:dyDescent="0.2">
      <c r="A118"/>
      <c r="B118"/>
      <c r="C118"/>
      <c r="D118"/>
      <c r="E118"/>
      <c r="F118"/>
      <c r="G118"/>
      <c r="H118"/>
      <c r="I118"/>
      <c r="J118"/>
      <c r="K118"/>
      <c r="L118"/>
      <c r="M118"/>
      <c r="N118"/>
      <c r="O118"/>
      <c r="P118"/>
      <c r="Q118"/>
      <c r="R118"/>
      <c r="S118"/>
    </row>
    <row r="119" spans="1:19" ht="15" x14ac:dyDescent="0.2">
      <c r="A119"/>
      <c r="B119"/>
      <c r="C119"/>
      <c r="D119"/>
      <c r="E119"/>
      <c r="F119"/>
      <c r="G119"/>
      <c r="H119"/>
      <c r="I119"/>
      <c r="J119"/>
      <c r="K119"/>
      <c r="L119"/>
      <c r="M119"/>
      <c r="N119"/>
      <c r="O119"/>
      <c r="P119"/>
      <c r="Q119"/>
      <c r="R119"/>
      <c r="S119"/>
    </row>
    <row r="120" spans="1:19" ht="15" x14ac:dyDescent="0.2">
      <c r="A120"/>
      <c r="B120"/>
      <c r="C120"/>
      <c r="D120"/>
      <c r="E120"/>
      <c r="F120"/>
      <c r="G120"/>
      <c r="H120"/>
      <c r="I120"/>
      <c r="J120"/>
      <c r="K120"/>
      <c r="L120"/>
      <c r="M120"/>
      <c r="N120"/>
      <c r="O120"/>
      <c r="P120"/>
      <c r="Q120"/>
      <c r="R120"/>
      <c r="S120"/>
    </row>
    <row r="121" spans="1:19" ht="15" x14ac:dyDescent="0.2">
      <c r="A121"/>
      <c r="B121"/>
      <c r="C121"/>
      <c r="D121"/>
      <c r="E121"/>
      <c r="F121"/>
      <c r="G121"/>
      <c r="H121"/>
      <c r="I121"/>
      <c r="J121"/>
      <c r="K121"/>
      <c r="L121"/>
      <c r="M121"/>
      <c r="N121"/>
      <c r="O121"/>
      <c r="P121"/>
      <c r="Q121"/>
      <c r="R121"/>
      <c r="S121"/>
    </row>
    <row r="122" spans="1:19" ht="15" x14ac:dyDescent="0.2">
      <c r="A122"/>
      <c r="B122"/>
      <c r="C122"/>
      <c r="D122"/>
      <c r="E122"/>
      <c r="F122"/>
      <c r="G122"/>
      <c r="H122"/>
      <c r="I122"/>
      <c r="J122"/>
      <c r="K122"/>
      <c r="L122"/>
      <c r="M122"/>
      <c r="N122"/>
      <c r="O122"/>
      <c r="P122"/>
      <c r="Q122"/>
      <c r="R122"/>
      <c r="S122"/>
    </row>
    <row r="123" spans="1:19" ht="15" x14ac:dyDescent="0.2">
      <c r="A123"/>
      <c r="B123"/>
      <c r="C123"/>
      <c r="D123"/>
      <c r="E123"/>
      <c r="F123"/>
      <c r="G123"/>
      <c r="H123"/>
      <c r="I123"/>
      <c r="J123"/>
      <c r="K123"/>
      <c r="L123"/>
      <c r="M123"/>
      <c r="N123"/>
      <c r="O123"/>
      <c r="P123"/>
      <c r="Q123"/>
      <c r="R123"/>
      <c r="S123"/>
    </row>
    <row r="124" spans="1:19" ht="15" x14ac:dyDescent="0.2">
      <c r="A124"/>
      <c r="B124"/>
      <c r="C124"/>
      <c r="D124"/>
      <c r="E124"/>
      <c r="F124"/>
      <c r="G124"/>
      <c r="H124"/>
      <c r="I124"/>
      <c r="J124"/>
      <c r="K124"/>
      <c r="L124"/>
      <c r="M124"/>
      <c r="N124"/>
      <c r="O124"/>
      <c r="P124"/>
      <c r="Q124"/>
      <c r="R124"/>
      <c r="S124"/>
    </row>
    <row r="125" spans="1:19" ht="15" x14ac:dyDescent="0.2">
      <c r="A125"/>
      <c r="B125"/>
      <c r="C125"/>
      <c r="D125"/>
      <c r="E125"/>
      <c r="F125"/>
      <c r="G125"/>
      <c r="H125"/>
      <c r="I125"/>
      <c r="J125"/>
      <c r="K125"/>
      <c r="L125"/>
      <c r="M125"/>
      <c r="N125"/>
      <c r="O125"/>
      <c r="P125"/>
      <c r="Q125"/>
      <c r="R125"/>
      <c r="S125"/>
    </row>
    <row r="126" spans="1:19" ht="15" x14ac:dyDescent="0.2">
      <c r="A126"/>
      <c r="B126"/>
      <c r="C126"/>
      <c r="D126"/>
      <c r="E126"/>
      <c r="F126"/>
      <c r="G126"/>
      <c r="H126"/>
      <c r="I126"/>
      <c r="J126"/>
      <c r="K126"/>
      <c r="L126"/>
      <c r="M126"/>
      <c r="N126"/>
      <c r="O126"/>
      <c r="P126"/>
      <c r="Q126"/>
      <c r="R126"/>
      <c r="S126"/>
    </row>
    <row r="127" spans="1:19" ht="15" x14ac:dyDescent="0.2">
      <c r="A127"/>
      <c r="B127"/>
      <c r="C127"/>
      <c r="D127"/>
      <c r="E127"/>
      <c r="F127"/>
      <c r="G127"/>
      <c r="H127"/>
      <c r="I127"/>
      <c r="J127"/>
      <c r="K127"/>
      <c r="L127"/>
      <c r="M127"/>
      <c r="N127"/>
      <c r="O127"/>
      <c r="P127"/>
      <c r="Q127"/>
      <c r="R127"/>
      <c r="S127"/>
    </row>
    <row r="128" spans="1:19" ht="15" x14ac:dyDescent="0.2">
      <c r="A128"/>
      <c r="B128"/>
      <c r="C128"/>
      <c r="D128"/>
      <c r="E128"/>
      <c r="F128"/>
      <c r="G128"/>
      <c r="H128"/>
      <c r="I128"/>
      <c r="J128"/>
      <c r="K128"/>
      <c r="L128"/>
      <c r="M128"/>
      <c r="N128"/>
      <c r="O128"/>
      <c r="P128"/>
      <c r="Q128"/>
      <c r="R128"/>
      <c r="S128"/>
    </row>
    <row r="129" spans="1:19" ht="15" x14ac:dyDescent="0.2">
      <c r="A129"/>
      <c r="B129"/>
      <c r="C129"/>
      <c r="D129"/>
      <c r="E129"/>
      <c r="F129"/>
      <c r="G129"/>
      <c r="H129"/>
      <c r="I129"/>
      <c r="J129"/>
      <c r="K129"/>
      <c r="L129"/>
      <c r="M129"/>
      <c r="N129"/>
      <c r="O129"/>
      <c r="P129"/>
      <c r="Q129"/>
      <c r="R129"/>
      <c r="S129"/>
    </row>
    <row r="130" spans="1:19" ht="15" x14ac:dyDescent="0.2">
      <c r="A130"/>
      <c r="B130"/>
      <c r="C130"/>
      <c r="D130"/>
      <c r="E130"/>
      <c r="F130"/>
      <c r="G130"/>
      <c r="H130"/>
      <c r="I130"/>
      <c r="J130"/>
      <c r="K130"/>
      <c r="L130"/>
      <c r="M130"/>
      <c r="N130"/>
      <c r="O130"/>
      <c r="P130"/>
      <c r="Q130"/>
      <c r="R130"/>
      <c r="S130"/>
    </row>
    <row r="131" spans="1:19" ht="15" x14ac:dyDescent="0.2">
      <c r="A131"/>
      <c r="B131"/>
      <c r="C131"/>
      <c r="D131"/>
      <c r="E131"/>
      <c r="F131"/>
      <c r="G131"/>
      <c r="H131"/>
      <c r="I131"/>
      <c r="J131"/>
      <c r="K131"/>
      <c r="L131"/>
      <c r="M131"/>
      <c r="N131"/>
      <c r="O131"/>
      <c r="P131"/>
      <c r="Q131"/>
      <c r="R131"/>
      <c r="S131"/>
    </row>
    <row r="132" spans="1:19" ht="15" x14ac:dyDescent="0.2">
      <c r="A132"/>
      <c r="B132"/>
      <c r="C132"/>
      <c r="D132"/>
      <c r="E132"/>
      <c r="F132"/>
      <c r="G132"/>
      <c r="H132"/>
      <c r="I132"/>
      <c r="J132"/>
      <c r="K132"/>
      <c r="L132"/>
      <c r="M132"/>
      <c r="N132"/>
      <c r="O132"/>
      <c r="P132"/>
      <c r="Q132"/>
      <c r="R132"/>
      <c r="S132"/>
    </row>
    <row r="133" spans="1:19" ht="15" x14ac:dyDescent="0.2">
      <c r="A133"/>
      <c r="B133"/>
      <c r="C133"/>
      <c r="D133"/>
      <c r="E133"/>
      <c r="F133"/>
      <c r="G133"/>
      <c r="H133"/>
      <c r="I133"/>
      <c r="J133"/>
      <c r="K133"/>
      <c r="L133"/>
      <c r="M133"/>
      <c r="N133"/>
      <c r="O133"/>
      <c r="P133"/>
      <c r="Q133"/>
      <c r="R133"/>
      <c r="S133"/>
    </row>
    <row r="134" spans="1:19" ht="15" x14ac:dyDescent="0.2">
      <c r="A134"/>
      <c r="B134"/>
      <c r="C134"/>
      <c r="D134"/>
      <c r="E134"/>
      <c r="F134"/>
      <c r="G134"/>
      <c r="H134"/>
      <c r="I134"/>
      <c r="J134"/>
      <c r="K134"/>
      <c r="L134"/>
      <c r="M134"/>
      <c r="N134"/>
      <c r="O134"/>
      <c r="P134"/>
      <c r="Q134"/>
      <c r="R134"/>
      <c r="S134"/>
    </row>
    <row r="135" spans="1:19" ht="15" x14ac:dyDescent="0.2">
      <c r="A135"/>
      <c r="B135"/>
      <c r="C135"/>
      <c r="D135"/>
      <c r="E135"/>
      <c r="F135"/>
      <c r="G135"/>
      <c r="H135"/>
      <c r="I135"/>
      <c r="J135"/>
      <c r="K135"/>
      <c r="L135"/>
      <c r="M135"/>
      <c r="N135"/>
      <c r="O135"/>
      <c r="P135"/>
      <c r="Q135"/>
      <c r="R135"/>
      <c r="S135"/>
    </row>
    <row r="136" spans="1:19" ht="15" x14ac:dyDescent="0.2">
      <c r="A136"/>
      <c r="B136"/>
      <c r="C136"/>
      <c r="D136"/>
      <c r="E136"/>
      <c r="F136"/>
      <c r="G136"/>
      <c r="H136"/>
      <c r="I136"/>
      <c r="J136"/>
      <c r="K136"/>
      <c r="L136"/>
      <c r="M136"/>
      <c r="N136"/>
      <c r="O136"/>
      <c r="P136"/>
      <c r="Q136"/>
      <c r="R136"/>
      <c r="S136"/>
    </row>
    <row r="137" spans="1:19" ht="15" x14ac:dyDescent="0.2">
      <c r="A137"/>
      <c r="B137"/>
      <c r="C137"/>
      <c r="D137"/>
      <c r="E137"/>
      <c r="F137"/>
      <c r="G137"/>
      <c r="H137"/>
      <c r="I137"/>
      <c r="J137"/>
      <c r="K137"/>
      <c r="L137"/>
      <c r="M137"/>
      <c r="N137"/>
      <c r="O137"/>
      <c r="P137"/>
      <c r="Q137"/>
      <c r="R137"/>
      <c r="S137"/>
    </row>
    <row r="138" spans="1:19" ht="15" x14ac:dyDescent="0.2">
      <c r="A138"/>
      <c r="B138"/>
      <c r="C138"/>
      <c r="D138"/>
      <c r="E138"/>
      <c r="F138"/>
      <c r="G138"/>
      <c r="H138"/>
      <c r="I138"/>
      <c r="J138"/>
      <c r="K138"/>
      <c r="L138"/>
      <c r="M138"/>
      <c r="N138"/>
      <c r="O138"/>
      <c r="P138"/>
      <c r="Q138"/>
      <c r="R138"/>
      <c r="S138"/>
    </row>
    <row r="139" spans="1:19" ht="15" x14ac:dyDescent="0.2">
      <c r="A139"/>
      <c r="B139"/>
      <c r="C139"/>
      <c r="D139"/>
      <c r="E139"/>
      <c r="F139"/>
      <c r="G139"/>
      <c r="H139"/>
      <c r="I139"/>
      <c r="J139"/>
      <c r="K139"/>
      <c r="L139"/>
      <c r="M139"/>
      <c r="N139"/>
      <c r="O139"/>
      <c r="P139"/>
      <c r="Q139"/>
      <c r="R139"/>
      <c r="S139"/>
    </row>
    <row r="140" spans="1:19" ht="15" x14ac:dyDescent="0.2">
      <c r="A140"/>
      <c r="B140"/>
      <c r="C140"/>
      <c r="D140"/>
      <c r="E140"/>
      <c r="F140"/>
      <c r="G140"/>
      <c r="H140"/>
      <c r="I140"/>
      <c r="J140"/>
      <c r="K140"/>
      <c r="L140"/>
      <c r="M140"/>
      <c r="N140"/>
      <c r="O140"/>
      <c r="P140"/>
      <c r="Q140"/>
      <c r="R140"/>
      <c r="S140"/>
    </row>
    <row r="141" spans="1:19" ht="15" x14ac:dyDescent="0.2">
      <c r="A141"/>
      <c r="B141"/>
      <c r="C141"/>
      <c r="D141"/>
      <c r="E141"/>
      <c r="F141"/>
      <c r="G141"/>
      <c r="H141"/>
      <c r="I141"/>
      <c r="J141"/>
      <c r="K141"/>
      <c r="L141"/>
      <c r="M141"/>
      <c r="N141"/>
      <c r="O141"/>
      <c r="P141"/>
      <c r="Q141"/>
      <c r="R141"/>
      <c r="S141"/>
    </row>
    <row r="142" spans="1:19" ht="15" x14ac:dyDescent="0.2">
      <c r="A142"/>
      <c r="B142"/>
      <c r="C142"/>
      <c r="D142"/>
      <c r="E142"/>
      <c r="F142"/>
      <c r="G142"/>
      <c r="H142"/>
      <c r="I142"/>
      <c r="J142"/>
      <c r="K142"/>
      <c r="L142"/>
      <c r="M142"/>
      <c r="N142"/>
      <c r="O142"/>
      <c r="P142"/>
      <c r="Q142"/>
      <c r="R142"/>
      <c r="S142"/>
    </row>
    <row r="143" spans="1:19" ht="15" x14ac:dyDescent="0.2">
      <c r="A143"/>
      <c r="B143"/>
      <c r="C143"/>
      <c r="D143"/>
      <c r="E143"/>
      <c r="F143"/>
      <c r="G143"/>
      <c r="H143"/>
      <c r="I143"/>
      <c r="J143"/>
      <c r="K143"/>
      <c r="L143"/>
      <c r="M143"/>
      <c r="N143"/>
      <c r="O143"/>
      <c r="P143"/>
      <c r="Q143"/>
      <c r="R143"/>
      <c r="S143"/>
    </row>
    <row r="144" spans="1:19" ht="15" x14ac:dyDescent="0.2">
      <c r="A144"/>
      <c r="B144"/>
      <c r="C144"/>
      <c r="D144"/>
      <c r="E144"/>
      <c r="F144"/>
      <c r="G144"/>
      <c r="H144"/>
      <c r="I144"/>
      <c r="J144"/>
      <c r="K144"/>
      <c r="L144"/>
      <c r="M144"/>
      <c r="N144"/>
      <c r="O144"/>
      <c r="P144"/>
      <c r="Q144"/>
      <c r="R144"/>
      <c r="S144"/>
    </row>
    <row r="145" spans="1:19" ht="15" x14ac:dyDescent="0.2">
      <c r="A145"/>
      <c r="B145"/>
      <c r="C145"/>
      <c r="D145"/>
      <c r="E145"/>
      <c r="F145"/>
      <c r="G145"/>
      <c r="H145"/>
      <c r="I145"/>
      <c r="J145"/>
      <c r="K145"/>
      <c r="L145"/>
      <c r="M145"/>
      <c r="N145"/>
      <c r="O145"/>
      <c r="P145"/>
      <c r="Q145"/>
      <c r="R145"/>
      <c r="S145"/>
    </row>
    <row r="146" spans="1:19" ht="15" x14ac:dyDescent="0.2">
      <c r="A146"/>
      <c r="B146"/>
      <c r="C146"/>
      <c r="D146"/>
      <c r="E146"/>
      <c r="F146"/>
      <c r="G146"/>
      <c r="H146"/>
      <c r="I146"/>
      <c r="J146"/>
      <c r="K146"/>
      <c r="L146"/>
      <c r="M146"/>
      <c r="N146"/>
      <c r="O146"/>
      <c r="P146"/>
      <c r="Q146"/>
      <c r="R146"/>
      <c r="S146"/>
    </row>
    <row r="147" spans="1:19" ht="15" x14ac:dyDescent="0.2">
      <c r="A147"/>
      <c r="B147"/>
      <c r="C147"/>
      <c r="D147"/>
      <c r="E147"/>
      <c r="F147"/>
      <c r="G147"/>
      <c r="H147"/>
      <c r="I147"/>
      <c r="J147"/>
      <c r="K147"/>
      <c r="L147"/>
      <c r="M147"/>
      <c r="N147"/>
      <c r="O147"/>
      <c r="P147"/>
      <c r="Q147"/>
      <c r="R147"/>
      <c r="S147"/>
    </row>
    <row r="148" spans="1:19" ht="15" x14ac:dyDescent="0.2">
      <c r="A148"/>
      <c r="B148"/>
      <c r="C148"/>
      <c r="D148"/>
      <c r="E148"/>
      <c r="F148"/>
      <c r="G148"/>
      <c r="H148"/>
      <c r="I148"/>
      <c r="J148"/>
      <c r="K148"/>
      <c r="L148"/>
      <c r="M148"/>
      <c r="N148"/>
      <c r="O148"/>
      <c r="P148"/>
      <c r="Q148"/>
      <c r="R148"/>
      <c r="S148"/>
    </row>
    <row r="149" spans="1:19" ht="15" x14ac:dyDescent="0.2">
      <c r="A149"/>
      <c r="B149"/>
      <c r="C149"/>
      <c r="D149"/>
      <c r="E149"/>
      <c r="F149"/>
      <c r="G149"/>
      <c r="H149"/>
      <c r="I149"/>
      <c r="J149"/>
      <c r="K149"/>
      <c r="L149"/>
      <c r="M149"/>
      <c r="N149"/>
      <c r="O149"/>
      <c r="P149"/>
      <c r="Q149"/>
      <c r="R149"/>
      <c r="S149"/>
    </row>
    <row r="150" spans="1:19" ht="15" x14ac:dyDescent="0.2">
      <c r="A150"/>
      <c r="B150"/>
      <c r="C150"/>
      <c r="D150"/>
      <c r="E150"/>
      <c r="F150"/>
      <c r="G150"/>
      <c r="H150"/>
      <c r="I150"/>
      <c r="J150"/>
      <c r="K150"/>
      <c r="L150"/>
      <c r="M150"/>
      <c r="N150"/>
      <c r="O150"/>
      <c r="P150"/>
      <c r="Q150"/>
      <c r="R150"/>
      <c r="S150"/>
    </row>
    <row r="151" spans="1:19" ht="15" x14ac:dyDescent="0.2">
      <c r="A151"/>
      <c r="B151"/>
      <c r="C151"/>
      <c r="D151"/>
      <c r="E151"/>
      <c r="F151"/>
      <c r="G151"/>
      <c r="H151"/>
      <c r="I151"/>
      <c r="J151"/>
      <c r="K151"/>
      <c r="L151"/>
      <c r="M151"/>
      <c r="N151"/>
      <c r="O151"/>
      <c r="P151"/>
      <c r="Q151"/>
      <c r="R151"/>
      <c r="S151"/>
    </row>
    <row r="152" spans="1:19" ht="15" x14ac:dyDescent="0.2">
      <c r="A152"/>
      <c r="B152"/>
      <c r="C152"/>
      <c r="D152"/>
      <c r="E152"/>
      <c r="F152"/>
      <c r="G152"/>
      <c r="H152"/>
      <c r="I152"/>
      <c r="J152"/>
      <c r="K152"/>
      <c r="L152"/>
      <c r="M152"/>
      <c r="N152"/>
      <c r="O152"/>
      <c r="P152"/>
      <c r="Q152"/>
      <c r="R152"/>
      <c r="S152"/>
    </row>
    <row r="153" spans="1:19" ht="15" x14ac:dyDescent="0.2">
      <c r="A153"/>
      <c r="B153"/>
      <c r="C153"/>
      <c r="D153"/>
      <c r="E153"/>
      <c r="F153"/>
      <c r="G153"/>
      <c r="H153"/>
      <c r="I153"/>
      <c r="J153"/>
      <c r="K153"/>
      <c r="L153"/>
      <c r="M153"/>
      <c r="N153"/>
      <c r="O153"/>
      <c r="P153"/>
      <c r="Q153"/>
      <c r="R153"/>
      <c r="S153"/>
    </row>
    <row r="154" spans="1:19" ht="15" x14ac:dyDescent="0.2">
      <c r="A154"/>
      <c r="B154"/>
      <c r="C154"/>
      <c r="D154"/>
      <c r="E154"/>
      <c r="F154"/>
      <c r="G154"/>
      <c r="H154"/>
      <c r="I154"/>
      <c r="J154"/>
      <c r="K154"/>
      <c r="L154"/>
      <c r="M154"/>
      <c r="N154"/>
      <c r="O154"/>
      <c r="P154"/>
      <c r="Q154"/>
      <c r="R154"/>
      <c r="S154"/>
    </row>
    <row r="155" spans="1:19" ht="15" x14ac:dyDescent="0.2">
      <c r="A155"/>
      <c r="B155"/>
      <c r="C155"/>
      <c r="D155"/>
      <c r="E155"/>
      <c r="F155"/>
      <c r="G155"/>
      <c r="H155"/>
      <c r="I155"/>
      <c r="J155"/>
      <c r="K155"/>
      <c r="L155"/>
      <c r="M155"/>
      <c r="N155"/>
      <c r="O155"/>
      <c r="P155"/>
      <c r="Q155"/>
      <c r="R155"/>
      <c r="S155"/>
    </row>
    <row r="156" spans="1:19" ht="15" x14ac:dyDescent="0.2">
      <c r="A156"/>
      <c r="B156"/>
      <c r="C156"/>
      <c r="D156"/>
      <c r="E156"/>
      <c r="F156"/>
      <c r="G156"/>
      <c r="H156"/>
      <c r="I156"/>
      <c r="J156"/>
      <c r="K156"/>
      <c r="L156"/>
      <c r="M156"/>
      <c r="N156"/>
      <c r="O156"/>
      <c r="P156"/>
      <c r="Q156"/>
      <c r="R156"/>
      <c r="S156"/>
    </row>
    <row r="157" spans="1:19" ht="15" x14ac:dyDescent="0.2">
      <c r="A157"/>
      <c r="B157"/>
      <c r="C157"/>
      <c r="D157"/>
      <c r="E157"/>
      <c r="F157"/>
      <c r="G157"/>
      <c r="H157"/>
      <c r="I157"/>
      <c r="J157"/>
      <c r="K157"/>
      <c r="L157"/>
      <c r="M157"/>
      <c r="N157"/>
      <c r="O157"/>
      <c r="P157"/>
      <c r="Q157"/>
      <c r="R157"/>
      <c r="S157"/>
    </row>
    <row r="158" spans="1:19" ht="15" x14ac:dyDescent="0.2">
      <c r="A158"/>
      <c r="B158"/>
      <c r="C158"/>
      <c r="D158"/>
      <c r="E158"/>
      <c r="F158"/>
      <c r="G158"/>
      <c r="H158"/>
      <c r="I158"/>
      <c r="J158"/>
      <c r="K158"/>
      <c r="L158"/>
      <c r="M158"/>
      <c r="N158"/>
      <c r="O158"/>
      <c r="P158"/>
      <c r="Q158"/>
      <c r="R158"/>
      <c r="S158"/>
    </row>
    <row r="159" spans="1:19" ht="15" x14ac:dyDescent="0.2">
      <c r="A159"/>
      <c r="B159"/>
      <c r="C159"/>
      <c r="D159"/>
      <c r="E159"/>
      <c r="F159"/>
      <c r="G159"/>
      <c r="H159"/>
      <c r="I159"/>
      <c r="J159"/>
      <c r="K159"/>
      <c r="L159"/>
      <c r="M159"/>
      <c r="N159"/>
      <c r="O159"/>
      <c r="P159"/>
      <c r="Q159"/>
      <c r="R159"/>
      <c r="S159"/>
    </row>
    <row r="160" spans="1:19" ht="15" x14ac:dyDescent="0.2">
      <c r="A160"/>
      <c r="B160"/>
      <c r="C160"/>
      <c r="D160"/>
      <c r="E160"/>
      <c r="F160"/>
      <c r="G160"/>
      <c r="H160"/>
      <c r="I160"/>
      <c r="J160"/>
      <c r="K160"/>
      <c r="L160"/>
      <c r="M160"/>
      <c r="N160"/>
      <c r="O160"/>
      <c r="P160"/>
      <c r="Q160"/>
      <c r="R160"/>
      <c r="S160"/>
    </row>
    <row r="161" spans="1:19" ht="15" x14ac:dyDescent="0.2">
      <c r="A161"/>
      <c r="B161"/>
      <c r="C161"/>
      <c r="D161"/>
      <c r="E161"/>
      <c r="F161"/>
      <c r="G161"/>
      <c r="H161"/>
      <c r="I161"/>
      <c r="J161"/>
      <c r="K161"/>
      <c r="L161"/>
      <c r="M161"/>
      <c r="N161"/>
      <c r="O161"/>
      <c r="P161"/>
      <c r="Q161"/>
      <c r="R161"/>
      <c r="S161"/>
    </row>
    <row r="162" spans="1:19" ht="15" x14ac:dyDescent="0.2">
      <c r="A162"/>
      <c r="B162"/>
      <c r="C162"/>
      <c r="D162"/>
      <c r="E162"/>
      <c r="F162"/>
      <c r="G162"/>
      <c r="H162"/>
      <c r="I162"/>
      <c r="J162"/>
      <c r="K162"/>
      <c r="L162"/>
      <c r="M162"/>
      <c r="N162"/>
      <c r="O162"/>
      <c r="P162"/>
      <c r="Q162"/>
      <c r="R162"/>
      <c r="S162"/>
    </row>
    <row r="163" spans="1:19" ht="15" x14ac:dyDescent="0.2">
      <c r="A163"/>
      <c r="B163"/>
      <c r="C163"/>
      <c r="D163"/>
      <c r="E163"/>
      <c r="F163"/>
      <c r="G163"/>
      <c r="H163"/>
      <c r="I163"/>
      <c r="J163"/>
      <c r="K163"/>
      <c r="L163"/>
      <c r="M163"/>
      <c r="N163"/>
      <c r="O163"/>
      <c r="P163"/>
      <c r="Q163"/>
      <c r="R163"/>
      <c r="S163"/>
    </row>
    <row r="164" spans="1:19" ht="15" x14ac:dyDescent="0.2">
      <c r="A164"/>
      <c r="B164"/>
      <c r="C164"/>
      <c r="D164"/>
      <c r="E164"/>
      <c r="F164"/>
      <c r="G164"/>
      <c r="H164"/>
      <c r="I164"/>
      <c r="J164"/>
      <c r="K164"/>
      <c r="L164"/>
      <c r="M164"/>
      <c r="N164"/>
      <c r="O164"/>
      <c r="P164"/>
      <c r="Q164"/>
      <c r="R164"/>
      <c r="S164"/>
    </row>
    <row r="165" spans="1:19" ht="15" x14ac:dyDescent="0.2">
      <c r="A165"/>
      <c r="B165"/>
      <c r="C165"/>
      <c r="D165"/>
      <c r="E165"/>
      <c r="F165"/>
      <c r="G165"/>
      <c r="H165"/>
      <c r="I165"/>
      <c r="J165"/>
      <c r="K165"/>
      <c r="L165"/>
      <c r="M165"/>
      <c r="N165"/>
      <c r="O165"/>
      <c r="P165"/>
      <c r="Q165"/>
      <c r="R165"/>
      <c r="S165"/>
    </row>
    <row r="166" spans="1:19" ht="15" x14ac:dyDescent="0.2">
      <c r="A166"/>
      <c r="B166"/>
      <c r="C166"/>
      <c r="D166"/>
      <c r="E166"/>
      <c r="F166"/>
      <c r="G166"/>
      <c r="H166"/>
      <c r="I166"/>
      <c r="J166"/>
      <c r="K166"/>
      <c r="L166"/>
      <c r="M166"/>
      <c r="N166"/>
      <c r="O166"/>
      <c r="P166"/>
      <c r="Q166"/>
      <c r="R166"/>
      <c r="S166"/>
    </row>
    <row r="167" spans="1:19" ht="15" x14ac:dyDescent="0.2">
      <c r="A167"/>
      <c r="B167"/>
      <c r="C167"/>
      <c r="D167"/>
      <c r="E167"/>
      <c r="F167"/>
      <c r="G167"/>
      <c r="H167"/>
      <c r="I167"/>
      <c r="J167"/>
      <c r="K167"/>
      <c r="L167"/>
      <c r="M167"/>
      <c r="N167"/>
      <c r="O167"/>
      <c r="P167"/>
      <c r="Q167"/>
      <c r="R167"/>
      <c r="S167"/>
    </row>
    <row r="168" spans="1:19" ht="15" x14ac:dyDescent="0.2">
      <c r="A168"/>
      <c r="B168"/>
      <c r="C168"/>
      <c r="D168"/>
      <c r="E168"/>
      <c r="F168"/>
      <c r="G168"/>
      <c r="H168"/>
      <c r="I168"/>
      <c r="J168"/>
      <c r="K168"/>
      <c r="L168"/>
      <c r="M168"/>
      <c r="N168"/>
      <c r="O168"/>
      <c r="P168"/>
      <c r="Q168"/>
      <c r="R168"/>
      <c r="S168"/>
    </row>
    <row r="169" spans="1:19" ht="15" x14ac:dyDescent="0.2">
      <c r="A169"/>
      <c r="B169"/>
      <c r="C169"/>
      <c r="D169"/>
      <c r="E169"/>
      <c r="F169"/>
      <c r="G169"/>
      <c r="H169"/>
      <c r="I169"/>
      <c r="J169"/>
      <c r="K169"/>
      <c r="L169"/>
      <c r="M169"/>
      <c r="N169"/>
      <c r="O169"/>
      <c r="P169"/>
      <c r="Q169"/>
      <c r="R169"/>
      <c r="S169"/>
    </row>
    <row r="170" spans="1:19" ht="15" x14ac:dyDescent="0.2">
      <c r="A170"/>
      <c r="B170"/>
      <c r="C170"/>
      <c r="D170"/>
      <c r="E170"/>
      <c r="F170"/>
      <c r="G170"/>
      <c r="H170"/>
      <c r="I170"/>
      <c r="J170"/>
      <c r="K170"/>
      <c r="L170"/>
      <c r="M170"/>
      <c r="N170"/>
      <c r="O170"/>
      <c r="P170"/>
      <c r="Q170"/>
      <c r="R170"/>
      <c r="S170"/>
    </row>
    <row r="171" spans="1:19" ht="15" x14ac:dyDescent="0.2">
      <c r="A171"/>
      <c r="B171"/>
      <c r="C171"/>
      <c r="D171"/>
      <c r="E171"/>
      <c r="F171"/>
      <c r="G171"/>
      <c r="H171"/>
      <c r="I171"/>
      <c r="J171"/>
      <c r="K171"/>
      <c r="L171"/>
      <c r="M171"/>
      <c r="N171"/>
      <c r="O171"/>
      <c r="P171"/>
      <c r="Q171"/>
      <c r="R171"/>
      <c r="S171"/>
    </row>
    <row r="172" spans="1:19" ht="15" x14ac:dyDescent="0.2">
      <c r="A172"/>
      <c r="B172"/>
      <c r="C172"/>
      <c r="D172"/>
      <c r="E172"/>
      <c r="F172"/>
      <c r="G172"/>
      <c r="H172"/>
      <c r="I172"/>
      <c r="J172"/>
      <c r="K172"/>
      <c r="L172"/>
      <c r="M172"/>
      <c r="N172"/>
      <c r="O172"/>
      <c r="P172"/>
      <c r="Q172"/>
      <c r="R172"/>
      <c r="S172"/>
    </row>
    <row r="173" spans="1:19" ht="15" x14ac:dyDescent="0.2">
      <c r="A173"/>
      <c r="B173"/>
      <c r="C173"/>
      <c r="D173"/>
      <c r="E173"/>
      <c r="F173"/>
      <c r="G173"/>
      <c r="H173"/>
      <c r="I173"/>
      <c r="J173"/>
      <c r="K173"/>
      <c r="L173"/>
      <c r="M173"/>
      <c r="N173"/>
      <c r="O173"/>
      <c r="P173"/>
      <c r="Q173"/>
      <c r="R173"/>
      <c r="S173"/>
    </row>
    <row r="174" spans="1:19" ht="15" x14ac:dyDescent="0.2">
      <c r="A174"/>
      <c r="B174"/>
      <c r="C174"/>
      <c r="D174"/>
      <c r="E174"/>
      <c r="F174"/>
      <c r="G174"/>
      <c r="H174"/>
      <c r="I174"/>
      <c r="J174"/>
      <c r="K174"/>
      <c r="L174"/>
      <c r="M174"/>
      <c r="N174"/>
      <c r="O174"/>
      <c r="P174"/>
      <c r="Q174"/>
      <c r="R174"/>
      <c r="S174"/>
    </row>
    <row r="175" spans="1:19" ht="15" x14ac:dyDescent="0.2">
      <c r="A175"/>
      <c r="B175"/>
      <c r="C175"/>
      <c r="D175"/>
      <c r="E175"/>
      <c r="F175"/>
      <c r="G175"/>
      <c r="H175"/>
      <c r="I175"/>
      <c r="J175"/>
      <c r="K175"/>
      <c r="L175"/>
      <c r="M175"/>
      <c r="N175"/>
      <c r="O175"/>
      <c r="P175"/>
      <c r="Q175"/>
      <c r="R175"/>
      <c r="S175"/>
    </row>
    <row r="176" spans="1:19" ht="15" x14ac:dyDescent="0.2">
      <c r="A176"/>
      <c r="B176"/>
      <c r="C176"/>
      <c r="D176"/>
      <c r="E176"/>
      <c r="F176"/>
      <c r="G176"/>
      <c r="H176"/>
      <c r="I176"/>
      <c r="J176"/>
      <c r="K176"/>
      <c r="L176"/>
      <c r="M176"/>
      <c r="N176"/>
      <c r="O176"/>
      <c r="P176"/>
      <c r="Q176"/>
      <c r="R176"/>
      <c r="S176"/>
    </row>
    <row r="177" spans="1:19" ht="15" x14ac:dyDescent="0.2">
      <c r="A177"/>
      <c r="B177"/>
      <c r="C177"/>
      <c r="D177"/>
      <c r="E177"/>
      <c r="F177"/>
      <c r="G177"/>
      <c r="H177"/>
      <c r="I177"/>
      <c r="J177"/>
      <c r="K177"/>
      <c r="L177"/>
      <c r="M177"/>
      <c r="N177"/>
      <c r="O177"/>
      <c r="P177"/>
      <c r="Q177"/>
      <c r="R177"/>
      <c r="S177"/>
    </row>
    <row r="178" spans="1:19" ht="15" x14ac:dyDescent="0.2">
      <c r="A178"/>
      <c r="B178"/>
      <c r="C178"/>
      <c r="D178"/>
      <c r="E178"/>
      <c r="F178"/>
      <c r="G178"/>
      <c r="H178"/>
      <c r="I178"/>
      <c r="J178"/>
      <c r="K178"/>
      <c r="L178"/>
      <c r="M178"/>
      <c r="N178"/>
      <c r="O178"/>
      <c r="P178"/>
      <c r="Q178"/>
      <c r="R178"/>
      <c r="S178"/>
    </row>
    <row r="179" spans="1:19" ht="15" x14ac:dyDescent="0.2">
      <c r="A179"/>
      <c r="B179"/>
      <c r="C179"/>
      <c r="D179"/>
      <c r="E179"/>
      <c r="F179"/>
      <c r="G179"/>
      <c r="H179"/>
      <c r="I179"/>
      <c r="J179"/>
      <c r="K179"/>
      <c r="L179"/>
      <c r="M179"/>
      <c r="N179"/>
      <c r="O179"/>
      <c r="P179"/>
      <c r="Q179"/>
      <c r="R179"/>
      <c r="S179"/>
    </row>
    <row r="180" spans="1:19" ht="15" x14ac:dyDescent="0.2">
      <c r="A180"/>
      <c r="B180"/>
      <c r="C180"/>
      <c r="D180"/>
      <c r="E180"/>
      <c r="F180"/>
      <c r="G180"/>
      <c r="H180"/>
      <c r="I180"/>
      <c r="J180"/>
      <c r="K180"/>
      <c r="L180"/>
      <c r="M180"/>
      <c r="N180"/>
      <c r="O180"/>
      <c r="P180"/>
      <c r="Q180"/>
      <c r="R180"/>
      <c r="S180"/>
    </row>
    <row r="181" spans="1:19" ht="15" x14ac:dyDescent="0.2">
      <c r="A181"/>
      <c r="B181"/>
      <c r="C181"/>
      <c r="D181"/>
      <c r="E181"/>
      <c r="F181"/>
      <c r="G181"/>
      <c r="H181"/>
      <c r="I181"/>
      <c r="J181"/>
      <c r="K181"/>
      <c r="L181"/>
      <c r="M181"/>
      <c r="N181"/>
      <c r="O181"/>
      <c r="P181"/>
      <c r="Q181"/>
      <c r="R181"/>
      <c r="S181"/>
    </row>
    <row r="182" spans="1:19" ht="15" x14ac:dyDescent="0.2">
      <c r="A182"/>
      <c r="B182"/>
      <c r="C182"/>
      <c r="D182"/>
      <c r="E182"/>
      <c r="F182"/>
      <c r="G182"/>
      <c r="H182"/>
      <c r="I182"/>
      <c r="J182"/>
      <c r="K182"/>
      <c r="L182"/>
      <c r="M182"/>
      <c r="N182"/>
      <c r="O182"/>
      <c r="P182"/>
      <c r="Q182"/>
      <c r="R182"/>
      <c r="S182"/>
    </row>
    <row r="183" spans="1:19" ht="15" x14ac:dyDescent="0.2">
      <c r="A183"/>
      <c r="B183"/>
      <c r="C183"/>
      <c r="D183"/>
      <c r="E183"/>
      <c r="F183"/>
      <c r="G183"/>
      <c r="H183"/>
      <c r="I183"/>
      <c r="J183"/>
      <c r="K183"/>
      <c r="L183"/>
      <c r="M183"/>
      <c r="N183"/>
      <c r="O183"/>
      <c r="P183"/>
      <c r="Q183"/>
      <c r="R183"/>
      <c r="S183"/>
    </row>
    <row r="184" spans="1:19" ht="15" x14ac:dyDescent="0.2">
      <c r="A184"/>
      <c r="B184"/>
      <c r="C184"/>
      <c r="D184"/>
      <c r="E184"/>
      <c r="F184"/>
      <c r="G184"/>
      <c r="H184"/>
      <c r="I184"/>
      <c r="J184"/>
      <c r="K184"/>
      <c r="L184"/>
      <c r="M184"/>
      <c r="N184"/>
      <c r="O184"/>
      <c r="P184"/>
      <c r="Q184"/>
      <c r="R184"/>
      <c r="S184"/>
    </row>
    <row r="185" spans="1:19" ht="15" x14ac:dyDescent="0.2">
      <c r="A185"/>
      <c r="B185"/>
      <c r="C185"/>
      <c r="D185"/>
      <c r="E185"/>
      <c r="F185"/>
      <c r="G185"/>
      <c r="H185"/>
      <c r="I185"/>
      <c r="J185"/>
      <c r="K185"/>
      <c r="L185"/>
      <c r="M185"/>
      <c r="N185"/>
      <c r="O185"/>
      <c r="P185"/>
      <c r="Q185"/>
      <c r="R185"/>
      <c r="S185"/>
    </row>
    <row r="186" spans="1:19" ht="15" x14ac:dyDescent="0.2">
      <c r="A186"/>
      <c r="B186"/>
      <c r="C186"/>
      <c r="D186"/>
      <c r="E186"/>
      <c r="F186"/>
      <c r="G186"/>
      <c r="H186"/>
      <c r="I186"/>
      <c r="J186"/>
      <c r="K186"/>
      <c r="L186"/>
      <c r="M186"/>
      <c r="N186"/>
      <c r="O186"/>
      <c r="P186"/>
      <c r="Q186"/>
      <c r="R186"/>
      <c r="S186"/>
    </row>
    <row r="187" spans="1:19" ht="15" x14ac:dyDescent="0.2">
      <c r="A187"/>
      <c r="B187"/>
      <c r="C187"/>
      <c r="D187"/>
      <c r="E187"/>
      <c r="F187"/>
      <c r="G187"/>
      <c r="H187"/>
      <c r="I187"/>
      <c r="J187"/>
      <c r="K187"/>
      <c r="L187"/>
      <c r="M187"/>
      <c r="N187"/>
      <c r="O187"/>
      <c r="P187"/>
      <c r="Q187"/>
      <c r="R187"/>
      <c r="S187"/>
    </row>
    <row r="188" spans="1:19" ht="15" x14ac:dyDescent="0.2">
      <c r="A188"/>
      <c r="B188"/>
      <c r="C188"/>
      <c r="D188"/>
      <c r="E188"/>
      <c r="F188"/>
      <c r="G188"/>
      <c r="H188"/>
      <c r="I188"/>
      <c r="J188"/>
      <c r="K188"/>
      <c r="L188"/>
      <c r="M188"/>
      <c r="N188"/>
      <c r="O188"/>
      <c r="P188"/>
      <c r="Q188"/>
      <c r="R188"/>
      <c r="S188"/>
    </row>
    <row r="189" spans="1:19" ht="15" x14ac:dyDescent="0.2">
      <c r="A189"/>
      <c r="B189"/>
      <c r="C189"/>
      <c r="D189"/>
      <c r="E189"/>
      <c r="F189"/>
      <c r="G189"/>
      <c r="H189"/>
      <c r="I189"/>
      <c r="J189"/>
      <c r="K189"/>
      <c r="L189"/>
      <c r="M189"/>
      <c r="N189"/>
      <c r="O189"/>
      <c r="P189"/>
      <c r="Q189"/>
      <c r="R189"/>
      <c r="S189"/>
    </row>
    <row r="190" spans="1:19" ht="15" x14ac:dyDescent="0.2">
      <c r="A190"/>
      <c r="B190"/>
      <c r="C190"/>
      <c r="D190"/>
      <c r="E190"/>
      <c r="F190"/>
      <c r="G190"/>
      <c r="H190"/>
      <c r="I190"/>
      <c r="J190"/>
      <c r="K190"/>
      <c r="L190"/>
      <c r="M190"/>
      <c r="N190"/>
      <c r="O190"/>
      <c r="P190"/>
      <c r="Q190"/>
      <c r="R190"/>
      <c r="S190"/>
    </row>
    <row r="191" spans="1:19" ht="15" x14ac:dyDescent="0.2">
      <c r="A191"/>
      <c r="B191"/>
      <c r="C191"/>
      <c r="D191"/>
      <c r="E191"/>
      <c r="F191"/>
      <c r="G191"/>
      <c r="H191"/>
      <c r="I191"/>
      <c r="J191"/>
      <c r="K191"/>
      <c r="L191"/>
      <c r="M191"/>
      <c r="N191"/>
      <c r="O191"/>
      <c r="P191"/>
      <c r="Q191"/>
      <c r="R191"/>
      <c r="S191"/>
    </row>
    <row r="192" spans="1:19" ht="15" x14ac:dyDescent="0.2">
      <c r="A192"/>
      <c r="B192"/>
      <c r="C192"/>
      <c r="D192"/>
      <c r="E192"/>
      <c r="F192"/>
      <c r="G192"/>
      <c r="H192"/>
      <c r="I192"/>
      <c r="J192"/>
      <c r="K192"/>
      <c r="L192"/>
      <c r="M192"/>
      <c r="N192"/>
      <c r="O192"/>
      <c r="P192"/>
      <c r="Q192"/>
      <c r="R192"/>
      <c r="S192"/>
    </row>
    <row r="193" spans="1:19" ht="15" x14ac:dyDescent="0.2">
      <c r="A193"/>
      <c r="B193"/>
      <c r="C193"/>
      <c r="D193"/>
      <c r="E193"/>
      <c r="F193"/>
      <c r="G193"/>
      <c r="H193"/>
      <c r="I193"/>
      <c r="J193"/>
      <c r="K193"/>
      <c r="L193"/>
      <c r="M193"/>
      <c r="N193"/>
      <c r="O193"/>
      <c r="P193"/>
      <c r="Q193"/>
      <c r="R193"/>
      <c r="S193"/>
    </row>
    <row r="194" spans="1:19" ht="15" x14ac:dyDescent="0.2">
      <c r="A194"/>
      <c r="B194"/>
      <c r="C194"/>
      <c r="D194"/>
      <c r="E194"/>
      <c r="F194"/>
      <c r="G194"/>
      <c r="H194"/>
      <c r="I194"/>
      <c r="J194"/>
      <c r="K194"/>
      <c r="L194"/>
      <c r="M194"/>
      <c r="N194"/>
      <c r="O194"/>
      <c r="P194"/>
      <c r="Q194"/>
      <c r="R194"/>
      <c r="S194"/>
    </row>
    <row r="195" spans="1:19" ht="15" x14ac:dyDescent="0.2">
      <c r="A195"/>
      <c r="B195"/>
      <c r="C195"/>
      <c r="D195"/>
      <c r="E195"/>
      <c r="F195"/>
      <c r="G195"/>
      <c r="H195"/>
      <c r="I195"/>
      <c r="J195"/>
      <c r="K195"/>
      <c r="L195"/>
      <c r="M195"/>
      <c r="N195"/>
      <c r="O195"/>
      <c r="P195"/>
      <c r="Q195"/>
      <c r="R195"/>
      <c r="S195"/>
    </row>
    <row r="196" spans="1:19" ht="15" x14ac:dyDescent="0.2">
      <c r="A196"/>
      <c r="B196"/>
      <c r="C196"/>
      <c r="D196"/>
      <c r="E196"/>
      <c r="F196"/>
      <c r="G196"/>
      <c r="H196"/>
      <c r="I196"/>
      <c r="J196"/>
      <c r="K196"/>
      <c r="L196"/>
      <c r="M196"/>
      <c r="N196"/>
      <c r="O196"/>
      <c r="P196"/>
      <c r="Q196"/>
      <c r="R196"/>
      <c r="S196"/>
    </row>
    <row r="197" spans="1:19" ht="15" x14ac:dyDescent="0.2">
      <c r="A197"/>
      <c r="B197"/>
      <c r="C197"/>
      <c r="D197"/>
      <c r="E197"/>
      <c r="F197"/>
      <c r="G197"/>
      <c r="H197"/>
      <c r="I197"/>
      <c r="J197"/>
      <c r="K197"/>
      <c r="L197"/>
      <c r="M197"/>
      <c r="N197"/>
      <c r="O197"/>
      <c r="P197"/>
      <c r="Q197"/>
      <c r="R197"/>
      <c r="S197"/>
    </row>
    <row r="198" spans="1:19" ht="15" x14ac:dyDescent="0.2">
      <c r="A198"/>
      <c r="B198"/>
      <c r="C198"/>
      <c r="D198"/>
      <c r="E198"/>
      <c r="F198"/>
      <c r="G198"/>
      <c r="H198"/>
      <c r="I198"/>
      <c r="J198"/>
      <c r="K198"/>
      <c r="L198"/>
      <c r="M198"/>
      <c r="N198"/>
      <c r="O198"/>
      <c r="P198"/>
      <c r="Q198"/>
      <c r="R198"/>
      <c r="S198"/>
    </row>
    <row r="199" spans="1:19" ht="15" x14ac:dyDescent="0.2">
      <c r="A199"/>
      <c r="B199"/>
      <c r="C199"/>
      <c r="D199"/>
      <c r="E199"/>
      <c r="F199"/>
      <c r="G199"/>
      <c r="H199"/>
      <c r="I199"/>
      <c r="J199"/>
      <c r="K199"/>
      <c r="L199"/>
      <c r="M199"/>
      <c r="N199"/>
      <c r="O199"/>
      <c r="P199"/>
      <c r="Q199"/>
      <c r="R199"/>
      <c r="S199"/>
    </row>
    <row r="200" spans="1:19" ht="15" x14ac:dyDescent="0.2">
      <c r="A200"/>
      <c r="B200"/>
      <c r="C200"/>
      <c r="D200"/>
      <c r="E200"/>
      <c r="F200"/>
      <c r="G200"/>
      <c r="H200"/>
      <c r="I200"/>
      <c r="J200"/>
      <c r="K200"/>
      <c r="L200"/>
      <c r="M200"/>
      <c r="N200"/>
      <c r="O200"/>
      <c r="P200"/>
      <c r="Q200"/>
      <c r="R200"/>
      <c r="S200"/>
    </row>
    <row r="201" spans="1:19" ht="15" x14ac:dyDescent="0.2">
      <c r="A201"/>
      <c r="B201"/>
      <c r="C201"/>
      <c r="D201"/>
      <c r="E201"/>
      <c r="F201"/>
      <c r="G201"/>
      <c r="H201"/>
      <c r="I201"/>
      <c r="J201"/>
      <c r="K201"/>
      <c r="L201"/>
      <c r="M201"/>
      <c r="N201"/>
      <c r="O201"/>
      <c r="P201"/>
      <c r="Q201"/>
      <c r="R201"/>
      <c r="S201"/>
    </row>
    <row r="202" spans="1:19" ht="15" x14ac:dyDescent="0.2">
      <c r="A202"/>
      <c r="B202"/>
      <c r="C202"/>
      <c r="D202"/>
      <c r="E202"/>
      <c r="F202"/>
      <c r="G202"/>
      <c r="H202"/>
      <c r="I202"/>
      <c r="J202"/>
      <c r="K202"/>
      <c r="L202"/>
      <c r="M202"/>
      <c r="N202"/>
      <c r="O202"/>
      <c r="P202"/>
      <c r="Q202"/>
      <c r="R202"/>
      <c r="S202"/>
    </row>
    <row r="203" spans="1:19" ht="15" x14ac:dyDescent="0.2">
      <c r="A203"/>
      <c r="B203"/>
      <c r="C203"/>
      <c r="D203"/>
      <c r="E203"/>
      <c r="F203"/>
      <c r="G203"/>
      <c r="H203"/>
      <c r="I203"/>
      <c r="J203"/>
      <c r="K203"/>
      <c r="L203"/>
      <c r="M203"/>
      <c r="N203"/>
      <c r="O203"/>
      <c r="P203"/>
      <c r="Q203"/>
      <c r="R203"/>
      <c r="S203"/>
    </row>
    <row r="204" spans="1:19" ht="15" x14ac:dyDescent="0.2">
      <c r="A204"/>
      <c r="B204"/>
      <c r="C204"/>
      <c r="D204"/>
      <c r="E204"/>
      <c r="F204"/>
      <c r="G204"/>
      <c r="H204"/>
      <c r="I204"/>
      <c r="J204"/>
      <c r="K204"/>
      <c r="L204"/>
      <c r="M204"/>
      <c r="N204"/>
      <c r="O204"/>
      <c r="P204"/>
      <c r="Q204"/>
      <c r="R204"/>
      <c r="S204"/>
    </row>
    <row r="205" spans="1:19" ht="15" x14ac:dyDescent="0.2">
      <c r="A205"/>
      <c r="B205"/>
      <c r="C205"/>
      <c r="D205"/>
      <c r="E205"/>
      <c r="F205"/>
      <c r="G205"/>
      <c r="H205"/>
      <c r="I205"/>
      <c r="J205"/>
      <c r="K205"/>
      <c r="L205"/>
      <c r="M205"/>
      <c r="N205"/>
      <c r="O205"/>
      <c r="P205"/>
      <c r="Q205"/>
      <c r="R205"/>
      <c r="S205"/>
    </row>
    <row r="206" spans="1:19" ht="15" x14ac:dyDescent="0.2">
      <c r="A206"/>
      <c r="B206"/>
      <c r="C206"/>
      <c r="D206"/>
      <c r="E206"/>
      <c r="F206"/>
      <c r="G206"/>
      <c r="H206"/>
      <c r="I206"/>
      <c r="J206"/>
      <c r="K206"/>
      <c r="L206"/>
      <c r="M206"/>
      <c r="N206"/>
      <c r="O206"/>
      <c r="P206"/>
      <c r="Q206"/>
      <c r="R206"/>
      <c r="S206"/>
    </row>
    <row r="207" spans="1:19" ht="15" x14ac:dyDescent="0.2">
      <c r="A207"/>
      <c r="B207"/>
      <c r="C207"/>
      <c r="D207"/>
      <c r="E207"/>
      <c r="F207"/>
      <c r="G207"/>
      <c r="H207"/>
      <c r="I207"/>
      <c r="J207"/>
      <c r="K207"/>
      <c r="L207"/>
      <c r="M207"/>
      <c r="N207"/>
      <c r="O207"/>
      <c r="P207"/>
      <c r="Q207"/>
      <c r="R207"/>
      <c r="S207"/>
    </row>
    <row r="208" spans="1:19" ht="15" x14ac:dyDescent="0.2">
      <c r="A208"/>
      <c r="B208"/>
      <c r="C208"/>
      <c r="D208"/>
      <c r="E208"/>
      <c r="F208"/>
      <c r="G208"/>
      <c r="H208"/>
      <c r="I208"/>
      <c r="J208"/>
      <c r="K208"/>
      <c r="L208"/>
      <c r="M208"/>
      <c r="N208"/>
      <c r="O208"/>
      <c r="P208"/>
      <c r="Q208"/>
      <c r="R208"/>
      <c r="S208"/>
    </row>
    <row r="209" spans="1:19" ht="15" x14ac:dyDescent="0.2">
      <c r="A209"/>
      <c r="B209"/>
      <c r="C209"/>
      <c r="D209"/>
      <c r="E209"/>
      <c r="F209"/>
      <c r="G209"/>
      <c r="H209"/>
      <c r="I209"/>
      <c r="J209"/>
      <c r="K209"/>
      <c r="L209"/>
      <c r="M209"/>
      <c r="N209"/>
      <c r="O209"/>
      <c r="P209"/>
      <c r="Q209"/>
      <c r="R209"/>
      <c r="S209"/>
    </row>
    <row r="210" spans="1:19" ht="15" x14ac:dyDescent="0.2">
      <c r="A210"/>
      <c r="B210"/>
      <c r="C210"/>
      <c r="D210"/>
      <c r="E210"/>
      <c r="F210"/>
      <c r="G210"/>
      <c r="H210"/>
      <c r="I210"/>
      <c r="J210"/>
      <c r="K210"/>
      <c r="L210"/>
      <c r="M210"/>
      <c r="N210"/>
      <c r="O210"/>
      <c r="P210"/>
      <c r="Q210"/>
      <c r="R210"/>
      <c r="S210"/>
    </row>
    <row r="211" spans="1:19" ht="15" x14ac:dyDescent="0.2">
      <c r="A211"/>
      <c r="B211"/>
      <c r="C211"/>
      <c r="D211"/>
      <c r="E211"/>
      <c r="F211"/>
      <c r="G211"/>
      <c r="H211"/>
      <c r="I211"/>
      <c r="J211"/>
      <c r="K211"/>
      <c r="L211"/>
      <c r="M211"/>
      <c r="N211"/>
      <c r="O211"/>
      <c r="P211"/>
      <c r="Q211"/>
      <c r="R211"/>
      <c r="S211"/>
    </row>
    <row r="212" spans="1:19" ht="15" x14ac:dyDescent="0.2">
      <c r="A212"/>
      <c r="B212"/>
      <c r="C212"/>
      <c r="D212"/>
      <c r="E212"/>
      <c r="F212"/>
      <c r="G212"/>
      <c r="H212"/>
      <c r="I212"/>
      <c r="J212"/>
      <c r="K212"/>
      <c r="L212"/>
      <c r="M212"/>
      <c r="N212"/>
      <c r="O212"/>
      <c r="P212"/>
      <c r="Q212"/>
      <c r="R212"/>
      <c r="S212"/>
    </row>
    <row r="213" spans="1:19" ht="15" x14ac:dyDescent="0.2">
      <c r="A213"/>
      <c r="B213"/>
      <c r="C213"/>
      <c r="D213"/>
      <c r="E213"/>
      <c r="F213"/>
      <c r="G213"/>
      <c r="H213"/>
      <c r="I213"/>
      <c r="J213"/>
      <c r="K213"/>
      <c r="L213"/>
      <c r="M213"/>
      <c r="N213"/>
      <c r="O213"/>
      <c r="P213"/>
      <c r="Q213"/>
      <c r="R213"/>
      <c r="S213"/>
    </row>
    <row r="214" spans="1:19" ht="15" x14ac:dyDescent="0.2">
      <c r="A214"/>
      <c r="B214"/>
      <c r="C214"/>
      <c r="D214"/>
      <c r="E214"/>
      <c r="F214"/>
      <c r="G214"/>
      <c r="H214"/>
      <c r="I214"/>
      <c r="J214"/>
      <c r="K214"/>
      <c r="L214"/>
      <c r="M214"/>
      <c r="N214"/>
      <c r="O214"/>
      <c r="P214"/>
      <c r="Q214"/>
      <c r="R214"/>
      <c r="S214"/>
    </row>
    <row r="215" spans="1:19" ht="15" x14ac:dyDescent="0.2">
      <c r="A215"/>
      <c r="B215"/>
      <c r="C215"/>
      <c r="D215"/>
      <c r="E215"/>
      <c r="F215"/>
      <c r="G215"/>
      <c r="H215"/>
      <c r="I215"/>
      <c r="J215"/>
      <c r="K215"/>
      <c r="L215"/>
      <c r="M215"/>
      <c r="N215"/>
      <c r="O215"/>
      <c r="P215"/>
      <c r="Q215"/>
      <c r="R215"/>
      <c r="S215"/>
    </row>
    <row r="216" spans="1:19" ht="15" x14ac:dyDescent="0.2">
      <c r="A216"/>
      <c r="B216"/>
      <c r="C216"/>
      <c r="D216"/>
      <c r="E216"/>
      <c r="F216"/>
      <c r="G216"/>
      <c r="H216"/>
      <c r="I216"/>
      <c r="J216"/>
      <c r="K216"/>
      <c r="L216"/>
      <c r="M216"/>
      <c r="N216"/>
      <c r="O216"/>
      <c r="P216"/>
      <c r="Q216"/>
      <c r="R216"/>
      <c r="S216"/>
    </row>
    <row r="217" spans="1:19" ht="15" x14ac:dyDescent="0.2">
      <c r="A217"/>
      <c r="B217"/>
      <c r="C217"/>
      <c r="D217"/>
      <c r="E217"/>
      <c r="F217"/>
      <c r="G217"/>
      <c r="H217"/>
      <c r="I217"/>
      <c r="J217"/>
      <c r="K217"/>
      <c r="L217"/>
      <c r="M217"/>
      <c r="N217"/>
      <c r="O217"/>
      <c r="P217"/>
      <c r="Q217"/>
      <c r="R217"/>
      <c r="S217"/>
    </row>
    <row r="218" spans="1:19" ht="15" x14ac:dyDescent="0.2">
      <c r="A218"/>
      <c r="B218"/>
      <c r="C218"/>
      <c r="D218"/>
      <c r="E218"/>
      <c r="F218"/>
      <c r="G218"/>
      <c r="H218"/>
      <c r="I218"/>
      <c r="J218"/>
      <c r="K218"/>
      <c r="L218"/>
      <c r="M218"/>
      <c r="N218"/>
      <c r="O218"/>
      <c r="P218"/>
      <c r="Q218"/>
      <c r="R218"/>
      <c r="S218"/>
    </row>
    <row r="219" spans="1:19" ht="15" x14ac:dyDescent="0.2">
      <c r="A219"/>
      <c r="B219"/>
      <c r="C219"/>
      <c r="D219"/>
      <c r="E219"/>
      <c r="F219"/>
      <c r="G219"/>
      <c r="H219"/>
      <c r="I219"/>
      <c r="J219"/>
      <c r="K219"/>
      <c r="L219"/>
      <c r="M219"/>
      <c r="N219"/>
      <c r="O219"/>
      <c r="P219"/>
      <c r="Q219"/>
      <c r="R219"/>
      <c r="S219"/>
    </row>
    <row r="220" spans="1:19" ht="15" x14ac:dyDescent="0.2">
      <c r="A220"/>
      <c r="B220"/>
      <c r="C220"/>
      <c r="D220"/>
      <c r="E220"/>
      <c r="F220"/>
      <c r="G220"/>
      <c r="H220"/>
      <c r="I220"/>
      <c r="J220"/>
      <c r="K220"/>
      <c r="L220"/>
      <c r="M220"/>
      <c r="N220"/>
      <c r="O220"/>
      <c r="P220"/>
      <c r="Q220"/>
      <c r="R220"/>
      <c r="S220"/>
    </row>
    <row r="221" spans="1:19" ht="15" x14ac:dyDescent="0.2">
      <c r="A221"/>
      <c r="B221"/>
      <c r="C221"/>
      <c r="D221"/>
      <c r="E221"/>
      <c r="F221"/>
      <c r="G221"/>
      <c r="H221"/>
      <c r="I221"/>
      <c r="J221"/>
      <c r="K221"/>
      <c r="L221"/>
      <c r="M221"/>
      <c r="N221"/>
      <c r="O221"/>
      <c r="P221"/>
      <c r="Q221"/>
      <c r="R221"/>
      <c r="S221"/>
    </row>
    <row r="222" spans="1:19" ht="15" x14ac:dyDescent="0.2">
      <c r="A222"/>
      <c r="B222"/>
      <c r="C222"/>
      <c r="D222"/>
      <c r="E222"/>
      <c r="F222"/>
      <c r="G222"/>
      <c r="H222"/>
      <c r="I222"/>
      <c r="J222"/>
      <c r="K222"/>
      <c r="L222"/>
      <c r="M222"/>
      <c r="N222"/>
      <c r="O222"/>
      <c r="P222"/>
      <c r="Q222"/>
      <c r="R222"/>
      <c r="S222"/>
    </row>
    <row r="223" spans="1:19" ht="15" x14ac:dyDescent="0.2">
      <c r="A223"/>
      <c r="B223"/>
      <c r="C223"/>
      <c r="D223"/>
      <c r="E223"/>
      <c r="F223"/>
      <c r="G223"/>
      <c r="H223"/>
      <c r="I223"/>
      <c r="J223"/>
      <c r="K223"/>
      <c r="L223"/>
      <c r="M223"/>
      <c r="N223"/>
      <c r="O223"/>
      <c r="P223"/>
      <c r="Q223"/>
      <c r="R223"/>
      <c r="S223"/>
    </row>
    <row r="224" spans="1:19" ht="15" x14ac:dyDescent="0.2">
      <c r="A224"/>
      <c r="B224"/>
      <c r="C224"/>
      <c r="D224"/>
      <c r="E224"/>
      <c r="F224"/>
      <c r="G224"/>
      <c r="H224"/>
      <c r="I224"/>
      <c r="J224"/>
      <c r="K224"/>
      <c r="L224"/>
      <c r="M224"/>
      <c r="N224"/>
      <c r="O224"/>
      <c r="P224"/>
      <c r="Q224"/>
      <c r="R224"/>
      <c r="S224"/>
    </row>
    <row r="225" spans="1:19" ht="15" x14ac:dyDescent="0.2">
      <c r="A225"/>
      <c r="B225"/>
      <c r="C225"/>
      <c r="D225"/>
      <c r="E225"/>
      <c r="F225"/>
      <c r="G225"/>
      <c r="H225"/>
      <c r="I225"/>
      <c r="J225"/>
      <c r="K225"/>
      <c r="L225"/>
      <c r="M225"/>
      <c r="N225"/>
      <c r="O225"/>
      <c r="P225"/>
      <c r="Q225"/>
      <c r="R225"/>
      <c r="S225"/>
    </row>
    <row r="226" spans="1:19" ht="15" x14ac:dyDescent="0.2">
      <c r="A226"/>
      <c r="B226"/>
      <c r="C226"/>
      <c r="D226"/>
      <c r="E226"/>
      <c r="F226"/>
      <c r="G226"/>
      <c r="H226"/>
      <c r="I226"/>
      <c r="J226"/>
      <c r="K226"/>
      <c r="L226"/>
      <c r="M226"/>
      <c r="N226"/>
      <c r="O226"/>
      <c r="P226"/>
      <c r="Q226"/>
      <c r="R226"/>
      <c r="S226"/>
    </row>
    <row r="227" spans="1:19" ht="15" x14ac:dyDescent="0.2">
      <c r="A227"/>
      <c r="B227"/>
      <c r="C227"/>
      <c r="D227"/>
      <c r="E227"/>
      <c r="F227"/>
      <c r="G227"/>
      <c r="H227"/>
      <c r="I227"/>
      <c r="J227"/>
      <c r="K227"/>
      <c r="L227"/>
      <c r="M227"/>
      <c r="N227"/>
      <c r="O227"/>
      <c r="P227"/>
      <c r="Q227"/>
      <c r="R227"/>
      <c r="S227"/>
    </row>
    <row r="228" spans="1:19" ht="15" x14ac:dyDescent="0.2">
      <c r="A228"/>
      <c r="B228"/>
      <c r="C228"/>
      <c r="D228"/>
      <c r="E228"/>
      <c r="F228"/>
      <c r="G228"/>
      <c r="H228"/>
      <c r="I228"/>
      <c r="J228"/>
      <c r="K228"/>
      <c r="L228"/>
      <c r="M228"/>
      <c r="N228"/>
      <c r="O228"/>
      <c r="P228"/>
      <c r="Q228"/>
      <c r="R228"/>
      <c r="S228"/>
    </row>
    <row r="229" spans="1:19" ht="15" x14ac:dyDescent="0.2">
      <c r="A229"/>
      <c r="B229"/>
      <c r="C229"/>
      <c r="D229"/>
      <c r="E229"/>
      <c r="F229"/>
      <c r="G229"/>
      <c r="H229"/>
      <c r="I229"/>
      <c r="J229"/>
      <c r="K229"/>
      <c r="L229"/>
      <c r="M229"/>
      <c r="N229"/>
      <c r="O229"/>
      <c r="P229"/>
      <c r="Q229"/>
      <c r="R229"/>
      <c r="S229"/>
    </row>
    <row r="230" spans="1:19" ht="15" x14ac:dyDescent="0.2">
      <c r="A230"/>
      <c r="B230"/>
      <c r="C230"/>
      <c r="D230"/>
      <c r="E230"/>
      <c r="F230"/>
      <c r="G230"/>
      <c r="H230"/>
      <c r="I230"/>
      <c r="J230"/>
      <c r="K230"/>
      <c r="L230"/>
      <c r="M230"/>
      <c r="N230"/>
      <c r="O230"/>
      <c r="P230"/>
      <c r="Q230"/>
      <c r="R230"/>
      <c r="S230"/>
    </row>
    <row r="231" spans="1:19" ht="15" x14ac:dyDescent="0.2">
      <c r="A231"/>
      <c r="B231"/>
      <c r="C231"/>
      <c r="D231"/>
      <c r="E231"/>
      <c r="F231"/>
      <c r="G231"/>
      <c r="H231"/>
      <c r="I231"/>
      <c r="J231"/>
      <c r="K231"/>
      <c r="L231"/>
      <c r="M231"/>
      <c r="N231"/>
      <c r="O231"/>
      <c r="P231"/>
      <c r="Q231"/>
      <c r="R231"/>
      <c r="S231"/>
    </row>
    <row r="232" spans="1:19" ht="15" x14ac:dyDescent="0.2">
      <c r="A232"/>
      <c r="B232"/>
      <c r="C232"/>
      <c r="D232"/>
      <c r="E232"/>
      <c r="F232"/>
      <c r="G232"/>
      <c r="H232"/>
      <c r="I232"/>
      <c r="J232"/>
      <c r="K232"/>
      <c r="L232"/>
      <c r="M232"/>
      <c r="N232"/>
      <c r="O232"/>
      <c r="P232"/>
      <c r="Q232"/>
      <c r="R232"/>
      <c r="S232"/>
    </row>
    <row r="233" spans="1:19" ht="15" x14ac:dyDescent="0.2">
      <c r="A233"/>
      <c r="B233"/>
      <c r="C233"/>
      <c r="D233"/>
      <c r="E233"/>
      <c r="F233"/>
      <c r="G233"/>
      <c r="H233"/>
      <c r="I233"/>
      <c r="J233"/>
      <c r="K233"/>
      <c r="L233"/>
      <c r="M233"/>
      <c r="N233"/>
      <c r="O233"/>
      <c r="P233"/>
      <c r="Q233"/>
      <c r="R233"/>
      <c r="S233"/>
    </row>
    <row r="234" spans="1:19" ht="15" x14ac:dyDescent="0.2">
      <c r="A234"/>
      <c r="B234"/>
      <c r="C234"/>
      <c r="D234"/>
      <c r="E234"/>
      <c r="F234"/>
      <c r="G234"/>
      <c r="H234"/>
      <c r="I234"/>
      <c r="J234"/>
      <c r="K234"/>
      <c r="L234"/>
      <c r="M234"/>
      <c r="N234"/>
      <c r="O234"/>
      <c r="P234"/>
      <c r="Q234"/>
      <c r="R234"/>
      <c r="S234"/>
    </row>
    <row r="235" spans="1:19" ht="15" x14ac:dyDescent="0.2">
      <c r="A235"/>
      <c r="B235"/>
      <c r="C235"/>
      <c r="D235"/>
      <c r="E235"/>
      <c r="F235"/>
      <c r="G235"/>
      <c r="H235"/>
      <c r="I235"/>
      <c r="J235"/>
      <c r="K235"/>
      <c r="L235"/>
      <c r="M235"/>
      <c r="N235"/>
      <c r="O235"/>
      <c r="P235"/>
      <c r="Q235"/>
      <c r="R235"/>
      <c r="S235"/>
    </row>
    <row r="236" spans="1:19" ht="15" x14ac:dyDescent="0.2">
      <c r="A236"/>
      <c r="B236"/>
      <c r="C236"/>
      <c r="D236"/>
      <c r="E236"/>
      <c r="F236"/>
      <c r="G236"/>
      <c r="H236"/>
      <c r="I236"/>
      <c r="J236"/>
      <c r="K236"/>
      <c r="L236"/>
      <c r="M236"/>
      <c r="N236"/>
      <c r="O236"/>
      <c r="P236"/>
      <c r="Q236"/>
      <c r="R236"/>
      <c r="S236"/>
    </row>
    <row r="237" spans="1:19" ht="15" x14ac:dyDescent="0.2">
      <c r="A237"/>
      <c r="B237"/>
      <c r="C237"/>
      <c r="D237"/>
      <c r="E237"/>
      <c r="F237"/>
      <c r="G237"/>
      <c r="H237"/>
      <c r="I237"/>
      <c r="J237"/>
      <c r="K237"/>
      <c r="L237"/>
      <c r="M237"/>
      <c r="N237"/>
      <c r="O237"/>
      <c r="P237"/>
      <c r="Q237"/>
      <c r="R237"/>
      <c r="S237"/>
    </row>
    <row r="238" spans="1:19" ht="15" x14ac:dyDescent="0.2">
      <c r="A238"/>
      <c r="B238"/>
      <c r="C238"/>
      <c r="D238"/>
      <c r="E238"/>
      <c r="F238"/>
      <c r="G238"/>
      <c r="H238"/>
      <c r="I238"/>
      <c r="J238"/>
      <c r="K238"/>
      <c r="L238"/>
      <c r="M238"/>
      <c r="N238"/>
      <c r="O238"/>
      <c r="P238"/>
      <c r="Q238"/>
      <c r="R238"/>
      <c r="S238"/>
    </row>
    <row r="239" spans="1:19" ht="15" x14ac:dyDescent="0.2">
      <c r="A239"/>
      <c r="B239"/>
      <c r="C239"/>
      <c r="D239"/>
      <c r="E239"/>
      <c r="F239"/>
      <c r="G239"/>
      <c r="H239"/>
      <c r="I239"/>
      <c r="J239"/>
      <c r="K239"/>
      <c r="L239"/>
      <c r="M239"/>
      <c r="N239"/>
      <c r="O239"/>
      <c r="P239"/>
      <c r="Q239"/>
      <c r="R239"/>
      <c r="S239"/>
    </row>
    <row r="240" spans="1:19" ht="15" x14ac:dyDescent="0.2">
      <c r="A240"/>
      <c r="B240"/>
      <c r="C240"/>
      <c r="D240"/>
      <c r="E240"/>
      <c r="F240"/>
      <c r="G240"/>
      <c r="H240"/>
      <c r="I240"/>
      <c r="J240"/>
      <c r="K240"/>
      <c r="L240"/>
      <c r="M240"/>
      <c r="N240"/>
      <c r="O240"/>
      <c r="P240"/>
      <c r="Q240"/>
      <c r="R240"/>
      <c r="S240"/>
    </row>
    <row r="241" spans="1:19" ht="15" x14ac:dyDescent="0.2">
      <c r="A241"/>
      <c r="B241"/>
      <c r="C241"/>
      <c r="D241"/>
      <c r="E241"/>
      <c r="F241"/>
      <c r="G241"/>
      <c r="H241"/>
      <c r="I241"/>
      <c r="J241"/>
      <c r="K241"/>
      <c r="L241"/>
      <c r="M241"/>
      <c r="N241"/>
      <c r="O241"/>
      <c r="P241"/>
      <c r="Q241"/>
      <c r="R241"/>
      <c r="S241"/>
    </row>
    <row r="242" spans="1:19" ht="15" x14ac:dyDescent="0.2">
      <c r="A242"/>
      <c r="B242"/>
      <c r="C242"/>
      <c r="D242"/>
      <c r="E242"/>
      <c r="F242"/>
      <c r="G242"/>
      <c r="H242"/>
      <c r="I242"/>
      <c r="J242"/>
      <c r="K242"/>
      <c r="L242"/>
      <c r="M242"/>
      <c r="N242"/>
      <c r="O242"/>
      <c r="P242"/>
      <c r="Q242"/>
      <c r="R242"/>
      <c r="S242"/>
    </row>
    <row r="243" spans="1:19" ht="15" x14ac:dyDescent="0.2">
      <c r="A243"/>
      <c r="B243"/>
      <c r="C243"/>
      <c r="D243"/>
      <c r="E243"/>
      <c r="F243"/>
      <c r="G243"/>
      <c r="H243"/>
      <c r="I243"/>
      <c r="J243"/>
      <c r="K243"/>
      <c r="L243"/>
      <c r="M243"/>
      <c r="N243"/>
      <c r="O243"/>
      <c r="P243"/>
      <c r="Q243"/>
      <c r="R243"/>
      <c r="S243"/>
    </row>
    <row r="244" spans="1:19" ht="15" x14ac:dyDescent="0.2">
      <c r="A244"/>
      <c r="B244"/>
      <c r="C244"/>
      <c r="D244"/>
      <c r="E244"/>
      <c r="F244"/>
      <c r="G244"/>
      <c r="H244"/>
      <c r="I244"/>
      <c r="J244"/>
      <c r="K244"/>
      <c r="L244"/>
      <c r="M244"/>
      <c r="N244"/>
      <c r="O244"/>
      <c r="P244"/>
      <c r="Q244"/>
      <c r="R244"/>
      <c r="S244"/>
    </row>
    <row r="245" spans="1:19" ht="15" x14ac:dyDescent="0.2">
      <c r="A245"/>
      <c r="B245"/>
      <c r="C245"/>
      <c r="D245"/>
      <c r="E245"/>
      <c r="F245"/>
      <c r="G245"/>
      <c r="H245"/>
      <c r="I245"/>
      <c r="J245"/>
      <c r="K245"/>
      <c r="L245"/>
      <c r="M245"/>
      <c r="N245"/>
      <c r="O245"/>
      <c r="P245"/>
      <c r="Q245"/>
      <c r="R245"/>
      <c r="S245"/>
    </row>
    <row r="246" spans="1:19" ht="15" x14ac:dyDescent="0.2">
      <c r="A246"/>
      <c r="B246"/>
      <c r="C246"/>
      <c r="D246"/>
      <c r="E246"/>
      <c r="F246"/>
      <c r="G246"/>
      <c r="H246"/>
      <c r="I246"/>
      <c r="J246"/>
      <c r="K246"/>
      <c r="L246"/>
      <c r="M246"/>
      <c r="N246"/>
      <c r="O246"/>
      <c r="P246"/>
      <c r="Q246"/>
      <c r="R246"/>
      <c r="S246"/>
    </row>
    <row r="247" spans="1:19" ht="15" x14ac:dyDescent="0.2">
      <c r="A247"/>
      <c r="B247"/>
      <c r="C247"/>
      <c r="D247"/>
      <c r="E247"/>
      <c r="F247"/>
      <c r="G247"/>
      <c r="H247"/>
      <c r="I247"/>
      <c r="J247"/>
      <c r="K247"/>
      <c r="L247"/>
      <c r="M247"/>
      <c r="N247"/>
      <c r="O247"/>
      <c r="P247"/>
      <c r="Q247"/>
      <c r="R247"/>
      <c r="S247"/>
    </row>
    <row r="248" spans="1:19" ht="15" x14ac:dyDescent="0.2">
      <c r="A248"/>
      <c r="B248"/>
      <c r="C248"/>
      <c r="D248"/>
      <c r="E248"/>
      <c r="F248"/>
      <c r="G248"/>
      <c r="H248"/>
      <c r="I248"/>
      <c r="J248"/>
      <c r="K248"/>
      <c r="L248"/>
      <c r="M248"/>
      <c r="N248"/>
      <c r="O248"/>
      <c r="P248"/>
      <c r="Q248"/>
      <c r="R248"/>
      <c r="S248"/>
    </row>
    <row r="249" spans="1:19" ht="15" x14ac:dyDescent="0.2">
      <c r="A249"/>
      <c r="B249"/>
      <c r="C249"/>
      <c r="D249"/>
      <c r="E249"/>
      <c r="F249"/>
      <c r="G249"/>
      <c r="H249"/>
      <c r="I249"/>
      <c r="J249"/>
      <c r="K249"/>
      <c r="L249"/>
      <c r="M249"/>
      <c r="N249"/>
      <c r="O249"/>
      <c r="P249"/>
      <c r="Q249"/>
      <c r="R249"/>
      <c r="S249"/>
    </row>
    <row r="250" spans="1:19" ht="15" x14ac:dyDescent="0.2">
      <c r="A250"/>
      <c r="B250"/>
      <c r="C250"/>
      <c r="D250"/>
      <c r="E250"/>
      <c r="F250"/>
      <c r="G250"/>
      <c r="H250"/>
      <c r="I250"/>
      <c r="J250"/>
      <c r="K250"/>
      <c r="L250"/>
      <c r="M250"/>
      <c r="N250"/>
      <c r="O250"/>
      <c r="P250"/>
      <c r="Q250"/>
      <c r="R250"/>
      <c r="S250"/>
    </row>
    <row r="251" spans="1:19" ht="15" x14ac:dyDescent="0.2">
      <c r="A251"/>
      <c r="B251"/>
      <c r="C251"/>
      <c r="D251"/>
      <c r="E251"/>
      <c r="F251"/>
      <c r="G251"/>
      <c r="H251"/>
      <c r="I251"/>
      <c r="J251"/>
      <c r="K251"/>
      <c r="L251"/>
      <c r="M251"/>
      <c r="N251"/>
      <c r="O251"/>
      <c r="P251"/>
      <c r="Q251"/>
      <c r="R251"/>
      <c r="S251"/>
    </row>
    <row r="252" spans="1:19" ht="15" x14ac:dyDescent="0.2">
      <c r="A252"/>
      <c r="B252"/>
      <c r="C252"/>
      <c r="D252"/>
      <c r="E252"/>
      <c r="F252"/>
      <c r="G252"/>
      <c r="H252"/>
      <c r="I252"/>
      <c r="J252"/>
      <c r="K252"/>
      <c r="L252"/>
      <c r="M252"/>
      <c r="N252"/>
      <c r="O252"/>
      <c r="P252"/>
      <c r="Q252"/>
      <c r="R252"/>
      <c r="S252"/>
    </row>
    <row r="253" spans="1:19" ht="15" x14ac:dyDescent="0.2">
      <c r="A253"/>
      <c r="B253"/>
      <c r="C253"/>
      <c r="D253"/>
      <c r="E253"/>
      <c r="F253"/>
      <c r="G253"/>
      <c r="H253"/>
      <c r="I253"/>
      <c r="J253"/>
      <c r="K253"/>
      <c r="L253"/>
      <c r="M253"/>
      <c r="N253"/>
      <c r="O253"/>
      <c r="P253"/>
      <c r="Q253"/>
      <c r="R253"/>
      <c r="S253"/>
    </row>
    <row r="254" spans="1:19" ht="15" x14ac:dyDescent="0.2">
      <c r="A254"/>
      <c r="B254"/>
      <c r="C254"/>
      <c r="D254"/>
      <c r="E254"/>
      <c r="F254"/>
      <c r="G254"/>
      <c r="H254"/>
      <c r="I254"/>
      <c r="J254"/>
      <c r="K254"/>
      <c r="L254"/>
      <c r="M254"/>
      <c r="N254"/>
      <c r="O254"/>
      <c r="P254"/>
      <c r="Q254"/>
      <c r="R254"/>
      <c r="S254"/>
    </row>
    <row r="255" spans="1:19" ht="15" x14ac:dyDescent="0.2">
      <c r="A255"/>
      <c r="B255"/>
      <c r="C255"/>
      <c r="D255"/>
      <c r="E255"/>
      <c r="F255"/>
      <c r="G255"/>
      <c r="H255"/>
      <c r="I255"/>
      <c r="J255"/>
      <c r="K255"/>
      <c r="L255"/>
      <c r="M255"/>
      <c r="N255"/>
      <c r="O255"/>
      <c r="P255"/>
      <c r="Q255"/>
      <c r="R255"/>
      <c r="S255"/>
    </row>
    <row r="256" spans="1:19" ht="15" x14ac:dyDescent="0.2">
      <c r="A256"/>
      <c r="B256"/>
      <c r="C256"/>
      <c r="D256"/>
      <c r="E256"/>
      <c r="F256"/>
      <c r="G256"/>
      <c r="H256"/>
      <c r="I256"/>
      <c r="J256"/>
      <c r="K256"/>
      <c r="L256"/>
      <c r="M256"/>
      <c r="N256"/>
      <c r="O256"/>
      <c r="P256"/>
      <c r="Q256"/>
      <c r="R256"/>
      <c r="S256"/>
    </row>
    <row r="257" spans="1:19" ht="15" x14ac:dyDescent="0.2">
      <c r="A257"/>
      <c r="B257"/>
      <c r="C257"/>
      <c r="D257"/>
      <c r="E257"/>
      <c r="F257"/>
      <c r="G257"/>
      <c r="H257"/>
      <c r="I257"/>
      <c r="J257"/>
      <c r="K257"/>
      <c r="L257"/>
      <c r="M257"/>
      <c r="N257"/>
      <c r="O257"/>
      <c r="P257"/>
      <c r="Q257"/>
      <c r="R257"/>
      <c r="S257"/>
    </row>
    <row r="258" spans="1:19" ht="15" x14ac:dyDescent="0.2">
      <c r="A258"/>
      <c r="B258"/>
      <c r="C258"/>
      <c r="D258"/>
      <c r="E258"/>
      <c r="F258"/>
      <c r="G258"/>
      <c r="H258"/>
      <c r="I258"/>
      <c r="J258"/>
      <c r="K258"/>
      <c r="L258"/>
      <c r="M258"/>
      <c r="N258"/>
      <c r="O258"/>
      <c r="P258"/>
      <c r="Q258"/>
      <c r="R258"/>
      <c r="S258"/>
    </row>
    <row r="259" spans="1:19" ht="15" x14ac:dyDescent="0.2">
      <c r="A259"/>
      <c r="B259"/>
      <c r="C259"/>
      <c r="D259"/>
      <c r="E259"/>
      <c r="F259"/>
      <c r="G259"/>
      <c r="H259"/>
      <c r="I259"/>
      <c r="J259"/>
      <c r="K259"/>
      <c r="L259"/>
      <c r="M259"/>
      <c r="N259"/>
      <c r="O259"/>
      <c r="P259"/>
      <c r="Q259"/>
      <c r="R259"/>
      <c r="S259"/>
    </row>
    <row r="260" spans="1:19" ht="15" x14ac:dyDescent="0.2">
      <c r="A260"/>
      <c r="B260"/>
      <c r="C260"/>
      <c r="D260"/>
      <c r="E260"/>
      <c r="F260"/>
      <c r="G260"/>
      <c r="H260"/>
      <c r="I260"/>
      <c r="J260"/>
      <c r="K260"/>
      <c r="L260"/>
      <c r="M260"/>
      <c r="N260"/>
      <c r="O260"/>
      <c r="P260"/>
      <c r="Q260"/>
      <c r="R260"/>
      <c r="S260"/>
    </row>
    <row r="261" spans="1:19" ht="15" x14ac:dyDescent="0.2">
      <c r="A261"/>
      <c r="B261"/>
      <c r="C261"/>
      <c r="D261"/>
      <c r="E261"/>
      <c r="F261"/>
      <c r="G261"/>
      <c r="H261"/>
      <c r="I261"/>
      <c r="J261"/>
      <c r="K261"/>
      <c r="L261"/>
      <c r="M261"/>
      <c r="N261"/>
      <c r="O261"/>
      <c r="P261"/>
      <c r="Q261"/>
      <c r="R261"/>
      <c r="S261"/>
    </row>
    <row r="262" spans="1:19" ht="15" x14ac:dyDescent="0.2">
      <c r="A262"/>
      <c r="B262"/>
      <c r="C262"/>
      <c r="D262"/>
      <c r="E262"/>
      <c r="F262"/>
      <c r="G262"/>
      <c r="H262"/>
      <c r="I262"/>
      <c r="J262"/>
      <c r="K262"/>
      <c r="L262"/>
      <c r="M262"/>
      <c r="N262"/>
      <c r="O262"/>
      <c r="P262"/>
      <c r="Q262"/>
      <c r="R262"/>
      <c r="S262"/>
    </row>
    <row r="263" spans="1:19" ht="15" x14ac:dyDescent="0.2">
      <c r="A263"/>
      <c r="B263"/>
      <c r="C263"/>
      <c r="D263"/>
      <c r="E263"/>
      <c r="F263"/>
      <c r="G263"/>
      <c r="H263"/>
      <c r="I263"/>
      <c r="J263"/>
      <c r="K263"/>
      <c r="L263"/>
      <c r="M263"/>
      <c r="N263"/>
      <c r="O263"/>
      <c r="P263"/>
      <c r="Q263"/>
      <c r="R263"/>
      <c r="S263"/>
    </row>
    <row r="264" spans="1:19" ht="15" x14ac:dyDescent="0.2">
      <c r="A264"/>
      <c r="B264"/>
      <c r="C264"/>
      <c r="D264"/>
      <c r="E264"/>
      <c r="F264"/>
      <c r="G264"/>
      <c r="H264"/>
      <c r="I264"/>
      <c r="J264"/>
      <c r="K264"/>
      <c r="L264"/>
      <c r="M264"/>
      <c r="N264"/>
      <c r="O264"/>
      <c r="P264"/>
      <c r="Q264"/>
      <c r="R264"/>
      <c r="S264"/>
    </row>
    <row r="265" spans="1:19" ht="15" x14ac:dyDescent="0.2">
      <c r="A265"/>
      <c r="B265"/>
      <c r="C265"/>
      <c r="D265"/>
      <c r="E265"/>
      <c r="F265"/>
      <c r="G265"/>
      <c r="H265"/>
      <c r="I265"/>
      <c r="J265"/>
      <c r="K265"/>
      <c r="L265"/>
      <c r="M265"/>
      <c r="N265"/>
      <c r="O265"/>
      <c r="P265"/>
      <c r="Q265"/>
      <c r="R265"/>
      <c r="S265"/>
    </row>
    <row r="266" spans="1:19" ht="15" x14ac:dyDescent="0.2">
      <c r="A266"/>
      <c r="B266"/>
      <c r="C266"/>
      <c r="D266"/>
      <c r="E266"/>
      <c r="F266"/>
      <c r="G266"/>
      <c r="H266"/>
      <c r="I266"/>
      <c r="J266"/>
      <c r="K266"/>
      <c r="L266"/>
      <c r="M266"/>
      <c r="N266"/>
      <c r="O266"/>
      <c r="P266"/>
      <c r="Q266"/>
      <c r="R266"/>
      <c r="S266"/>
    </row>
    <row r="267" spans="1:19" ht="15" x14ac:dyDescent="0.2">
      <c r="A267"/>
      <c r="B267"/>
      <c r="C267"/>
      <c r="D267"/>
      <c r="E267"/>
      <c r="F267"/>
      <c r="G267"/>
      <c r="H267"/>
      <c r="I267"/>
      <c r="J267"/>
      <c r="K267"/>
      <c r="L267"/>
      <c r="M267"/>
      <c r="N267"/>
      <c r="O267"/>
      <c r="P267"/>
      <c r="Q267"/>
      <c r="R267"/>
      <c r="S267"/>
    </row>
    <row r="268" spans="1:19" ht="15" x14ac:dyDescent="0.2">
      <c r="A268"/>
      <c r="B268"/>
      <c r="C268"/>
      <c r="D268"/>
      <c r="E268"/>
      <c r="F268"/>
      <c r="G268"/>
      <c r="H268"/>
      <c r="I268"/>
      <c r="J268"/>
      <c r="K268"/>
      <c r="L268"/>
      <c r="M268"/>
      <c r="N268"/>
      <c r="O268"/>
      <c r="P268"/>
      <c r="Q268"/>
      <c r="R268"/>
      <c r="S268"/>
    </row>
    <row r="269" spans="1:19" ht="15" x14ac:dyDescent="0.2">
      <c r="A269"/>
      <c r="B269"/>
      <c r="C269"/>
      <c r="D269"/>
      <c r="E269"/>
      <c r="F269"/>
      <c r="G269"/>
      <c r="H269"/>
      <c r="I269"/>
      <c r="J269"/>
      <c r="K269"/>
      <c r="L269"/>
      <c r="M269"/>
      <c r="N269"/>
      <c r="O269"/>
      <c r="P269"/>
      <c r="Q269"/>
      <c r="R269"/>
      <c r="S269"/>
    </row>
    <row r="270" spans="1:19" ht="15" x14ac:dyDescent="0.2">
      <c r="A270"/>
      <c r="B270"/>
      <c r="C270"/>
      <c r="D270"/>
      <c r="E270"/>
      <c r="F270"/>
      <c r="G270"/>
      <c r="H270"/>
      <c r="I270"/>
      <c r="J270"/>
      <c r="K270"/>
      <c r="L270"/>
      <c r="M270"/>
      <c r="N270"/>
      <c r="O270"/>
      <c r="P270"/>
      <c r="Q270"/>
      <c r="R270"/>
      <c r="S270"/>
    </row>
    <row r="271" spans="1:19" ht="15" x14ac:dyDescent="0.2">
      <c r="A271"/>
      <c r="B271"/>
      <c r="C271"/>
      <c r="D271"/>
      <c r="E271"/>
      <c r="F271"/>
      <c r="G271"/>
      <c r="H271"/>
      <c r="I271"/>
      <c r="J271"/>
      <c r="K271"/>
      <c r="L271"/>
      <c r="M271"/>
      <c r="N271"/>
      <c r="O271"/>
      <c r="P271"/>
      <c r="Q271"/>
      <c r="R271"/>
      <c r="S271"/>
    </row>
    <row r="272" spans="1:19" ht="15" x14ac:dyDescent="0.2">
      <c r="A272"/>
      <c r="B272"/>
      <c r="C272"/>
      <c r="D272"/>
      <c r="E272"/>
      <c r="F272"/>
      <c r="G272"/>
      <c r="H272"/>
      <c r="I272"/>
      <c r="J272"/>
      <c r="K272"/>
      <c r="L272"/>
      <c r="M272"/>
      <c r="N272"/>
      <c r="O272"/>
      <c r="P272"/>
      <c r="Q272"/>
      <c r="R272"/>
      <c r="S272"/>
    </row>
    <row r="273" spans="1:19" ht="15" x14ac:dyDescent="0.2">
      <c r="A273"/>
      <c r="B273"/>
      <c r="C273"/>
      <c r="D273"/>
      <c r="E273"/>
      <c r="F273"/>
      <c r="G273"/>
      <c r="H273"/>
      <c r="I273"/>
      <c r="J273"/>
      <c r="K273"/>
      <c r="L273"/>
      <c r="M273"/>
      <c r="N273"/>
      <c r="O273"/>
      <c r="P273"/>
      <c r="Q273"/>
      <c r="R273"/>
      <c r="S273"/>
    </row>
    <row r="274" spans="1:19" ht="15" x14ac:dyDescent="0.2">
      <c r="A274"/>
      <c r="B274"/>
      <c r="C274"/>
      <c r="D274"/>
      <c r="E274"/>
      <c r="F274"/>
      <c r="G274"/>
      <c r="H274"/>
      <c r="I274"/>
      <c r="J274"/>
      <c r="K274"/>
      <c r="L274"/>
      <c r="M274"/>
      <c r="N274"/>
      <c r="O274"/>
      <c r="P274"/>
      <c r="Q274"/>
      <c r="R274"/>
      <c r="S274"/>
    </row>
    <row r="275" spans="1:19" ht="15" x14ac:dyDescent="0.2">
      <c r="A275"/>
      <c r="B275"/>
      <c r="C275"/>
      <c r="D275"/>
      <c r="E275"/>
      <c r="F275"/>
      <c r="G275"/>
      <c r="H275"/>
      <c r="I275"/>
      <c r="J275"/>
      <c r="K275"/>
      <c r="L275"/>
      <c r="M275"/>
      <c r="N275"/>
      <c r="O275"/>
      <c r="P275"/>
      <c r="Q275"/>
      <c r="R275"/>
      <c r="S275"/>
    </row>
    <row r="276" spans="1:19" ht="15" x14ac:dyDescent="0.2">
      <c r="A276"/>
      <c r="B276"/>
      <c r="C276"/>
      <c r="D276"/>
      <c r="E276"/>
      <c r="F276"/>
      <c r="G276"/>
      <c r="H276"/>
      <c r="I276"/>
      <c r="J276"/>
      <c r="K276"/>
      <c r="L276"/>
      <c r="M276"/>
      <c r="N276"/>
      <c r="O276"/>
      <c r="P276"/>
      <c r="Q276"/>
      <c r="R276"/>
      <c r="S276"/>
    </row>
    <row r="277" spans="1:19" ht="15" x14ac:dyDescent="0.2">
      <c r="A277"/>
      <c r="B277"/>
      <c r="C277"/>
      <c r="D277"/>
      <c r="E277"/>
      <c r="F277"/>
      <c r="G277"/>
      <c r="H277"/>
      <c r="I277"/>
      <c r="J277"/>
      <c r="K277"/>
      <c r="L277"/>
      <c r="M277"/>
      <c r="N277"/>
      <c r="O277"/>
      <c r="P277"/>
      <c r="Q277"/>
      <c r="R277"/>
      <c r="S277"/>
    </row>
    <row r="278" spans="1:19" ht="15" x14ac:dyDescent="0.2">
      <c r="A278"/>
      <c r="B278"/>
      <c r="C278"/>
      <c r="D278"/>
      <c r="E278"/>
      <c r="F278"/>
      <c r="G278"/>
      <c r="H278"/>
      <c r="I278"/>
      <c r="J278"/>
      <c r="K278"/>
      <c r="L278"/>
      <c r="M278"/>
      <c r="N278"/>
      <c r="O278"/>
      <c r="P278"/>
      <c r="Q278"/>
      <c r="R278"/>
      <c r="S278"/>
    </row>
    <row r="279" spans="1:19" ht="15" x14ac:dyDescent="0.2">
      <c r="A279"/>
      <c r="B279"/>
      <c r="C279"/>
      <c r="D279"/>
      <c r="E279"/>
      <c r="F279"/>
      <c r="G279"/>
      <c r="H279"/>
      <c r="I279"/>
      <c r="J279"/>
      <c r="K279"/>
      <c r="L279"/>
      <c r="M279"/>
      <c r="N279"/>
      <c r="O279"/>
      <c r="P279"/>
      <c r="Q279"/>
      <c r="R279"/>
      <c r="S279"/>
    </row>
    <row r="280" spans="1:19" ht="15" x14ac:dyDescent="0.2">
      <c r="A280"/>
      <c r="B280"/>
      <c r="C280"/>
      <c r="D280"/>
      <c r="E280"/>
      <c r="F280"/>
      <c r="G280"/>
      <c r="H280"/>
      <c r="I280"/>
      <c r="J280"/>
      <c r="K280"/>
      <c r="L280"/>
      <c r="M280"/>
      <c r="N280"/>
      <c r="O280"/>
      <c r="P280"/>
      <c r="Q280"/>
      <c r="R280"/>
      <c r="S280"/>
    </row>
    <row r="281" spans="1:19" ht="15" x14ac:dyDescent="0.2">
      <c r="A281"/>
      <c r="B281"/>
      <c r="C281"/>
      <c r="D281"/>
      <c r="E281"/>
      <c r="F281"/>
      <c r="G281"/>
      <c r="H281"/>
      <c r="I281"/>
      <c r="J281"/>
      <c r="K281"/>
      <c r="L281"/>
      <c r="M281"/>
      <c r="N281"/>
      <c r="O281"/>
      <c r="P281"/>
      <c r="Q281"/>
      <c r="R281"/>
      <c r="S281"/>
    </row>
    <row r="282" spans="1:19" ht="15" x14ac:dyDescent="0.2">
      <c r="A282"/>
      <c r="B282"/>
      <c r="C282"/>
      <c r="D282"/>
      <c r="E282"/>
      <c r="F282"/>
      <c r="G282"/>
      <c r="H282"/>
      <c r="I282"/>
      <c r="J282"/>
      <c r="K282"/>
      <c r="L282"/>
      <c r="M282"/>
      <c r="N282"/>
      <c r="O282"/>
      <c r="P282"/>
      <c r="Q282"/>
      <c r="R282"/>
      <c r="S282"/>
    </row>
    <row r="283" spans="1:19" ht="15" x14ac:dyDescent="0.2">
      <c r="A283"/>
      <c r="B283"/>
      <c r="C283"/>
      <c r="D283"/>
      <c r="E283"/>
      <c r="F283"/>
      <c r="G283"/>
      <c r="H283"/>
      <c r="I283"/>
      <c r="J283"/>
      <c r="K283"/>
      <c r="L283"/>
      <c r="M283"/>
      <c r="N283"/>
      <c r="O283"/>
      <c r="P283"/>
      <c r="Q283"/>
      <c r="R283"/>
      <c r="S283"/>
    </row>
    <row r="284" spans="1:19" ht="15" x14ac:dyDescent="0.2">
      <c r="A284"/>
      <c r="B284"/>
      <c r="C284"/>
      <c r="D284"/>
      <c r="E284"/>
      <c r="F284"/>
      <c r="G284"/>
      <c r="H284"/>
      <c r="I284"/>
      <c r="J284"/>
      <c r="K284"/>
      <c r="L284"/>
      <c r="M284"/>
      <c r="N284"/>
      <c r="O284"/>
      <c r="P284"/>
      <c r="Q284"/>
      <c r="R284"/>
      <c r="S284"/>
    </row>
    <row r="285" spans="1:19" ht="15" x14ac:dyDescent="0.2">
      <c r="A285"/>
      <c r="B285"/>
      <c r="C285"/>
      <c r="D285"/>
      <c r="E285"/>
      <c r="F285"/>
      <c r="G285"/>
      <c r="H285"/>
      <c r="I285"/>
      <c r="J285"/>
      <c r="K285"/>
      <c r="L285"/>
      <c r="M285"/>
      <c r="N285"/>
      <c r="O285"/>
      <c r="P285"/>
      <c r="Q285"/>
      <c r="R285"/>
      <c r="S285"/>
    </row>
    <row r="286" spans="1:19" ht="15" x14ac:dyDescent="0.2">
      <c r="A286"/>
      <c r="B286"/>
      <c r="C286"/>
      <c r="D286"/>
      <c r="E286"/>
      <c r="F286"/>
      <c r="G286"/>
      <c r="H286"/>
      <c r="I286"/>
      <c r="J286"/>
      <c r="K286"/>
      <c r="L286"/>
      <c r="M286"/>
      <c r="N286"/>
      <c r="O286"/>
      <c r="P286"/>
      <c r="Q286"/>
      <c r="R286"/>
      <c r="S286"/>
    </row>
    <row r="287" spans="1:19" ht="15" x14ac:dyDescent="0.2">
      <c r="A287"/>
      <c r="B287"/>
      <c r="C287"/>
      <c r="D287"/>
      <c r="E287"/>
      <c r="F287"/>
      <c r="G287"/>
      <c r="H287"/>
      <c r="I287"/>
      <c r="J287"/>
      <c r="K287"/>
      <c r="L287"/>
      <c r="M287"/>
      <c r="N287"/>
      <c r="O287"/>
      <c r="P287"/>
      <c r="Q287"/>
      <c r="R287"/>
      <c r="S287"/>
    </row>
    <row r="288" spans="1:19" ht="15" x14ac:dyDescent="0.2">
      <c r="A288"/>
      <c r="B288"/>
      <c r="C288"/>
      <c r="D288"/>
      <c r="E288"/>
      <c r="F288"/>
      <c r="G288"/>
      <c r="H288"/>
      <c r="I288"/>
      <c r="J288"/>
      <c r="K288"/>
      <c r="L288"/>
      <c r="M288"/>
      <c r="N288"/>
      <c r="O288"/>
      <c r="P288"/>
      <c r="Q288"/>
      <c r="R288"/>
      <c r="S288"/>
    </row>
    <row r="289" spans="1:19" ht="15" x14ac:dyDescent="0.2">
      <c r="A289"/>
      <c r="B289"/>
      <c r="C289"/>
      <c r="D289"/>
      <c r="E289"/>
      <c r="F289"/>
      <c r="G289"/>
      <c r="H289"/>
      <c r="I289"/>
      <c r="J289"/>
      <c r="K289"/>
      <c r="L289"/>
      <c r="M289"/>
      <c r="N289"/>
      <c r="O289"/>
      <c r="P289"/>
      <c r="Q289"/>
      <c r="R289"/>
      <c r="S289"/>
    </row>
    <row r="290" spans="1:19" ht="15" x14ac:dyDescent="0.2">
      <c r="A290"/>
      <c r="B290"/>
      <c r="C290"/>
      <c r="D290"/>
      <c r="E290"/>
      <c r="F290"/>
      <c r="G290"/>
      <c r="H290"/>
      <c r="I290"/>
      <c r="J290"/>
      <c r="K290"/>
      <c r="L290"/>
      <c r="M290"/>
      <c r="N290"/>
      <c r="O290"/>
      <c r="P290"/>
      <c r="Q290"/>
      <c r="R290"/>
      <c r="S290"/>
    </row>
    <row r="291" spans="1:19" ht="15" x14ac:dyDescent="0.2">
      <c r="A291"/>
      <c r="B291"/>
      <c r="C291"/>
      <c r="D291"/>
      <c r="E291"/>
      <c r="F291"/>
      <c r="G291"/>
      <c r="H291"/>
      <c r="I291"/>
      <c r="J291"/>
      <c r="K291"/>
      <c r="L291"/>
      <c r="M291"/>
      <c r="N291"/>
      <c r="O291"/>
      <c r="P291"/>
      <c r="Q291"/>
      <c r="R291"/>
      <c r="S291"/>
    </row>
    <row r="292" spans="1:19" ht="15" x14ac:dyDescent="0.2">
      <c r="A292"/>
      <c r="B292"/>
      <c r="C292"/>
      <c r="D292"/>
      <c r="E292"/>
      <c r="F292"/>
      <c r="G292"/>
      <c r="H292"/>
      <c r="I292"/>
      <c r="J292"/>
      <c r="K292"/>
      <c r="L292"/>
      <c r="M292"/>
      <c r="N292"/>
      <c r="O292"/>
      <c r="P292"/>
      <c r="Q292"/>
      <c r="R292"/>
      <c r="S292"/>
    </row>
    <row r="293" spans="1:19" ht="15" x14ac:dyDescent="0.2">
      <c r="A293"/>
      <c r="B293"/>
      <c r="C293"/>
      <c r="D293"/>
      <c r="E293"/>
      <c r="F293"/>
      <c r="G293"/>
      <c r="H293"/>
      <c r="I293"/>
      <c r="J293"/>
      <c r="K293"/>
      <c r="L293"/>
      <c r="M293"/>
      <c r="N293"/>
      <c r="O293"/>
      <c r="P293"/>
      <c r="Q293"/>
      <c r="R293"/>
      <c r="S293"/>
    </row>
    <row r="294" spans="1:19" ht="15" x14ac:dyDescent="0.2">
      <c r="A294"/>
      <c r="B294"/>
      <c r="C294"/>
      <c r="D294"/>
      <c r="E294"/>
      <c r="F294"/>
      <c r="G294"/>
      <c r="H294"/>
      <c r="I294"/>
      <c r="J294"/>
      <c r="K294"/>
      <c r="L294"/>
      <c r="M294"/>
      <c r="N294"/>
      <c r="O294"/>
      <c r="P294"/>
      <c r="Q294"/>
      <c r="R294"/>
      <c r="S294"/>
    </row>
    <row r="295" spans="1:19" ht="15" x14ac:dyDescent="0.2">
      <c r="A295"/>
      <c r="B295"/>
      <c r="C295"/>
      <c r="D295"/>
      <c r="E295"/>
      <c r="F295"/>
      <c r="G295"/>
      <c r="H295"/>
      <c r="I295"/>
      <c r="J295"/>
      <c r="K295"/>
      <c r="L295"/>
      <c r="M295"/>
      <c r="N295"/>
      <c r="O295"/>
      <c r="P295"/>
      <c r="Q295"/>
      <c r="R295"/>
      <c r="S295"/>
    </row>
    <row r="296" spans="1:19" ht="15" x14ac:dyDescent="0.2">
      <c r="A296"/>
      <c r="B296"/>
      <c r="C296"/>
      <c r="D296"/>
      <c r="E296"/>
      <c r="F296"/>
      <c r="G296"/>
      <c r="H296"/>
      <c r="I296"/>
      <c r="J296"/>
      <c r="K296"/>
      <c r="L296"/>
      <c r="M296"/>
      <c r="N296"/>
      <c r="O296"/>
      <c r="P296"/>
      <c r="Q296"/>
      <c r="R296"/>
      <c r="S296"/>
    </row>
    <row r="297" spans="1:19" ht="15" x14ac:dyDescent="0.2">
      <c r="A297"/>
      <c r="B297"/>
      <c r="C297"/>
      <c r="D297"/>
      <c r="E297"/>
      <c r="F297"/>
      <c r="G297"/>
      <c r="H297"/>
      <c r="I297"/>
      <c r="J297"/>
      <c r="K297"/>
      <c r="L297"/>
      <c r="M297"/>
      <c r="N297"/>
      <c r="O297"/>
      <c r="P297"/>
      <c r="Q297"/>
      <c r="R297"/>
      <c r="S297"/>
    </row>
    <row r="298" spans="1:19" ht="15" x14ac:dyDescent="0.2">
      <c r="A298"/>
      <c r="B298"/>
      <c r="C298"/>
      <c r="D298"/>
      <c r="E298"/>
      <c r="F298"/>
      <c r="G298"/>
      <c r="H298"/>
      <c r="I298"/>
      <c r="J298"/>
      <c r="K298"/>
      <c r="L298"/>
      <c r="M298"/>
      <c r="N298"/>
      <c r="O298"/>
      <c r="P298"/>
      <c r="Q298"/>
      <c r="R298"/>
      <c r="S298"/>
    </row>
    <row r="299" spans="1:19" ht="15" x14ac:dyDescent="0.2">
      <c r="A299"/>
      <c r="B299"/>
      <c r="C299"/>
      <c r="D299"/>
      <c r="E299"/>
      <c r="F299"/>
      <c r="G299"/>
      <c r="H299"/>
      <c r="I299"/>
      <c r="J299"/>
      <c r="K299"/>
      <c r="L299"/>
      <c r="M299"/>
      <c r="N299"/>
      <c r="O299"/>
      <c r="P299"/>
      <c r="Q299"/>
      <c r="R299"/>
      <c r="S299"/>
    </row>
    <row r="300" spans="1:19" ht="15" x14ac:dyDescent="0.2">
      <c r="A300"/>
      <c r="B300"/>
      <c r="C300"/>
      <c r="D300"/>
      <c r="E300"/>
      <c r="F300"/>
      <c r="G300"/>
      <c r="H300"/>
      <c r="I300"/>
      <c r="J300"/>
      <c r="K300"/>
      <c r="L300"/>
      <c r="M300"/>
      <c r="N300"/>
      <c r="O300"/>
      <c r="P300"/>
      <c r="Q300"/>
      <c r="R300"/>
      <c r="S300"/>
    </row>
    <row r="301" spans="1:19" ht="15" x14ac:dyDescent="0.2">
      <c r="A301"/>
      <c r="B301"/>
      <c r="C301"/>
      <c r="D301"/>
      <c r="E301"/>
      <c r="F301"/>
      <c r="G301"/>
      <c r="H301"/>
      <c r="I301"/>
      <c r="J301"/>
      <c r="K301"/>
      <c r="L301"/>
      <c r="M301"/>
      <c r="N301"/>
      <c r="O301"/>
      <c r="P301"/>
      <c r="Q301"/>
      <c r="R301"/>
      <c r="S301"/>
    </row>
    <row r="302" spans="1:19" ht="15" x14ac:dyDescent="0.2">
      <c r="A302"/>
      <c r="B302"/>
      <c r="C302"/>
      <c r="D302"/>
      <c r="E302"/>
      <c r="F302"/>
      <c r="G302"/>
      <c r="H302"/>
      <c r="I302"/>
      <c r="J302"/>
      <c r="K302"/>
      <c r="L302"/>
      <c r="M302"/>
      <c r="N302"/>
      <c r="O302"/>
      <c r="P302"/>
      <c r="Q302"/>
      <c r="R302"/>
      <c r="S302"/>
    </row>
    <row r="303" spans="1:19" ht="15" x14ac:dyDescent="0.2">
      <c r="A303"/>
      <c r="B303"/>
      <c r="C303"/>
      <c r="D303"/>
      <c r="E303"/>
      <c r="F303"/>
      <c r="G303"/>
      <c r="H303"/>
      <c r="I303"/>
      <c r="J303"/>
      <c r="K303"/>
      <c r="L303"/>
      <c r="M303"/>
      <c r="N303"/>
      <c r="O303"/>
      <c r="P303"/>
      <c r="Q303"/>
      <c r="R303"/>
      <c r="S303"/>
    </row>
    <row r="304" spans="1:19" ht="15" x14ac:dyDescent="0.2">
      <c r="A304"/>
      <c r="B304"/>
      <c r="C304"/>
      <c r="D304"/>
      <c r="E304"/>
      <c r="F304"/>
      <c r="G304"/>
      <c r="H304"/>
      <c r="I304"/>
      <c r="J304"/>
      <c r="K304"/>
      <c r="L304"/>
      <c r="M304"/>
      <c r="N304"/>
      <c r="O304"/>
      <c r="P304"/>
      <c r="Q304"/>
      <c r="R304"/>
      <c r="S304"/>
    </row>
    <row r="305" spans="1:19" ht="15" x14ac:dyDescent="0.2">
      <c r="A305"/>
      <c r="B305"/>
      <c r="C305"/>
      <c r="D305"/>
      <c r="E305"/>
      <c r="F305"/>
      <c r="G305"/>
      <c r="H305"/>
      <c r="I305"/>
      <c r="J305"/>
      <c r="K305"/>
      <c r="L305"/>
      <c r="M305"/>
      <c r="N305"/>
      <c r="O305"/>
      <c r="P305"/>
      <c r="Q305"/>
      <c r="R305"/>
      <c r="S305"/>
    </row>
    <row r="306" spans="1:19" ht="15" x14ac:dyDescent="0.2">
      <c r="A306"/>
      <c r="B306"/>
      <c r="C306"/>
      <c r="D306"/>
      <c r="E306"/>
      <c r="F306"/>
      <c r="G306"/>
      <c r="H306"/>
      <c r="I306"/>
      <c r="J306"/>
      <c r="K306"/>
      <c r="L306"/>
      <c r="M306"/>
      <c r="N306"/>
      <c r="O306"/>
      <c r="P306"/>
      <c r="Q306"/>
      <c r="R306"/>
      <c r="S306"/>
    </row>
    <row r="307" spans="1:19" ht="15" x14ac:dyDescent="0.2">
      <c r="A307"/>
      <c r="B307"/>
      <c r="C307"/>
      <c r="D307"/>
      <c r="E307"/>
      <c r="F307"/>
      <c r="G307"/>
      <c r="H307"/>
      <c r="I307"/>
      <c r="J307"/>
      <c r="K307"/>
      <c r="L307"/>
      <c r="M307"/>
      <c r="N307"/>
      <c r="O307"/>
      <c r="P307"/>
      <c r="Q307"/>
      <c r="R307"/>
      <c r="S307"/>
    </row>
    <row r="308" spans="1:19" ht="15" x14ac:dyDescent="0.2">
      <c r="A308"/>
      <c r="B308"/>
      <c r="C308"/>
      <c r="D308"/>
      <c r="E308"/>
      <c r="F308"/>
      <c r="G308"/>
      <c r="H308"/>
      <c r="I308"/>
      <c r="J308"/>
      <c r="K308"/>
      <c r="L308"/>
      <c r="M308"/>
      <c r="N308"/>
      <c r="O308"/>
      <c r="P308"/>
      <c r="Q308"/>
      <c r="R308"/>
      <c r="S308"/>
    </row>
    <row r="309" spans="1:19" ht="15" x14ac:dyDescent="0.2">
      <c r="A309"/>
      <c r="B309"/>
      <c r="C309"/>
      <c r="D309"/>
      <c r="E309"/>
      <c r="F309"/>
      <c r="G309"/>
      <c r="H309"/>
      <c r="I309"/>
      <c r="J309"/>
      <c r="K309"/>
      <c r="L309"/>
      <c r="M309"/>
      <c r="N309"/>
      <c r="O309"/>
      <c r="P309"/>
      <c r="Q309"/>
      <c r="R309"/>
      <c r="S309"/>
    </row>
    <row r="310" spans="1:19" ht="15" x14ac:dyDescent="0.2">
      <c r="A310"/>
      <c r="B310"/>
      <c r="C310"/>
      <c r="D310"/>
      <c r="E310"/>
      <c r="F310"/>
      <c r="G310"/>
      <c r="H310"/>
      <c r="I310"/>
      <c r="J310"/>
      <c r="K310"/>
      <c r="L310"/>
      <c r="M310"/>
      <c r="N310"/>
      <c r="O310"/>
      <c r="P310"/>
      <c r="Q310"/>
      <c r="R310"/>
      <c r="S310"/>
    </row>
    <row r="311" spans="1:19" ht="15" x14ac:dyDescent="0.2">
      <c r="A311"/>
      <c r="B311"/>
      <c r="C311"/>
      <c r="D311"/>
      <c r="E311"/>
      <c r="F311"/>
      <c r="G311"/>
      <c r="H311"/>
      <c r="I311"/>
      <c r="J311"/>
      <c r="K311"/>
      <c r="L311"/>
      <c r="M311"/>
      <c r="N311"/>
      <c r="O311"/>
      <c r="P311"/>
      <c r="Q311"/>
      <c r="R311"/>
      <c r="S311"/>
    </row>
    <row r="312" spans="1:19" ht="15" x14ac:dyDescent="0.2">
      <c r="A312"/>
      <c r="B312"/>
      <c r="C312"/>
      <c r="D312"/>
      <c r="E312"/>
      <c r="F312"/>
      <c r="G312"/>
      <c r="H312"/>
      <c r="I312"/>
      <c r="J312"/>
      <c r="K312"/>
      <c r="L312"/>
      <c r="M312"/>
      <c r="N312"/>
      <c r="O312"/>
      <c r="P312"/>
      <c r="Q312"/>
      <c r="R312"/>
      <c r="S312"/>
    </row>
    <row r="313" spans="1:19" ht="15" x14ac:dyDescent="0.2">
      <c r="A313"/>
      <c r="B313"/>
      <c r="C313"/>
      <c r="D313"/>
      <c r="E313"/>
      <c r="F313"/>
      <c r="G313"/>
      <c r="H313"/>
      <c r="I313"/>
      <c r="J313"/>
      <c r="K313"/>
      <c r="L313"/>
      <c r="M313"/>
      <c r="N313"/>
      <c r="O313"/>
      <c r="P313"/>
      <c r="Q313"/>
      <c r="R313"/>
      <c r="S313"/>
    </row>
    <row r="314" spans="1:19" ht="15" x14ac:dyDescent="0.2">
      <c r="A314"/>
      <c r="B314"/>
      <c r="C314"/>
      <c r="D314"/>
      <c r="E314"/>
      <c r="F314"/>
      <c r="G314"/>
      <c r="H314"/>
      <c r="I314"/>
      <c r="J314"/>
      <c r="K314"/>
      <c r="L314"/>
      <c r="M314"/>
      <c r="N314"/>
      <c r="O314"/>
      <c r="P314"/>
      <c r="Q314"/>
      <c r="R314"/>
      <c r="S314"/>
    </row>
    <row r="315" spans="1:19" ht="15" x14ac:dyDescent="0.2">
      <c r="A315"/>
      <c r="B315"/>
      <c r="C315"/>
      <c r="D315"/>
      <c r="E315"/>
      <c r="F315"/>
      <c r="G315"/>
      <c r="H315"/>
      <c r="I315"/>
      <c r="J315"/>
      <c r="K315"/>
      <c r="L315"/>
      <c r="M315"/>
      <c r="N315"/>
      <c r="O315"/>
      <c r="P315"/>
      <c r="Q315"/>
      <c r="R315"/>
      <c r="S315"/>
    </row>
    <row r="316" spans="1:19" ht="15" x14ac:dyDescent="0.2">
      <c r="A316"/>
      <c r="B316"/>
      <c r="C316"/>
      <c r="D316"/>
      <c r="E316"/>
      <c r="F316"/>
      <c r="G316"/>
      <c r="H316"/>
      <c r="I316"/>
      <c r="J316"/>
      <c r="K316"/>
      <c r="L316"/>
      <c r="M316"/>
      <c r="N316"/>
      <c r="O316"/>
      <c r="P316"/>
      <c r="Q316"/>
      <c r="R316"/>
      <c r="S316"/>
    </row>
    <row r="317" spans="1:19" ht="15" x14ac:dyDescent="0.2">
      <c r="A317"/>
      <c r="B317"/>
      <c r="C317"/>
      <c r="D317"/>
      <c r="E317"/>
      <c r="F317"/>
      <c r="G317"/>
      <c r="H317"/>
      <c r="I317"/>
      <c r="J317"/>
      <c r="K317"/>
      <c r="L317"/>
      <c r="M317"/>
      <c r="N317"/>
      <c r="O317"/>
      <c r="P317"/>
      <c r="Q317"/>
      <c r="R317"/>
      <c r="S317"/>
    </row>
    <row r="318" spans="1:19" ht="15" x14ac:dyDescent="0.2">
      <c r="A318"/>
      <c r="B318"/>
      <c r="C318"/>
      <c r="D318"/>
      <c r="E318"/>
      <c r="F318"/>
      <c r="G318"/>
      <c r="H318"/>
      <c r="I318"/>
      <c r="J318"/>
      <c r="K318"/>
      <c r="L318"/>
      <c r="M318"/>
      <c r="N318"/>
      <c r="O318"/>
      <c r="P318"/>
      <c r="Q318"/>
      <c r="R318"/>
      <c r="S318"/>
    </row>
    <row r="319" spans="1:19" ht="15" x14ac:dyDescent="0.2">
      <c r="A319"/>
      <c r="B319"/>
      <c r="C319"/>
      <c r="D319"/>
      <c r="E319"/>
      <c r="F319"/>
      <c r="G319"/>
      <c r="H319"/>
      <c r="I319"/>
      <c r="J319"/>
      <c r="K319"/>
      <c r="L319"/>
      <c r="M319"/>
      <c r="N319"/>
      <c r="O319"/>
      <c r="P319"/>
      <c r="Q319"/>
      <c r="R319"/>
      <c r="S319"/>
    </row>
    <row r="320" spans="1:19" ht="15" x14ac:dyDescent="0.2">
      <c r="A320"/>
      <c r="B320"/>
      <c r="C320"/>
      <c r="D320"/>
      <c r="E320"/>
      <c r="F320"/>
      <c r="G320"/>
      <c r="H320"/>
      <c r="I320"/>
      <c r="J320"/>
      <c r="K320"/>
      <c r="L320"/>
      <c r="M320"/>
      <c r="N320"/>
      <c r="O320"/>
      <c r="P320"/>
      <c r="Q320"/>
      <c r="R320"/>
      <c r="S320"/>
    </row>
    <row r="321" spans="1:19" ht="15" x14ac:dyDescent="0.2">
      <c r="A321"/>
      <c r="B321"/>
      <c r="C321"/>
      <c r="D321"/>
      <c r="E321"/>
      <c r="F321"/>
      <c r="G321"/>
      <c r="H321"/>
      <c r="I321"/>
      <c r="J321"/>
      <c r="K321"/>
      <c r="L321"/>
      <c r="M321"/>
      <c r="N321"/>
      <c r="O321"/>
      <c r="P321"/>
      <c r="Q321"/>
      <c r="R321"/>
      <c r="S321"/>
    </row>
    <row r="322" spans="1:19" ht="15" x14ac:dyDescent="0.2">
      <c r="A322"/>
      <c r="B322"/>
      <c r="C322"/>
      <c r="D322"/>
      <c r="E322"/>
      <c r="F322"/>
      <c r="G322"/>
      <c r="H322"/>
      <c r="I322"/>
      <c r="J322"/>
      <c r="K322"/>
      <c r="L322"/>
      <c r="M322"/>
      <c r="N322"/>
      <c r="O322"/>
      <c r="P322"/>
      <c r="Q322"/>
      <c r="R322"/>
      <c r="S322"/>
    </row>
    <row r="323" spans="1:19" ht="15" x14ac:dyDescent="0.2">
      <c r="A323"/>
      <c r="B323"/>
      <c r="C323"/>
      <c r="D323"/>
      <c r="E323"/>
      <c r="F323"/>
      <c r="G323"/>
      <c r="H323"/>
      <c r="I323"/>
      <c r="J323"/>
      <c r="K323"/>
      <c r="L323"/>
      <c r="M323"/>
      <c r="N323"/>
      <c r="O323"/>
      <c r="P323"/>
      <c r="Q323"/>
      <c r="R323"/>
      <c r="S323"/>
    </row>
    <row r="324" spans="1:19" ht="15" x14ac:dyDescent="0.2">
      <c r="A324"/>
      <c r="B324"/>
      <c r="C324"/>
      <c r="D324"/>
      <c r="E324"/>
      <c r="F324"/>
      <c r="G324"/>
      <c r="H324"/>
      <c r="I324"/>
      <c r="J324"/>
      <c r="K324"/>
      <c r="L324"/>
      <c r="M324"/>
      <c r="N324"/>
      <c r="O324"/>
      <c r="P324"/>
      <c r="Q324"/>
      <c r="R324"/>
      <c r="S324"/>
    </row>
    <row r="325" spans="1:19" ht="15" x14ac:dyDescent="0.2">
      <c r="A325"/>
      <c r="B325"/>
      <c r="C325"/>
      <c r="D325"/>
      <c r="E325"/>
      <c r="F325"/>
      <c r="G325"/>
      <c r="H325"/>
      <c r="I325"/>
      <c r="J325"/>
      <c r="K325"/>
      <c r="L325"/>
      <c r="M325"/>
      <c r="N325"/>
      <c r="O325"/>
      <c r="P325"/>
      <c r="Q325"/>
      <c r="R325"/>
      <c r="S325"/>
    </row>
    <row r="326" spans="1:19" ht="15" x14ac:dyDescent="0.2">
      <c r="A326"/>
      <c r="B326"/>
      <c r="C326"/>
      <c r="D326"/>
      <c r="E326"/>
      <c r="F326"/>
      <c r="G326"/>
      <c r="H326"/>
      <c r="I326"/>
      <c r="J326"/>
      <c r="K326"/>
      <c r="L326"/>
      <c r="M326"/>
      <c r="N326"/>
      <c r="O326"/>
      <c r="P326"/>
      <c r="Q326"/>
      <c r="R326"/>
      <c r="S326"/>
    </row>
    <row r="327" spans="1:19" ht="15" x14ac:dyDescent="0.2">
      <c r="A327"/>
      <c r="B327"/>
      <c r="C327"/>
      <c r="D327"/>
      <c r="E327"/>
      <c r="F327"/>
      <c r="G327"/>
      <c r="H327"/>
      <c r="I327"/>
      <c r="J327"/>
      <c r="K327"/>
      <c r="L327"/>
      <c r="M327"/>
      <c r="N327"/>
      <c r="O327"/>
      <c r="P327"/>
      <c r="Q327"/>
      <c r="R327"/>
      <c r="S327"/>
    </row>
    <row r="328" spans="1:19" ht="15" x14ac:dyDescent="0.2">
      <c r="A328"/>
      <c r="B328"/>
      <c r="C328"/>
      <c r="D328"/>
      <c r="E328"/>
      <c r="F328"/>
      <c r="G328"/>
      <c r="H328"/>
      <c r="I328"/>
      <c r="J328"/>
      <c r="K328"/>
      <c r="L328"/>
      <c r="M328"/>
      <c r="N328"/>
      <c r="O328"/>
      <c r="P328"/>
      <c r="Q328"/>
      <c r="R328"/>
      <c r="S328"/>
    </row>
    <row r="329" spans="1:19" ht="15" x14ac:dyDescent="0.2">
      <c r="A329"/>
      <c r="B329"/>
      <c r="C329"/>
      <c r="D329"/>
      <c r="E329"/>
      <c r="F329"/>
      <c r="G329"/>
      <c r="H329"/>
      <c r="I329"/>
      <c r="J329"/>
      <c r="K329"/>
      <c r="L329"/>
      <c r="M329"/>
      <c r="N329"/>
      <c r="O329"/>
      <c r="P329"/>
      <c r="Q329"/>
      <c r="R329"/>
      <c r="S329"/>
    </row>
    <row r="330" spans="1:19" ht="15" x14ac:dyDescent="0.2">
      <c r="A330"/>
      <c r="B330"/>
      <c r="C330"/>
      <c r="D330"/>
      <c r="E330"/>
      <c r="F330"/>
      <c r="G330"/>
      <c r="H330"/>
      <c r="I330"/>
      <c r="J330"/>
      <c r="K330"/>
      <c r="L330"/>
      <c r="M330"/>
      <c r="N330"/>
      <c r="O330"/>
      <c r="P330"/>
      <c r="Q330"/>
      <c r="R330"/>
      <c r="S330"/>
    </row>
    <row r="331" spans="1:19" ht="15" x14ac:dyDescent="0.2">
      <c r="A331"/>
      <c r="B331"/>
      <c r="C331"/>
      <c r="D331"/>
      <c r="E331"/>
      <c r="F331"/>
      <c r="G331"/>
      <c r="H331"/>
      <c r="I331"/>
      <c r="J331"/>
      <c r="K331"/>
      <c r="L331"/>
      <c r="M331"/>
      <c r="N331"/>
      <c r="O331"/>
      <c r="P331"/>
      <c r="Q331"/>
      <c r="R331"/>
      <c r="S331"/>
    </row>
    <row r="332" spans="1:19" ht="15" x14ac:dyDescent="0.2">
      <c r="A332"/>
      <c r="B332"/>
      <c r="C332"/>
      <c r="D332"/>
      <c r="E332"/>
      <c r="F332"/>
      <c r="G332"/>
      <c r="H332"/>
      <c r="I332"/>
      <c r="J332"/>
      <c r="K332"/>
      <c r="L332"/>
      <c r="M332"/>
      <c r="N332"/>
      <c r="O332"/>
      <c r="P332"/>
      <c r="Q332"/>
      <c r="R332"/>
      <c r="S332"/>
    </row>
    <row r="333" spans="1:19" ht="15" x14ac:dyDescent="0.2">
      <c r="A333"/>
      <c r="B333"/>
      <c r="C333"/>
      <c r="D333"/>
      <c r="E333"/>
      <c r="F333"/>
      <c r="G333"/>
      <c r="H333"/>
      <c r="I333"/>
      <c r="J333"/>
      <c r="K333"/>
      <c r="L333"/>
      <c r="M333"/>
      <c r="N333"/>
      <c r="O333"/>
      <c r="P333"/>
      <c r="Q333"/>
      <c r="R333"/>
      <c r="S333"/>
    </row>
    <row r="334" spans="1:19" ht="15" x14ac:dyDescent="0.2">
      <c r="A334"/>
      <c r="B334"/>
      <c r="C334"/>
      <c r="D334"/>
      <c r="E334"/>
      <c r="F334"/>
      <c r="G334"/>
      <c r="H334"/>
      <c r="I334"/>
      <c r="J334"/>
      <c r="K334"/>
      <c r="L334"/>
      <c r="M334"/>
      <c r="N334"/>
      <c r="O334"/>
      <c r="P334"/>
      <c r="Q334"/>
      <c r="R334"/>
      <c r="S334"/>
    </row>
    <row r="335" spans="1:19" ht="15" x14ac:dyDescent="0.2">
      <c r="A335"/>
      <c r="B335"/>
      <c r="C335"/>
      <c r="D335"/>
      <c r="E335"/>
      <c r="F335"/>
      <c r="G335"/>
      <c r="H335"/>
      <c r="I335"/>
      <c r="J335"/>
      <c r="K335"/>
      <c r="L335"/>
      <c r="M335"/>
      <c r="N335"/>
      <c r="O335"/>
      <c r="P335"/>
      <c r="Q335"/>
      <c r="R335"/>
      <c r="S335"/>
    </row>
    <row r="336" spans="1:19" ht="15" x14ac:dyDescent="0.2">
      <c r="A336"/>
      <c r="B336"/>
      <c r="C336"/>
      <c r="D336"/>
      <c r="E336"/>
      <c r="F336"/>
      <c r="G336"/>
      <c r="H336"/>
      <c r="I336"/>
      <c r="J336"/>
      <c r="K336"/>
      <c r="L336"/>
      <c r="M336"/>
      <c r="N336"/>
      <c r="O336"/>
      <c r="P336"/>
      <c r="Q336"/>
      <c r="R336"/>
      <c r="S336"/>
    </row>
    <row r="337" spans="1:19" ht="15" x14ac:dyDescent="0.2">
      <c r="A337"/>
      <c r="B337"/>
      <c r="C337"/>
      <c r="D337"/>
      <c r="E337"/>
      <c r="F337"/>
      <c r="G337"/>
      <c r="H337"/>
      <c r="I337"/>
      <c r="J337"/>
      <c r="K337"/>
      <c r="L337"/>
      <c r="M337"/>
      <c r="N337"/>
      <c r="O337"/>
      <c r="P337"/>
      <c r="Q337"/>
      <c r="R337"/>
      <c r="S337"/>
    </row>
    <row r="338" spans="1:19" ht="15" x14ac:dyDescent="0.2">
      <c r="A338"/>
      <c r="B338"/>
      <c r="C338"/>
      <c r="D338"/>
      <c r="E338"/>
      <c r="F338"/>
      <c r="G338"/>
      <c r="H338"/>
      <c r="I338"/>
      <c r="J338"/>
      <c r="K338"/>
      <c r="L338"/>
      <c r="M338"/>
      <c r="N338"/>
      <c r="O338"/>
      <c r="P338"/>
      <c r="Q338"/>
      <c r="R338"/>
      <c r="S338"/>
    </row>
    <row r="339" spans="1:19" ht="15" x14ac:dyDescent="0.2">
      <c r="A339"/>
      <c r="B339"/>
      <c r="C339"/>
      <c r="D339"/>
      <c r="E339"/>
      <c r="F339"/>
      <c r="G339"/>
      <c r="H339"/>
      <c r="I339"/>
      <c r="J339"/>
      <c r="K339"/>
      <c r="L339"/>
      <c r="M339"/>
      <c r="N339"/>
      <c r="O339"/>
      <c r="P339"/>
      <c r="Q339"/>
      <c r="R339"/>
      <c r="S339"/>
    </row>
    <row r="340" spans="1:19" ht="15" x14ac:dyDescent="0.2">
      <c r="A340"/>
      <c r="B340"/>
      <c r="C340"/>
      <c r="D340"/>
      <c r="E340"/>
      <c r="F340"/>
      <c r="G340"/>
      <c r="H340"/>
      <c r="I340"/>
      <c r="J340"/>
      <c r="K340"/>
      <c r="L340"/>
      <c r="M340"/>
      <c r="N340"/>
      <c r="O340"/>
      <c r="P340"/>
      <c r="Q340"/>
      <c r="R340"/>
      <c r="S340"/>
    </row>
    <row r="341" spans="1:19" ht="15" x14ac:dyDescent="0.2">
      <c r="A341"/>
      <c r="B341"/>
      <c r="C341"/>
      <c r="D341"/>
      <c r="E341"/>
      <c r="F341"/>
      <c r="G341"/>
      <c r="H341"/>
      <c r="I341"/>
      <c r="J341"/>
      <c r="K341"/>
      <c r="L341"/>
      <c r="M341"/>
      <c r="N341"/>
      <c r="O341"/>
      <c r="P341"/>
      <c r="Q341"/>
      <c r="R341"/>
      <c r="S341"/>
    </row>
    <row r="342" spans="1:19" ht="15" x14ac:dyDescent="0.2">
      <c r="A342"/>
      <c r="B342"/>
      <c r="C342"/>
      <c r="D342"/>
      <c r="E342"/>
      <c r="F342"/>
      <c r="G342"/>
      <c r="H342"/>
      <c r="I342"/>
      <c r="J342"/>
      <c r="K342"/>
      <c r="L342"/>
      <c r="M342"/>
      <c r="N342"/>
      <c r="O342"/>
      <c r="P342"/>
      <c r="Q342"/>
      <c r="R342"/>
      <c r="S342"/>
    </row>
    <row r="343" spans="1:19" ht="15" x14ac:dyDescent="0.2">
      <c r="A343"/>
      <c r="B343"/>
      <c r="C343"/>
      <c r="D343"/>
      <c r="E343"/>
      <c r="F343"/>
      <c r="G343"/>
      <c r="H343"/>
      <c r="I343"/>
      <c r="J343"/>
      <c r="K343"/>
      <c r="L343"/>
      <c r="M343"/>
      <c r="N343"/>
      <c r="O343"/>
      <c r="P343"/>
      <c r="Q343"/>
      <c r="R343"/>
      <c r="S343"/>
    </row>
    <row r="344" spans="1:19" ht="15" x14ac:dyDescent="0.2">
      <c r="A344"/>
      <c r="B344"/>
      <c r="C344"/>
      <c r="D344"/>
      <c r="E344"/>
      <c r="F344"/>
      <c r="G344"/>
      <c r="H344"/>
      <c r="I344"/>
      <c r="J344"/>
      <c r="K344"/>
      <c r="L344"/>
      <c r="M344"/>
      <c r="N344"/>
      <c r="O344"/>
      <c r="P344"/>
      <c r="Q344"/>
      <c r="R344"/>
      <c r="S344"/>
    </row>
    <row r="345" spans="1:19" ht="15" x14ac:dyDescent="0.2">
      <c r="A345"/>
      <c r="B345"/>
      <c r="C345"/>
      <c r="D345"/>
      <c r="E345"/>
      <c r="F345"/>
      <c r="G345"/>
      <c r="H345"/>
      <c r="I345"/>
      <c r="J345"/>
      <c r="K345"/>
      <c r="L345"/>
      <c r="M345"/>
      <c r="N345"/>
      <c r="O345"/>
      <c r="P345"/>
      <c r="Q345"/>
      <c r="R345"/>
      <c r="S345"/>
    </row>
    <row r="346" spans="1:19" ht="15" x14ac:dyDescent="0.2">
      <c r="A346"/>
      <c r="B346"/>
      <c r="C346"/>
      <c r="D346"/>
      <c r="E346"/>
      <c r="F346"/>
      <c r="G346"/>
      <c r="H346"/>
      <c r="I346"/>
      <c r="J346"/>
      <c r="K346"/>
      <c r="L346"/>
      <c r="M346"/>
      <c r="N346"/>
      <c r="O346"/>
      <c r="P346"/>
      <c r="Q346"/>
      <c r="R346"/>
      <c r="S346"/>
    </row>
    <row r="347" spans="1:19" ht="15" x14ac:dyDescent="0.2">
      <c r="A347"/>
      <c r="B347"/>
      <c r="C347"/>
      <c r="D347"/>
      <c r="E347"/>
      <c r="F347"/>
      <c r="G347"/>
      <c r="H347"/>
      <c r="I347"/>
      <c r="J347"/>
      <c r="K347"/>
      <c r="L347"/>
      <c r="M347"/>
      <c r="N347"/>
      <c r="O347"/>
      <c r="P347"/>
      <c r="Q347"/>
      <c r="R347"/>
      <c r="S347"/>
    </row>
    <row r="348" spans="1:19" ht="15" x14ac:dyDescent="0.2">
      <c r="A348"/>
      <c r="B348"/>
      <c r="C348"/>
      <c r="D348"/>
      <c r="E348"/>
      <c r="F348"/>
      <c r="G348"/>
      <c r="H348"/>
      <c r="I348"/>
      <c r="J348"/>
      <c r="K348"/>
      <c r="L348"/>
      <c r="M348"/>
      <c r="N348"/>
      <c r="O348"/>
      <c r="P348"/>
      <c r="Q348"/>
      <c r="R348"/>
      <c r="S348"/>
    </row>
    <row r="349" spans="1:19" ht="15" x14ac:dyDescent="0.2">
      <c r="A349"/>
      <c r="B349"/>
      <c r="C349"/>
      <c r="D349"/>
      <c r="E349"/>
      <c r="F349"/>
      <c r="G349"/>
      <c r="H349"/>
      <c r="I349"/>
      <c r="J349"/>
      <c r="K349"/>
      <c r="L349"/>
      <c r="M349"/>
      <c r="N349"/>
      <c r="O349"/>
      <c r="P349"/>
      <c r="Q349"/>
      <c r="R349"/>
      <c r="S349"/>
    </row>
    <row r="350" spans="1:19" ht="15" x14ac:dyDescent="0.2">
      <c r="A350"/>
      <c r="B350"/>
      <c r="C350"/>
      <c r="D350"/>
      <c r="E350"/>
      <c r="F350"/>
      <c r="G350"/>
      <c r="H350"/>
      <c r="I350"/>
      <c r="J350"/>
      <c r="K350"/>
      <c r="L350"/>
      <c r="M350"/>
      <c r="N350"/>
      <c r="O350"/>
      <c r="P350"/>
      <c r="Q350"/>
      <c r="R350"/>
      <c r="S350"/>
    </row>
    <row r="351" spans="1:19" ht="15" x14ac:dyDescent="0.2">
      <c r="A351"/>
      <c r="B351"/>
      <c r="C351"/>
      <c r="D351"/>
      <c r="E351"/>
      <c r="F351"/>
      <c r="G351"/>
      <c r="H351"/>
      <c r="I351"/>
      <c r="J351"/>
      <c r="K351"/>
      <c r="L351"/>
      <c r="M351"/>
      <c r="N351"/>
      <c r="O351"/>
      <c r="P351"/>
      <c r="Q351"/>
      <c r="R351"/>
      <c r="S351"/>
    </row>
    <row r="352" spans="1:19" ht="15" x14ac:dyDescent="0.2">
      <c r="A352"/>
      <c r="B352"/>
      <c r="C352"/>
      <c r="D352"/>
      <c r="E352"/>
      <c r="F352"/>
      <c r="G352"/>
      <c r="H352"/>
      <c r="I352"/>
      <c r="J352"/>
      <c r="K352"/>
      <c r="L352"/>
      <c r="M352"/>
      <c r="N352"/>
      <c r="O352"/>
      <c r="P352"/>
      <c r="Q352"/>
      <c r="R352"/>
      <c r="S352"/>
    </row>
    <row r="353" spans="1:19" ht="15" x14ac:dyDescent="0.2">
      <c r="A353"/>
      <c r="B353"/>
      <c r="C353"/>
      <c r="D353"/>
      <c r="E353"/>
      <c r="F353"/>
      <c r="G353"/>
      <c r="H353"/>
      <c r="I353"/>
      <c r="J353"/>
      <c r="K353"/>
      <c r="L353"/>
      <c r="M353"/>
      <c r="N353"/>
      <c r="O353"/>
      <c r="P353"/>
      <c r="Q353"/>
      <c r="R353"/>
      <c r="S353"/>
    </row>
    <row r="354" spans="1:19" ht="15" x14ac:dyDescent="0.2">
      <c r="A354"/>
      <c r="B354"/>
      <c r="C354"/>
      <c r="D354"/>
      <c r="E354"/>
      <c r="F354"/>
      <c r="G354"/>
      <c r="H354"/>
      <c r="I354"/>
      <c r="J354"/>
      <c r="K354"/>
      <c r="L354"/>
      <c r="M354"/>
      <c r="N354"/>
      <c r="O354"/>
      <c r="P354"/>
      <c r="Q354"/>
      <c r="R354"/>
      <c r="S354"/>
    </row>
    <row r="355" spans="1:19" ht="15" x14ac:dyDescent="0.2">
      <c r="A355"/>
      <c r="B355"/>
      <c r="C355"/>
      <c r="D355"/>
      <c r="E355"/>
      <c r="F355"/>
      <c r="G355"/>
      <c r="H355"/>
      <c r="I355"/>
      <c r="J355"/>
      <c r="K355"/>
      <c r="L355"/>
      <c r="M355"/>
      <c r="N355"/>
      <c r="O355"/>
      <c r="P355"/>
      <c r="Q355"/>
      <c r="R355"/>
      <c r="S355"/>
    </row>
    <row r="356" spans="1:19" ht="15" x14ac:dyDescent="0.2">
      <c r="A356"/>
      <c r="B356"/>
      <c r="C356"/>
      <c r="D356"/>
      <c r="E356"/>
      <c r="F356"/>
      <c r="G356"/>
      <c r="H356"/>
      <c r="I356"/>
      <c r="J356"/>
      <c r="K356"/>
      <c r="L356"/>
      <c r="M356"/>
      <c r="N356"/>
      <c r="O356"/>
      <c r="P356"/>
      <c r="Q356"/>
      <c r="R356"/>
      <c r="S356"/>
    </row>
    <row r="357" spans="1:19" ht="15" x14ac:dyDescent="0.2">
      <c r="A357"/>
      <c r="B357"/>
      <c r="C357"/>
      <c r="D357"/>
      <c r="E357"/>
      <c r="F357"/>
      <c r="G357"/>
      <c r="H357"/>
      <c r="I357"/>
      <c r="J357"/>
      <c r="K357"/>
      <c r="L357"/>
      <c r="M357"/>
      <c r="N357"/>
      <c r="O357"/>
      <c r="P357"/>
      <c r="Q357"/>
      <c r="R357"/>
      <c r="S357"/>
    </row>
    <row r="358" spans="1:19" ht="15" x14ac:dyDescent="0.2">
      <c r="A358"/>
      <c r="B358"/>
      <c r="C358"/>
      <c r="D358"/>
      <c r="E358"/>
      <c r="F358"/>
      <c r="G358"/>
      <c r="H358"/>
      <c r="I358"/>
      <c r="J358"/>
      <c r="K358"/>
      <c r="L358"/>
      <c r="M358"/>
      <c r="N358"/>
      <c r="O358"/>
      <c r="P358"/>
      <c r="Q358"/>
      <c r="R358"/>
      <c r="S358"/>
    </row>
    <row r="359" spans="1:19" ht="15" x14ac:dyDescent="0.2">
      <c r="A359"/>
      <c r="B359"/>
      <c r="C359"/>
      <c r="D359"/>
      <c r="E359"/>
      <c r="F359"/>
      <c r="G359"/>
      <c r="H359"/>
      <c r="I359"/>
      <c r="J359"/>
      <c r="K359"/>
      <c r="L359"/>
      <c r="M359"/>
      <c r="N359"/>
      <c r="O359"/>
      <c r="P359"/>
      <c r="Q359"/>
      <c r="R359"/>
      <c r="S359"/>
    </row>
    <row r="360" spans="1:19" ht="15" x14ac:dyDescent="0.2">
      <c r="A360"/>
      <c r="B360"/>
      <c r="C360"/>
      <c r="D360"/>
      <c r="E360"/>
      <c r="F360"/>
      <c r="G360"/>
      <c r="H360"/>
      <c r="I360"/>
      <c r="J360"/>
      <c r="K360"/>
      <c r="L360"/>
      <c r="M360"/>
      <c r="N360"/>
      <c r="O360"/>
      <c r="P360"/>
      <c r="Q360"/>
      <c r="R360"/>
      <c r="S360"/>
    </row>
    <row r="361" spans="1:19" ht="15" x14ac:dyDescent="0.2">
      <c r="A361"/>
      <c r="B361"/>
      <c r="C361"/>
      <c r="D361"/>
      <c r="E361"/>
      <c r="F361"/>
      <c r="G361"/>
      <c r="H361"/>
      <c r="I361"/>
      <c r="J361"/>
      <c r="K361"/>
      <c r="L361"/>
      <c r="M361"/>
      <c r="N361"/>
      <c r="O361"/>
      <c r="P361"/>
      <c r="Q361"/>
      <c r="R361"/>
      <c r="S361"/>
    </row>
    <row r="362" spans="1:19" ht="15" x14ac:dyDescent="0.2">
      <c r="A362"/>
      <c r="B362"/>
      <c r="C362"/>
      <c r="D362"/>
      <c r="E362"/>
      <c r="F362"/>
      <c r="G362"/>
      <c r="H362"/>
      <c r="I362"/>
      <c r="J362"/>
      <c r="K362"/>
      <c r="L362"/>
      <c r="M362"/>
      <c r="N362"/>
      <c r="O362"/>
      <c r="P362"/>
      <c r="Q362"/>
      <c r="R362"/>
      <c r="S362"/>
    </row>
    <row r="363" spans="1:19" ht="15" x14ac:dyDescent="0.2">
      <c r="A363"/>
      <c r="B363"/>
      <c r="C363"/>
      <c r="D363"/>
      <c r="E363"/>
      <c r="F363"/>
      <c r="G363"/>
      <c r="H363"/>
      <c r="I363"/>
      <c r="J363"/>
      <c r="K363"/>
      <c r="L363"/>
      <c r="M363"/>
      <c r="N363"/>
      <c r="O363"/>
      <c r="P363"/>
      <c r="Q363"/>
      <c r="R363"/>
      <c r="S363"/>
    </row>
    <row r="364" spans="1:19" ht="15" x14ac:dyDescent="0.2">
      <c r="A364"/>
      <c r="B364"/>
      <c r="C364"/>
      <c r="D364"/>
      <c r="E364"/>
      <c r="F364"/>
      <c r="G364"/>
      <c r="H364"/>
      <c r="I364"/>
      <c r="J364"/>
      <c r="K364"/>
      <c r="L364"/>
      <c r="M364"/>
      <c r="N364"/>
      <c r="O364"/>
      <c r="P364"/>
      <c r="Q364"/>
      <c r="R364"/>
      <c r="S364"/>
    </row>
    <row r="365" spans="1:19" ht="15" x14ac:dyDescent="0.2">
      <c r="A365"/>
      <c r="B365"/>
      <c r="C365"/>
      <c r="D365"/>
      <c r="E365"/>
      <c r="F365"/>
      <c r="G365"/>
      <c r="H365"/>
      <c r="I365"/>
      <c r="J365"/>
      <c r="K365"/>
      <c r="L365"/>
      <c r="M365"/>
      <c r="N365"/>
      <c r="O365"/>
      <c r="P365"/>
      <c r="Q365"/>
      <c r="R365"/>
      <c r="S365"/>
    </row>
    <row r="366" spans="1:19" ht="15" x14ac:dyDescent="0.2">
      <c r="A366"/>
      <c r="B366"/>
      <c r="C366"/>
      <c r="D366"/>
      <c r="E366"/>
      <c r="F366"/>
      <c r="G366"/>
      <c r="H366"/>
      <c r="I366"/>
      <c r="J366"/>
      <c r="K366"/>
      <c r="L366"/>
      <c r="M366"/>
      <c r="N366"/>
      <c r="O366"/>
      <c r="P366"/>
      <c r="Q366"/>
      <c r="R366"/>
      <c r="S366"/>
    </row>
    <row r="367" spans="1:19" ht="15" x14ac:dyDescent="0.2">
      <c r="A367"/>
      <c r="B367"/>
      <c r="C367"/>
      <c r="D367"/>
      <c r="E367"/>
      <c r="F367"/>
      <c r="G367"/>
      <c r="H367"/>
      <c r="I367"/>
      <c r="J367"/>
      <c r="K367"/>
      <c r="L367"/>
      <c r="M367"/>
      <c r="N367"/>
      <c r="O367"/>
      <c r="P367"/>
      <c r="Q367"/>
      <c r="R367"/>
      <c r="S367"/>
    </row>
    <row r="368" spans="1:19" ht="15" x14ac:dyDescent="0.2">
      <c r="A368"/>
      <c r="B368"/>
      <c r="C368"/>
      <c r="D368"/>
      <c r="E368"/>
      <c r="F368"/>
      <c r="G368"/>
      <c r="H368"/>
      <c r="I368"/>
      <c r="J368"/>
      <c r="K368"/>
      <c r="L368"/>
      <c r="M368"/>
      <c r="N368"/>
      <c r="O368"/>
      <c r="P368"/>
      <c r="Q368"/>
      <c r="R368"/>
      <c r="S368"/>
    </row>
    <row r="369" spans="1:19" ht="15" x14ac:dyDescent="0.2">
      <c r="A369"/>
      <c r="B369"/>
      <c r="C369"/>
      <c r="D369"/>
      <c r="E369"/>
      <c r="F369"/>
      <c r="G369"/>
      <c r="H369"/>
      <c r="I369"/>
      <c r="J369"/>
      <c r="K369"/>
      <c r="L369"/>
      <c r="M369"/>
      <c r="N369"/>
      <c r="O369"/>
      <c r="P369"/>
      <c r="Q369"/>
      <c r="R369"/>
      <c r="S369"/>
    </row>
    <row r="370" spans="1:19" ht="15" x14ac:dyDescent="0.2">
      <c r="A370"/>
      <c r="B370"/>
      <c r="C370"/>
      <c r="D370"/>
      <c r="E370"/>
      <c r="F370"/>
      <c r="G370"/>
      <c r="H370"/>
      <c r="I370"/>
      <c r="J370"/>
      <c r="K370"/>
      <c r="L370"/>
      <c r="M370"/>
      <c r="N370"/>
      <c r="O370"/>
      <c r="P370"/>
      <c r="Q370"/>
      <c r="R370"/>
      <c r="S370"/>
    </row>
    <row r="371" spans="1:19" ht="15" x14ac:dyDescent="0.2">
      <c r="A371"/>
      <c r="B371"/>
      <c r="C371"/>
      <c r="D371"/>
      <c r="E371"/>
      <c r="F371"/>
      <c r="G371"/>
      <c r="H371"/>
      <c r="I371"/>
      <c r="J371"/>
      <c r="K371"/>
      <c r="L371"/>
      <c r="M371"/>
      <c r="N371"/>
      <c r="O371"/>
      <c r="P371"/>
      <c r="Q371"/>
      <c r="R371"/>
      <c r="S371"/>
    </row>
    <row r="372" spans="1:19" ht="15" x14ac:dyDescent="0.2">
      <c r="A372"/>
      <c r="B372"/>
      <c r="C372"/>
      <c r="D372"/>
      <c r="E372"/>
      <c r="F372"/>
      <c r="G372"/>
      <c r="H372"/>
      <c r="I372"/>
      <c r="J372"/>
      <c r="K372"/>
      <c r="L372"/>
      <c r="M372"/>
      <c r="N372"/>
      <c r="O372"/>
      <c r="P372"/>
      <c r="Q372"/>
      <c r="R372"/>
      <c r="S372"/>
    </row>
    <row r="373" spans="1:19" ht="15" x14ac:dyDescent="0.2">
      <c r="A373"/>
      <c r="B373"/>
      <c r="C373"/>
      <c r="D373"/>
      <c r="E373"/>
      <c r="F373"/>
      <c r="G373"/>
      <c r="H373"/>
      <c r="I373"/>
      <c r="J373"/>
      <c r="K373"/>
      <c r="L373"/>
      <c r="M373"/>
      <c r="N373"/>
      <c r="O373"/>
      <c r="P373"/>
      <c r="Q373"/>
      <c r="R373"/>
      <c r="S373"/>
    </row>
    <row r="374" spans="1:19" ht="15" x14ac:dyDescent="0.2">
      <c r="A374"/>
      <c r="B374"/>
      <c r="C374"/>
      <c r="D374"/>
      <c r="E374"/>
      <c r="F374"/>
      <c r="G374"/>
      <c r="H374"/>
      <c r="I374"/>
      <c r="J374"/>
      <c r="K374"/>
      <c r="L374"/>
      <c r="M374"/>
      <c r="N374"/>
      <c r="O374"/>
      <c r="P374"/>
      <c r="Q374"/>
      <c r="R374"/>
      <c r="S374"/>
    </row>
    <row r="375" spans="1:19" ht="15" x14ac:dyDescent="0.2">
      <c r="A375"/>
      <c r="B375"/>
      <c r="C375"/>
      <c r="D375"/>
      <c r="E375"/>
      <c r="F375"/>
      <c r="G375"/>
      <c r="H375"/>
      <c r="I375"/>
      <c r="J375"/>
      <c r="K375"/>
      <c r="L375"/>
      <c r="M375"/>
      <c r="N375"/>
      <c r="O375"/>
      <c r="P375"/>
      <c r="Q375"/>
      <c r="R375"/>
      <c r="S375"/>
    </row>
    <row r="376" spans="1:19" ht="15" x14ac:dyDescent="0.2">
      <c r="A376"/>
      <c r="B376"/>
      <c r="C376"/>
      <c r="D376"/>
      <c r="E376"/>
      <c r="F376"/>
      <c r="G376"/>
      <c r="H376"/>
      <c r="I376"/>
      <c r="J376"/>
      <c r="K376"/>
      <c r="L376"/>
      <c r="M376"/>
      <c r="N376"/>
      <c r="O376"/>
      <c r="P376"/>
      <c r="Q376"/>
      <c r="R376"/>
      <c r="S376"/>
    </row>
    <row r="377" spans="1:19" ht="15" x14ac:dyDescent="0.2">
      <c r="A377"/>
      <c r="B377"/>
      <c r="C377"/>
      <c r="D377"/>
      <c r="E377"/>
      <c r="F377"/>
      <c r="G377"/>
      <c r="H377"/>
      <c r="I377"/>
      <c r="J377"/>
      <c r="K377"/>
      <c r="L377"/>
      <c r="M377"/>
      <c r="N377"/>
      <c r="O377"/>
      <c r="P377"/>
      <c r="Q377"/>
      <c r="R377"/>
      <c r="S377"/>
    </row>
    <row r="378" spans="1:19" ht="15" x14ac:dyDescent="0.2">
      <c r="A378"/>
      <c r="B378"/>
      <c r="C378"/>
      <c r="D378"/>
      <c r="E378"/>
      <c r="F378"/>
      <c r="G378"/>
      <c r="H378"/>
      <c r="I378"/>
      <c r="J378"/>
      <c r="K378"/>
      <c r="L378"/>
      <c r="M378"/>
      <c r="N378"/>
      <c r="O378"/>
      <c r="P378"/>
      <c r="Q378"/>
      <c r="R378"/>
      <c r="S378"/>
    </row>
    <row r="379" spans="1:19" ht="15" x14ac:dyDescent="0.2">
      <c r="A379"/>
      <c r="B379"/>
      <c r="C379"/>
      <c r="D379"/>
      <c r="E379"/>
      <c r="F379"/>
      <c r="G379"/>
      <c r="H379"/>
      <c r="I379"/>
      <c r="J379"/>
      <c r="K379"/>
      <c r="L379"/>
      <c r="M379"/>
      <c r="N379"/>
      <c r="O379"/>
      <c r="P379"/>
      <c r="Q379"/>
      <c r="R379"/>
      <c r="S379"/>
    </row>
    <row r="380" spans="1:19" ht="15" x14ac:dyDescent="0.2">
      <c r="A380"/>
      <c r="B380"/>
      <c r="C380"/>
      <c r="D380"/>
      <c r="E380"/>
      <c r="F380"/>
      <c r="G380"/>
      <c r="H380"/>
      <c r="I380"/>
      <c r="J380"/>
      <c r="K380"/>
      <c r="L380"/>
      <c r="M380"/>
      <c r="N380"/>
      <c r="O380"/>
      <c r="P380"/>
      <c r="Q380"/>
      <c r="R380"/>
      <c r="S380"/>
    </row>
    <row r="381" spans="1:19" ht="15" x14ac:dyDescent="0.2">
      <c r="A381"/>
      <c r="B381"/>
      <c r="C381"/>
      <c r="D381"/>
      <c r="E381"/>
      <c r="F381"/>
      <c r="G381"/>
      <c r="H381"/>
      <c r="I381"/>
      <c r="J381"/>
      <c r="K381"/>
      <c r="L381"/>
      <c r="M381"/>
      <c r="N381"/>
      <c r="O381"/>
      <c r="P381"/>
      <c r="Q381"/>
      <c r="R381"/>
      <c r="S381"/>
    </row>
    <row r="382" spans="1:19" ht="15" x14ac:dyDescent="0.2">
      <c r="A382"/>
      <c r="B382"/>
      <c r="C382"/>
      <c r="D382"/>
      <c r="E382"/>
      <c r="F382"/>
      <c r="G382"/>
      <c r="H382"/>
      <c r="I382"/>
      <c r="J382"/>
      <c r="K382"/>
      <c r="L382"/>
      <c r="M382"/>
      <c r="N382"/>
      <c r="O382"/>
      <c r="P382"/>
      <c r="Q382"/>
      <c r="R382"/>
      <c r="S382"/>
    </row>
    <row r="383" spans="1:19" ht="15" x14ac:dyDescent="0.2">
      <c r="A383"/>
      <c r="B383"/>
      <c r="C383"/>
      <c r="D383"/>
      <c r="E383"/>
      <c r="F383"/>
      <c r="G383"/>
      <c r="H383"/>
      <c r="I383"/>
      <c r="J383"/>
      <c r="K383"/>
      <c r="L383"/>
      <c r="M383"/>
      <c r="N383"/>
      <c r="O383"/>
      <c r="P383"/>
      <c r="Q383"/>
      <c r="R383"/>
      <c r="S383"/>
    </row>
    <row r="384" spans="1:19" ht="15" x14ac:dyDescent="0.2">
      <c r="A384"/>
      <c r="B384"/>
      <c r="C384"/>
      <c r="D384"/>
      <c r="E384"/>
      <c r="F384"/>
      <c r="G384"/>
      <c r="H384"/>
      <c r="I384"/>
      <c r="J384"/>
      <c r="K384"/>
      <c r="L384"/>
      <c r="M384"/>
      <c r="N384"/>
      <c r="O384"/>
      <c r="P384"/>
      <c r="Q384"/>
      <c r="R384"/>
      <c r="S384"/>
    </row>
    <row r="385" spans="1:19" ht="15" x14ac:dyDescent="0.2">
      <c r="A385"/>
      <c r="B385"/>
      <c r="C385"/>
      <c r="D385"/>
      <c r="E385"/>
      <c r="F385"/>
      <c r="G385"/>
      <c r="H385"/>
      <c r="I385"/>
      <c r="J385"/>
      <c r="K385"/>
      <c r="L385"/>
      <c r="M385"/>
      <c r="N385"/>
      <c r="O385"/>
      <c r="P385"/>
      <c r="Q385"/>
      <c r="R385"/>
      <c r="S385"/>
    </row>
    <row r="386" spans="1:19" ht="15" x14ac:dyDescent="0.2">
      <c r="A386"/>
      <c r="B386"/>
      <c r="C386"/>
      <c r="D386"/>
      <c r="E386"/>
      <c r="F386"/>
      <c r="G386"/>
      <c r="H386"/>
      <c r="I386"/>
      <c r="J386"/>
      <c r="K386"/>
      <c r="L386"/>
      <c r="M386"/>
      <c r="N386"/>
      <c r="O386"/>
      <c r="P386"/>
      <c r="Q386"/>
      <c r="R386"/>
      <c r="S386"/>
    </row>
    <row r="387" spans="1:19" ht="15" x14ac:dyDescent="0.2">
      <c r="A387"/>
      <c r="B387"/>
      <c r="C387"/>
      <c r="D387"/>
      <c r="E387"/>
      <c r="F387"/>
      <c r="G387"/>
      <c r="H387"/>
      <c r="I387"/>
      <c r="J387"/>
      <c r="K387"/>
      <c r="L387"/>
      <c r="M387"/>
      <c r="N387"/>
      <c r="O387"/>
      <c r="P387"/>
      <c r="Q387"/>
      <c r="R387"/>
      <c r="S387"/>
    </row>
    <row r="388" spans="1:19" ht="15" x14ac:dyDescent="0.2">
      <c r="A388"/>
      <c r="B388"/>
      <c r="C388"/>
      <c r="D388"/>
      <c r="E388"/>
      <c r="F388"/>
      <c r="G388"/>
      <c r="H388"/>
      <c r="I388"/>
      <c r="J388"/>
      <c r="K388"/>
      <c r="L388"/>
      <c r="M388"/>
      <c r="N388"/>
      <c r="O388"/>
      <c r="P388"/>
      <c r="Q388"/>
      <c r="R388"/>
      <c r="S388"/>
    </row>
    <row r="389" spans="1:19" ht="15" x14ac:dyDescent="0.2">
      <c r="A389"/>
      <c r="B389"/>
      <c r="C389"/>
      <c r="D389"/>
      <c r="E389"/>
      <c r="F389"/>
      <c r="G389"/>
      <c r="H389"/>
      <c r="I389"/>
      <c r="J389"/>
      <c r="K389"/>
      <c r="L389"/>
      <c r="M389"/>
      <c r="N389"/>
      <c r="O389"/>
      <c r="P389"/>
      <c r="Q389"/>
      <c r="R389"/>
      <c r="S389"/>
    </row>
    <row r="390" spans="1:19" ht="15" x14ac:dyDescent="0.2">
      <c r="A390"/>
      <c r="B390"/>
      <c r="C390"/>
      <c r="D390"/>
      <c r="E390"/>
      <c r="F390"/>
      <c r="G390"/>
      <c r="H390"/>
      <c r="I390"/>
      <c r="J390"/>
      <c r="K390"/>
      <c r="L390"/>
      <c r="M390"/>
      <c r="N390"/>
      <c r="O390"/>
      <c r="P390"/>
      <c r="Q390"/>
      <c r="R390"/>
      <c r="S390"/>
    </row>
    <row r="391" spans="1:19" ht="15" x14ac:dyDescent="0.2">
      <c r="A391"/>
      <c r="B391"/>
      <c r="C391"/>
      <c r="D391"/>
      <c r="E391"/>
      <c r="F391"/>
      <c r="G391"/>
      <c r="H391"/>
      <c r="I391"/>
      <c r="J391"/>
      <c r="K391"/>
      <c r="L391"/>
      <c r="M391"/>
      <c r="N391"/>
      <c r="O391"/>
      <c r="P391"/>
      <c r="Q391"/>
      <c r="R391"/>
      <c r="S391"/>
    </row>
    <row r="392" spans="1:19" ht="15" x14ac:dyDescent="0.2">
      <c r="A392"/>
      <c r="B392"/>
      <c r="C392"/>
      <c r="D392"/>
      <c r="E392"/>
      <c r="F392"/>
      <c r="G392"/>
      <c r="H392"/>
      <c r="I392"/>
      <c r="J392"/>
      <c r="K392"/>
      <c r="L392"/>
      <c r="M392"/>
      <c r="N392"/>
      <c r="O392"/>
      <c r="P392"/>
      <c r="Q392"/>
      <c r="R392"/>
      <c r="S392"/>
    </row>
    <row r="393" spans="1:19" ht="15" x14ac:dyDescent="0.2">
      <c r="A393"/>
      <c r="B393"/>
      <c r="C393"/>
      <c r="D393"/>
      <c r="E393"/>
      <c r="F393"/>
      <c r="G393"/>
      <c r="H393"/>
      <c r="I393"/>
      <c r="J393"/>
      <c r="K393"/>
      <c r="L393"/>
      <c r="M393"/>
      <c r="N393"/>
      <c r="O393"/>
      <c r="P393"/>
      <c r="Q393"/>
      <c r="R393"/>
      <c r="S393"/>
    </row>
    <row r="394" spans="1:19" ht="15" x14ac:dyDescent="0.2">
      <c r="A394"/>
      <c r="B394"/>
      <c r="C394"/>
      <c r="D394"/>
      <c r="E394"/>
      <c r="F394"/>
      <c r="G394"/>
      <c r="H394"/>
      <c r="I394"/>
      <c r="J394"/>
      <c r="K394"/>
      <c r="L394"/>
      <c r="M394"/>
      <c r="N394"/>
      <c r="O394"/>
      <c r="P394"/>
      <c r="Q394"/>
      <c r="R394"/>
      <c r="S394"/>
    </row>
    <row r="395" spans="1:19" ht="15" x14ac:dyDescent="0.2">
      <c r="A395"/>
      <c r="B395"/>
      <c r="C395"/>
      <c r="D395"/>
      <c r="E395"/>
      <c r="F395"/>
      <c r="G395"/>
      <c r="H395"/>
      <c r="I395"/>
      <c r="J395"/>
      <c r="K395"/>
      <c r="L395"/>
      <c r="M395"/>
      <c r="N395"/>
      <c r="O395"/>
      <c r="P395"/>
      <c r="Q395"/>
      <c r="R395"/>
      <c r="S395"/>
    </row>
    <row r="396" spans="1:19" ht="15" x14ac:dyDescent="0.2">
      <c r="A396"/>
      <c r="B396"/>
      <c r="C396"/>
      <c r="D396"/>
      <c r="E396"/>
      <c r="F396"/>
      <c r="G396"/>
      <c r="H396"/>
      <c r="I396"/>
      <c r="J396"/>
      <c r="K396"/>
      <c r="L396"/>
      <c r="M396"/>
      <c r="N396"/>
      <c r="O396"/>
      <c r="P396"/>
      <c r="Q396"/>
      <c r="R396"/>
      <c r="S396"/>
    </row>
    <row r="397" spans="1:19" ht="15" x14ac:dyDescent="0.2">
      <c r="A397"/>
      <c r="B397"/>
      <c r="C397"/>
      <c r="D397"/>
      <c r="E397"/>
      <c r="F397"/>
      <c r="G397"/>
      <c r="H397"/>
      <c r="I397"/>
      <c r="J397"/>
      <c r="K397"/>
      <c r="L397"/>
      <c r="M397"/>
      <c r="N397"/>
      <c r="O397"/>
      <c r="P397"/>
      <c r="Q397"/>
      <c r="R397"/>
      <c r="S397"/>
    </row>
    <row r="398" spans="1:19" ht="15" x14ac:dyDescent="0.2">
      <c r="A398"/>
      <c r="B398"/>
      <c r="C398"/>
      <c r="D398"/>
      <c r="E398"/>
      <c r="F398"/>
      <c r="G398"/>
      <c r="H398"/>
      <c r="I398"/>
      <c r="J398"/>
      <c r="K398"/>
      <c r="L398"/>
      <c r="M398"/>
      <c r="N398"/>
      <c r="O398"/>
      <c r="P398"/>
      <c r="Q398"/>
      <c r="R398"/>
      <c r="S398"/>
    </row>
    <row r="399" spans="1:19" ht="15" x14ac:dyDescent="0.2">
      <c r="A399"/>
      <c r="B399"/>
      <c r="C399"/>
      <c r="D399"/>
      <c r="E399"/>
      <c r="F399"/>
      <c r="G399"/>
      <c r="H399"/>
      <c r="I399"/>
      <c r="J399"/>
      <c r="K399"/>
      <c r="L399"/>
      <c r="M399"/>
      <c r="N399"/>
      <c r="O399"/>
      <c r="P399"/>
      <c r="Q399"/>
      <c r="R399"/>
      <c r="S399"/>
    </row>
    <row r="400" spans="1:19" ht="15" x14ac:dyDescent="0.2">
      <c r="A400"/>
      <c r="B400"/>
      <c r="C400"/>
      <c r="D400"/>
      <c r="E400"/>
      <c r="F400"/>
      <c r="G400"/>
      <c r="H400"/>
      <c r="I400"/>
      <c r="J400"/>
      <c r="K400"/>
      <c r="L400"/>
      <c r="M400"/>
      <c r="N400"/>
      <c r="O400"/>
      <c r="P400"/>
      <c r="Q400"/>
      <c r="R400"/>
      <c r="S400"/>
    </row>
    <row r="401" spans="1:19" ht="15" x14ac:dyDescent="0.2">
      <c r="A401"/>
      <c r="B401"/>
      <c r="C401"/>
      <c r="D401"/>
      <c r="E401"/>
      <c r="F401"/>
      <c r="G401"/>
      <c r="H401"/>
      <c r="I401"/>
      <c r="J401"/>
      <c r="K401"/>
      <c r="L401"/>
      <c r="M401"/>
      <c r="N401"/>
      <c r="O401"/>
      <c r="P401"/>
      <c r="Q401"/>
      <c r="R401"/>
      <c r="S401"/>
    </row>
    <row r="402" spans="1:19" ht="15" x14ac:dyDescent="0.2">
      <c r="A402"/>
      <c r="B402"/>
      <c r="C402"/>
      <c r="D402"/>
      <c r="E402"/>
      <c r="F402"/>
      <c r="G402"/>
      <c r="H402"/>
      <c r="I402"/>
      <c r="J402"/>
      <c r="K402"/>
      <c r="L402"/>
      <c r="M402"/>
      <c r="N402"/>
      <c r="O402"/>
      <c r="P402"/>
      <c r="Q402"/>
      <c r="R402"/>
      <c r="S402"/>
    </row>
    <row r="403" spans="1:19" ht="15" x14ac:dyDescent="0.2">
      <c r="A403"/>
      <c r="B403"/>
      <c r="C403"/>
      <c r="D403"/>
      <c r="E403"/>
      <c r="F403"/>
      <c r="G403"/>
      <c r="H403"/>
      <c r="I403"/>
      <c r="J403"/>
      <c r="K403"/>
      <c r="L403"/>
      <c r="M403"/>
      <c r="N403"/>
      <c r="O403"/>
      <c r="P403"/>
      <c r="Q403"/>
      <c r="R403"/>
      <c r="S403"/>
    </row>
    <row r="404" spans="1:19" ht="15" x14ac:dyDescent="0.2">
      <c r="A404"/>
      <c r="B404"/>
      <c r="C404"/>
      <c r="D404"/>
      <c r="E404"/>
      <c r="F404"/>
      <c r="G404"/>
      <c r="H404"/>
      <c r="I404"/>
      <c r="J404"/>
      <c r="K404"/>
      <c r="L404"/>
      <c r="M404"/>
      <c r="N404"/>
      <c r="O404"/>
      <c r="P404"/>
      <c r="Q404"/>
      <c r="R404"/>
      <c r="S404"/>
    </row>
    <row r="405" spans="1:19" ht="15" x14ac:dyDescent="0.2">
      <c r="A405"/>
      <c r="B405"/>
      <c r="C405"/>
      <c r="D405"/>
      <c r="E405"/>
      <c r="F405"/>
      <c r="G405"/>
      <c r="H405"/>
      <c r="I405"/>
      <c r="J405"/>
      <c r="K405"/>
      <c r="L405"/>
      <c r="M405"/>
      <c r="N405"/>
      <c r="O405"/>
      <c r="P405"/>
      <c r="Q405"/>
      <c r="R405"/>
      <c r="S405"/>
    </row>
    <row r="406" spans="1:19" ht="15" x14ac:dyDescent="0.2">
      <c r="A406"/>
      <c r="B406"/>
      <c r="C406"/>
      <c r="D406"/>
      <c r="E406"/>
      <c r="F406"/>
      <c r="G406"/>
      <c r="H406"/>
      <c r="I406"/>
      <c r="J406"/>
      <c r="K406"/>
      <c r="L406"/>
      <c r="M406"/>
      <c r="N406"/>
      <c r="O406"/>
      <c r="P406"/>
      <c r="Q406"/>
      <c r="R406"/>
      <c r="S406"/>
    </row>
    <row r="407" spans="1:19" ht="15" x14ac:dyDescent="0.2">
      <c r="A407"/>
      <c r="B407"/>
      <c r="C407"/>
      <c r="D407"/>
      <c r="E407"/>
      <c r="F407"/>
      <c r="G407"/>
      <c r="H407"/>
      <c r="I407"/>
      <c r="J407"/>
      <c r="K407"/>
      <c r="L407"/>
      <c r="M407"/>
      <c r="N407"/>
      <c r="O407"/>
      <c r="P407"/>
      <c r="Q407"/>
      <c r="R407"/>
      <c r="S407"/>
    </row>
    <row r="408" spans="1:19" ht="15" x14ac:dyDescent="0.2">
      <c r="A408"/>
      <c r="B408"/>
      <c r="C408"/>
      <c r="D408"/>
      <c r="E408"/>
      <c r="F408"/>
      <c r="G408"/>
      <c r="H408"/>
      <c r="I408"/>
      <c r="J408"/>
      <c r="K408"/>
      <c r="L408"/>
      <c r="M408"/>
      <c r="N408"/>
      <c r="O408"/>
      <c r="P408"/>
      <c r="Q408"/>
      <c r="R408"/>
      <c r="S408"/>
    </row>
    <row r="409" spans="1:19" ht="15" x14ac:dyDescent="0.2">
      <c r="A409"/>
      <c r="B409"/>
      <c r="C409"/>
      <c r="D409"/>
      <c r="E409"/>
      <c r="F409"/>
      <c r="G409"/>
      <c r="H409"/>
      <c r="I409"/>
      <c r="J409"/>
      <c r="K409"/>
      <c r="L409"/>
      <c r="M409"/>
      <c r="N409"/>
      <c r="O409"/>
      <c r="P409"/>
      <c r="Q409"/>
      <c r="R409"/>
      <c r="S409"/>
    </row>
    <row r="410" spans="1:19" ht="15" x14ac:dyDescent="0.2">
      <c r="A410"/>
      <c r="B410"/>
      <c r="C410"/>
      <c r="D410"/>
      <c r="E410"/>
      <c r="F410"/>
      <c r="G410"/>
      <c r="H410"/>
      <c r="I410"/>
      <c r="J410"/>
      <c r="K410"/>
      <c r="L410"/>
      <c r="M410"/>
      <c r="N410"/>
      <c r="O410"/>
      <c r="P410"/>
      <c r="Q410"/>
      <c r="R410"/>
      <c r="S410"/>
    </row>
    <row r="411" spans="1:19" ht="15" x14ac:dyDescent="0.2">
      <c r="A411"/>
      <c r="B411"/>
      <c r="C411"/>
      <c r="D411"/>
      <c r="E411"/>
      <c r="F411"/>
      <c r="G411"/>
      <c r="H411"/>
      <c r="I411"/>
      <c r="J411"/>
      <c r="K411"/>
      <c r="L411"/>
      <c r="M411"/>
      <c r="N411"/>
      <c r="O411"/>
      <c r="P411"/>
      <c r="Q411"/>
      <c r="R411"/>
      <c r="S411"/>
    </row>
    <row r="412" spans="1:19" ht="15" x14ac:dyDescent="0.2">
      <c r="A412"/>
      <c r="B412"/>
      <c r="C412"/>
      <c r="D412"/>
      <c r="E412"/>
      <c r="F412"/>
      <c r="G412"/>
      <c r="H412"/>
      <c r="I412"/>
      <c r="J412"/>
      <c r="K412"/>
      <c r="L412"/>
      <c r="M412"/>
      <c r="N412"/>
      <c r="O412"/>
      <c r="P412"/>
      <c r="Q412"/>
      <c r="R412"/>
      <c r="S412"/>
    </row>
    <row r="413" spans="1:19" ht="15" x14ac:dyDescent="0.2">
      <c r="A413"/>
      <c r="B413"/>
      <c r="C413"/>
      <c r="D413"/>
      <c r="E413"/>
      <c r="F413"/>
      <c r="G413"/>
      <c r="H413"/>
      <c r="I413"/>
      <c r="J413"/>
      <c r="K413"/>
      <c r="L413"/>
      <c r="M413"/>
      <c r="N413"/>
      <c r="O413"/>
      <c r="P413"/>
      <c r="Q413"/>
      <c r="R413"/>
      <c r="S413"/>
    </row>
    <row r="414" spans="1:19" ht="15" x14ac:dyDescent="0.2">
      <c r="A414"/>
      <c r="B414"/>
      <c r="C414"/>
      <c r="D414"/>
      <c r="E414"/>
      <c r="F414"/>
      <c r="G414"/>
      <c r="H414"/>
      <c r="I414"/>
      <c r="J414"/>
      <c r="K414"/>
      <c r="L414"/>
      <c r="M414"/>
      <c r="N414"/>
      <c r="O414"/>
      <c r="P414"/>
      <c r="Q414"/>
      <c r="R414"/>
      <c r="S414"/>
    </row>
    <row r="415" spans="1:19" ht="15" x14ac:dyDescent="0.2">
      <c r="A415"/>
      <c r="B415"/>
      <c r="C415"/>
      <c r="D415"/>
      <c r="E415"/>
      <c r="F415"/>
      <c r="G415"/>
      <c r="H415"/>
      <c r="I415"/>
      <c r="J415"/>
      <c r="K415"/>
      <c r="L415"/>
      <c r="M415"/>
      <c r="N415"/>
      <c r="O415"/>
      <c r="P415"/>
      <c r="Q415"/>
      <c r="R415"/>
      <c r="S415"/>
    </row>
    <row r="416" spans="1:19" ht="15" x14ac:dyDescent="0.2">
      <c r="A416"/>
      <c r="B416"/>
      <c r="C416"/>
      <c r="D416"/>
      <c r="E416"/>
      <c r="F416"/>
      <c r="G416"/>
      <c r="H416"/>
      <c r="I416"/>
      <c r="J416"/>
      <c r="K416"/>
      <c r="L416"/>
      <c r="M416"/>
      <c r="N416"/>
      <c r="O416"/>
      <c r="P416"/>
      <c r="Q416"/>
      <c r="R416"/>
      <c r="S416"/>
    </row>
    <row r="417" spans="1:19" ht="15" x14ac:dyDescent="0.2">
      <c r="A417"/>
      <c r="B417"/>
      <c r="C417"/>
      <c r="D417"/>
      <c r="E417"/>
      <c r="F417"/>
      <c r="G417"/>
      <c r="H417"/>
      <c r="I417"/>
      <c r="J417"/>
      <c r="K417"/>
      <c r="L417"/>
      <c r="M417"/>
      <c r="N417"/>
      <c r="O417"/>
      <c r="P417"/>
      <c r="Q417"/>
      <c r="R417"/>
      <c r="S417"/>
    </row>
    <row r="418" spans="1:19" ht="15" x14ac:dyDescent="0.2">
      <c r="A418"/>
      <c r="B418"/>
      <c r="C418"/>
      <c r="D418"/>
      <c r="E418"/>
      <c r="F418"/>
      <c r="G418"/>
      <c r="H418"/>
      <c r="I418"/>
      <c r="J418"/>
      <c r="K418"/>
      <c r="L418"/>
      <c r="M418"/>
      <c r="N418"/>
      <c r="O418"/>
      <c r="P418"/>
      <c r="Q418"/>
      <c r="R418"/>
      <c r="S418"/>
    </row>
    <row r="419" spans="1:19" ht="15" x14ac:dyDescent="0.2">
      <c r="A419"/>
      <c r="B419"/>
      <c r="C419"/>
      <c r="D419"/>
      <c r="E419"/>
      <c r="F419"/>
      <c r="G419"/>
      <c r="H419"/>
      <c r="I419"/>
      <c r="J419"/>
      <c r="K419"/>
      <c r="L419"/>
      <c r="M419"/>
      <c r="N419"/>
      <c r="O419"/>
      <c r="P419"/>
      <c r="Q419"/>
      <c r="R419"/>
      <c r="S419"/>
    </row>
    <row r="420" spans="1:19" ht="15" x14ac:dyDescent="0.2">
      <c r="A420"/>
      <c r="B420"/>
      <c r="C420"/>
      <c r="D420"/>
      <c r="E420"/>
      <c r="F420"/>
      <c r="G420"/>
      <c r="H420"/>
      <c r="I420"/>
      <c r="J420"/>
      <c r="K420"/>
      <c r="L420"/>
      <c r="M420"/>
      <c r="N420"/>
      <c r="O420"/>
      <c r="P420"/>
      <c r="Q420"/>
      <c r="R420"/>
      <c r="S420"/>
    </row>
    <row r="421" spans="1:19" ht="15" x14ac:dyDescent="0.2">
      <c r="A421"/>
      <c r="B421"/>
      <c r="C421"/>
      <c r="D421"/>
      <c r="E421"/>
      <c r="F421"/>
      <c r="G421"/>
      <c r="H421"/>
      <c r="I421"/>
      <c r="J421"/>
      <c r="K421"/>
      <c r="L421"/>
      <c r="M421"/>
      <c r="N421"/>
      <c r="O421"/>
      <c r="P421"/>
      <c r="Q421"/>
      <c r="R421"/>
      <c r="S421"/>
    </row>
    <row r="422" spans="1:19" ht="15" x14ac:dyDescent="0.2">
      <c r="A422"/>
      <c r="B422"/>
      <c r="C422"/>
      <c r="D422"/>
      <c r="E422"/>
      <c r="F422"/>
      <c r="G422"/>
      <c r="H422"/>
      <c r="I422"/>
      <c r="J422"/>
      <c r="K422"/>
      <c r="L422"/>
      <c r="M422"/>
      <c r="N422"/>
      <c r="O422"/>
      <c r="P422"/>
      <c r="Q422"/>
      <c r="R422"/>
      <c r="S422"/>
    </row>
    <row r="423" spans="1:19" ht="15" x14ac:dyDescent="0.2">
      <c r="A423"/>
      <c r="B423"/>
      <c r="C423"/>
      <c r="D423"/>
      <c r="E423"/>
      <c r="F423"/>
      <c r="G423"/>
      <c r="H423"/>
      <c r="I423"/>
      <c r="J423"/>
      <c r="K423"/>
      <c r="L423"/>
      <c r="M423"/>
      <c r="N423"/>
      <c r="O423"/>
      <c r="P423"/>
      <c r="Q423"/>
      <c r="R423"/>
      <c r="S423"/>
    </row>
    <row r="424" spans="1:19" ht="15" x14ac:dyDescent="0.2">
      <c r="A424"/>
      <c r="B424"/>
      <c r="C424"/>
      <c r="D424"/>
      <c r="E424"/>
      <c r="F424"/>
      <c r="G424"/>
      <c r="H424"/>
      <c r="I424"/>
      <c r="J424"/>
      <c r="K424"/>
      <c r="L424"/>
      <c r="M424"/>
      <c r="N424"/>
      <c r="O424"/>
      <c r="P424"/>
      <c r="Q424"/>
      <c r="R424"/>
      <c r="S424"/>
    </row>
    <row r="425" spans="1:19" ht="15" x14ac:dyDescent="0.2">
      <c r="A425"/>
      <c r="B425"/>
      <c r="C425"/>
      <c r="D425"/>
      <c r="E425"/>
      <c r="F425"/>
      <c r="G425"/>
      <c r="H425"/>
      <c r="I425"/>
      <c r="J425"/>
      <c r="K425"/>
      <c r="L425"/>
      <c r="M425"/>
      <c r="N425"/>
      <c r="O425"/>
      <c r="P425"/>
      <c r="Q425"/>
      <c r="R425"/>
      <c r="S425"/>
    </row>
    <row r="426" spans="1:19" ht="15" x14ac:dyDescent="0.2">
      <c r="A426"/>
      <c r="B426"/>
      <c r="C426"/>
      <c r="D426"/>
      <c r="E426"/>
      <c r="F426"/>
      <c r="G426"/>
      <c r="H426"/>
      <c r="I426"/>
      <c r="J426"/>
      <c r="K426"/>
      <c r="L426"/>
      <c r="M426"/>
      <c r="N426"/>
      <c r="O426"/>
      <c r="P426"/>
      <c r="Q426"/>
      <c r="R426"/>
      <c r="S426"/>
    </row>
    <row r="427" spans="1:19" ht="15" x14ac:dyDescent="0.2">
      <c r="A427"/>
      <c r="B427"/>
      <c r="C427"/>
      <c r="D427"/>
      <c r="E427"/>
      <c r="F427"/>
      <c r="G427"/>
      <c r="H427"/>
      <c r="I427"/>
      <c r="J427"/>
      <c r="K427"/>
      <c r="L427"/>
      <c r="M427"/>
      <c r="N427"/>
      <c r="O427"/>
      <c r="P427"/>
      <c r="Q427"/>
      <c r="R427"/>
      <c r="S427"/>
    </row>
    <row r="428" spans="1:19" ht="15" x14ac:dyDescent="0.2">
      <c r="A428"/>
      <c r="B428"/>
      <c r="C428"/>
      <c r="D428"/>
      <c r="E428"/>
      <c r="F428"/>
      <c r="G428"/>
      <c r="H428"/>
      <c r="I428"/>
      <c r="J428"/>
      <c r="K428"/>
      <c r="L428"/>
      <c r="M428"/>
      <c r="N428"/>
      <c r="O428"/>
      <c r="P428"/>
      <c r="Q428"/>
      <c r="R428"/>
      <c r="S428"/>
    </row>
    <row r="429" spans="1:19" ht="15" x14ac:dyDescent="0.2">
      <c r="A429"/>
      <c r="B429"/>
      <c r="C429"/>
      <c r="D429"/>
      <c r="E429"/>
      <c r="F429"/>
      <c r="G429"/>
      <c r="H429"/>
      <c r="I429"/>
      <c r="J429"/>
      <c r="K429"/>
      <c r="L429"/>
      <c r="M429"/>
      <c r="N429"/>
      <c r="O429"/>
      <c r="P429"/>
      <c r="Q429"/>
      <c r="R429"/>
      <c r="S429"/>
    </row>
    <row r="430" spans="1:19" ht="15" x14ac:dyDescent="0.2">
      <c r="A430"/>
      <c r="B430"/>
      <c r="C430"/>
      <c r="D430"/>
      <c r="E430"/>
      <c r="F430"/>
      <c r="G430"/>
      <c r="H430"/>
      <c r="I430"/>
      <c r="J430"/>
      <c r="K430"/>
      <c r="L430"/>
      <c r="M430"/>
      <c r="N430"/>
      <c r="O430"/>
      <c r="P430"/>
      <c r="Q430"/>
      <c r="R430"/>
      <c r="S430"/>
    </row>
    <row r="431" spans="1:19" ht="15" x14ac:dyDescent="0.2">
      <c r="A431"/>
      <c r="B431"/>
      <c r="C431"/>
      <c r="D431"/>
      <c r="E431"/>
      <c r="F431"/>
      <c r="G431"/>
      <c r="H431"/>
      <c r="I431"/>
      <c r="J431"/>
      <c r="K431"/>
      <c r="L431"/>
      <c r="M431"/>
      <c r="N431"/>
      <c r="O431"/>
      <c r="P431"/>
      <c r="Q431"/>
      <c r="R431"/>
      <c r="S431"/>
    </row>
    <row r="432" spans="1:19" ht="15" x14ac:dyDescent="0.2">
      <c r="A432"/>
      <c r="B432"/>
      <c r="C432"/>
      <c r="D432"/>
      <c r="E432"/>
      <c r="F432"/>
      <c r="G432"/>
      <c r="H432"/>
      <c r="I432"/>
      <c r="J432"/>
      <c r="K432"/>
      <c r="L432"/>
      <c r="M432"/>
      <c r="N432"/>
      <c r="O432"/>
      <c r="P432"/>
      <c r="Q432"/>
      <c r="R432"/>
      <c r="S432"/>
    </row>
    <row r="433" spans="1:19" ht="15" x14ac:dyDescent="0.2">
      <c r="A433"/>
      <c r="B433"/>
      <c r="C433"/>
      <c r="D433"/>
      <c r="E433"/>
      <c r="F433"/>
      <c r="G433"/>
      <c r="H433"/>
      <c r="I433"/>
      <c r="J433"/>
      <c r="K433"/>
      <c r="L433"/>
      <c r="M433"/>
      <c r="N433"/>
      <c r="O433"/>
      <c r="P433"/>
      <c r="Q433"/>
      <c r="R433"/>
      <c r="S433"/>
    </row>
    <row r="434" spans="1:19" ht="15" x14ac:dyDescent="0.2">
      <c r="A434"/>
      <c r="B434"/>
      <c r="C434"/>
      <c r="D434"/>
      <c r="E434"/>
      <c r="F434"/>
      <c r="G434"/>
      <c r="H434"/>
      <c r="I434"/>
      <c r="J434"/>
      <c r="K434"/>
      <c r="L434"/>
      <c r="M434"/>
      <c r="N434"/>
      <c r="O434"/>
      <c r="P434"/>
      <c r="Q434"/>
      <c r="R434"/>
      <c r="S434"/>
    </row>
    <row r="435" spans="1:19" ht="15" x14ac:dyDescent="0.2">
      <c r="A435"/>
      <c r="B435"/>
      <c r="C435"/>
      <c r="D435"/>
      <c r="E435"/>
      <c r="F435"/>
      <c r="G435"/>
      <c r="H435"/>
      <c r="I435"/>
      <c r="J435"/>
      <c r="K435"/>
      <c r="L435"/>
      <c r="M435"/>
      <c r="N435"/>
      <c r="O435"/>
      <c r="P435"/>
      <c r="Q435"/>
      <c r="R435"/>
      <c r="S435"/>
    </row>
    <row r="436" spans="1:19" ht="15" x14ac:dyDescent="0.2">
      <c r="A436"/>
      <c r="B436"/>
      <c r="C436"/>
      <c r="D436"/>
      <c r="E436"/>
      <c r="F436"/>
      <c r="G436"/>
      <c r="H436"/>
      <c r="I436"/>
      <c r="J436"/>
      <c r="K436"/>
      <c r="L436"/>
      <c r="M436"/>
      <c r="N436"/>
      <c r="O436"/>
      <c r="P436"/>
      <c r="Q436"/>
      <c r="R436"/>
      <c r="S436"/>
    </row>
    <row r="437" spans="1:19" ht="15" x14ac:dyDescent="0.2">
      <c r="A437"/>
      <c r="B437"/>
      <c r="C437"/>
      <c r="D437"/>
      <c r="E437"/>
      <c r="F437"/>
      <c r="G437"/>
      <c r="H437"/>
      <c r="I437"/>
      <c r="J437"/>
      <c r="K437"/>
      <c r="L437"/>
      <c r="M437"/>
      <c r="N437"/>
      <c r="O437"/>
      <c r="P437"/>
      <c r="Q437"/>
      <c r="R437"/>
      <c r="S437"/>
    </row>
    <row r="438" spans="1:19" ht="15" x14ac:dyDescent="0.2">
      <c r="A438"/>
      <c r="B438"/>
      <c r="C438"/>
      <c r="D438"/>
      <c r="E438"/>
      <c r="F438"/>
      <c r="G438"/>
      <c r="H438"/>
      <c r="I438"/>
      <c r="J438"/>
      <c r="K438"/>
      <c r="L438"/>
      <c r="M438"/>
      <c r="N438"/>
      <c r="O438"/>
      <c r="P438"/>
      <c r="Q438"/>
      <c r="R438"/>
      <c r="S438"/>
    </row>
    <row r="439" spans="1:19" ht="15" x14ac:dyDescent="0.2">
      <c r="A439"/>
      <c r="B439"/>
      <c r="C439"/>
      <c r="D439"/>
      <c r="E439"/>
      <c r="F439"/>
      <c r="G439"/>
      <c r="H439"/>
      <c r="I439"/>
      <c r="J439"/>
      <c r="K439"/>
      <c r="L439"/>
      <c r="M439"/>
      <c r="N439"/>
      <c r="O439"/>
      <c r="P439"/>
      <c r="Q439"/>
      <c r="R439"/>
      <c r="S439"/>
    </row>
    <row r="440" spans="1:19" ht="15" x14ac:dyDescent="0.2">
      <c r="A440"/>
      <c r="B440"/>
      <c r="C440"/>
      <c r="D440"/>
      <c r="E440"/>
      <c r="F440"/>
      <c r="G440"/>
      <c r="H440"/>
      <c r="I440"/>
      <c r="J440"/>
      <c r="K440"/>
      <c r="L440"/>
      <c r="M440"/>
      <c r="N440"/>
      <c r="O440"/>
      <c r="P440"/>
      <c r="Q440"/>
      <c r="R440"/>
      <c r="S440"/>
    </row>
    <row r="441" spans="1:19" ht="15" x14ac:dyDescent="0.2">
      <c r="A441"/>
      <c r="B441"/>
      <c r="C441"/>
      <c r="D441"/>
      <c r="E441"/>
      <c r="F441"/>
      <c r="G441"/>
      <c r="H441"/>
      <c r="I441"/>
      <c r="J441"/>
      <c r="K441"/>
      <c r="L441"/>
      <c r="M441"/>
      <c r="N441"/>
      <c r="O441"/>
      <c r="P441"/>
      <c r="Q441"/>
      <c r="R441"/>
      <c r="S441"/>
    </row>
    <row r="442" spans="1:19" ht="15" x14ac:dyDescent="0.2">
      <c r="A442"/>
      <c r="B442"/>
      <c r="C442"/>
      <c r="D442"/>
      <c r="E442"/>
      <c r="F442"/>
      <c r="G442"/>
      <c r="H442"/>
      <c r="I442"/>
      <c r="J442"/>
      <c r="K442"/>
      <c r="L442"/>
      <c r="M442"/>
      <c r="N442"/>
      <c r="O442"/>
      <c r="P442"/>
      <c r="Q442"/>
      <c r="R442"/>
      <c r="S442"/>
    </row>
    <row r="443" spans="1:19" ht="15" x14ac:dyDescent="0.2">
      <c r="A443"/>
      <c r="B443"/>
      <c r="C443"/>
      <c r="D443"/>
      <c r="E443"/>
      <c r="F443"/>
      <c r="G443"/>
      <c r="H443"/>
      <c r="I443"/>
      <c r="J443"/>
      <c r="K443"/>
      <c r="L443"/>
      <c r="M443"/>
      <c r="N443"/>
      <c r="O443"/>
      <c r="P443"/>
      <c r="Q443"/>
      <c r="R443"/>
      <c r="S443"/>
    </row>
    <row r="444" spans="1:19" ht="15" x14ac:dyDescent="0.2">
      <c r="A444"/>
      <c r="B444"/>
      <c r="C444"/>
      <c r="D444"/>
      <c r="E444"/>
      <c r="F444"/>
      <c r="G444"/>
      <c r="H444"/>
      <c r="I444"/>
      <c r="J444"/>
      <c r="K444"/>
      <c r="L444"/>
      <c r="M444"/>
      <c r="N444"/>
      <c r="O444"/>
      <c r="P444"/>
      <c r="Q444"/>
      <c r="R444"/>
      <c r="S444"/>
    </row>
    <row r="445" spans="1:19" ht="15" x14ac:dyDescent="0.2">
      <c r="A445"/>
      <c r="B445"/>
      <c r="C445"/>
      <c r="D445"/>
      <c r="E445"/>
      <c r="F445"/>
      <c r="G445"/>
      <c r="H445"/>
      <c r="I445"/>
      <c r="J445"/>
      <c r="K445"/>
      <c r="L445"/>
      <c r="M445"/>
      <c r="N445"/>
      <c r="O445"/>
      <c r="P445"/>
      <c r="Q445"/>
      <c r="R445"/>
      <c r="S445"/>
    </row>
    <row r="446" spans="1:19" ht="15" x14ac:dyDescent="0.2">
      <c r="A446"/>
      <c r="B446"/>
      <c r="C446"/>
      <c r="D446"/>
      <c r="E446"/>
      <c r="F446"/>
      <c r="G446"/>
      <c r="H446"/>
      <c r="I446"/>
      <c r="J446"/>
      <c r="K446"/>
      <c r="L446"/>
      <c r="M446"/>
      <c r="N446"/>
      <c r="O446"/>
      <c r="P446"/>
      <c r="Q446"/>
      <c r="R446"/>
      <c r="S446"/>
    </row>
    <row r="447" spans="1:19" ht="15" x14ac:dyDescent="0.2">
      <c r="A447"/>
      <c r="B447"/>
      <c r="C447"/>
      <c r="D447"/>
      <c r="E447"/>
      <c r="F447"/>
      <c r="G447"/>
      <c r="H447"/>
      <c r="I447"/>
      <c r="J447"/>
      <c r="K447"/>
      <c r="L447"/>
      <c r="M447"/>
      <c r="N447"/>
      <c r="O447"/>
      <c r="P447"/>
      <c r="Q447"/>
      <c r="R447"/>
      <c r="S447"/>
    </row>
    <row r="448" spans="1:19" ht="15" x14ac:dyDescent="0.2">
      <c r="A448"/>
      <c r="B448"/>
      <c r="C448"/>
      <c r="D448"/>
      <c r="E448"/>
      <c r="F448"/>
      <c r="G448"/>
      <c r="H448"/>
      <c r="I448"/>
      <c r="J448"/>
      <c r="K448"/>
      <c r="L448"/>
      <c r="M448"/>
      <c r="N448"/>
      <c r="O448"/>
      <c r="P448"/>
      <c r="Q448"/>
      <c r="R448"/>
      <c r="S448"/>
    </row>
    <row r="449" spans="1:19" ht="15" x14ac:dyDescent="0.2">
      <c r="A449"/>
      <c r="B449"/>
      <c r="C449"/>
      <c r="D449"/>
      <c r="E449"/>
      <c r="F449"/>
      <c r="G449"/>
      <c r="H449"/>
      <c r="I449"/>
      <c r="J449"/>
      <c r="K449"/>
      <c r="L449"/>
      <c r="M449"/>
      <c r="N449"/>
      <c r="O449"/>
      <c r="P449"/>
      <c r="Q449"/>
      <c r="R449"/>
      <c r="S449"/>
    </row>
    <row r="450" spans="1:19" ht="15" x14ac:dyDescent="0.2">
      <c r="A450"/>
      <c r="B450"/>
      <c r="C450"/>
      <c r="D450"/>
      <c r="E450"/>
      <c r="F450"/>
      <c r="G450"/>
      <c r="H450"/>
      <c r="I450"/>
      <c r="J450"/>
      <c r="K450"/>
      <c r="L450"/>
      <c r="M450"/>
      <c r="N450"/>
      <c r="O450"/>
      <c r="P450"/>
      <c r="Q450"/>
      <c r="R450"/>
      <c r="S450"/>
    </row>
    <row r="451" spans="1:19" ht="15" x14ac:dyDescent="0.2">
      <c r="A451"/>
      <c r="B451"/>
      <c r="C451"/>
      <c r="D451"/>
      <c r="E451"/>
      <c r="F451"/>
      <c r="G451"/>
      <c r="H451"/>
      <c r="I451"/>
      <c r="J451"/>
      <c r="K451"/>
      <c r="L451"/>
      <c r="M451"/>
      <c r="N451"/>
      <c r="O451"/>
      <c r="P451"/>
      <c r="Q451"/>
      <c r="R451"/>
      <c r="S451"/>
    </row>
    <row r="452" spans="1:19" ht="15" x14ac:dyDescent="0.2">
      <c r="A452"/>
      <c r="B452"/>
      <c r="C452"/>
      <c r="D452"/>
      <c r="E452"/>
      <c r="F452"/>
      <c r="G452"/>
      <c r="H452"/>
      <c r="I452"/>
      <c r="J452"/>
      <c r="K452"/>
      <c r="L452"/>
      <c r="M452"/>
      <c r="N452"/>
      <c r="O452"/>
      <c r="P452"/>
      <c r="Q452"/>
      <c r="R452"/>
      <c r="S452"/>
    </row>
    <row r="453" spans="1:19" ht="15" x14ac:dyDescent="0.2">
      <c r="A453"/>
      <c r="B453"/>
      <c r="C453"/>
      <c r="D453"/>
      <c r="E453"/>
      <c r="F453"/>
      <c r="G453"/>
      <c r="H453"/>
      <c r="I453"/>
      <c r="J453"/>
      <c r="K453"/>
      <c r="L453"/>
      <c r="M453"/>
      <c r="N453"/>
      <c r="O453"/>
      <c r="P453"/>
      <c r="Q453"/>
      <c r="R453"/>
      <c r="S453"/>
    </row>
    <row r="454" spans="1:19" ht="15" x14ac:dyDescent="0.2">
      <c r="A454"/>
      <c r="B454"/>
      <c r="C454"/>
      <c r="D454"/>
      <c r="E454"/>
      <c r="F454"/>
      <c r="G454"/>
      <c r="H454"/>
      <c r="I454"/>
      <c r="J454"/>
      <c r="K454"/>
      <c r="L454"/>
      <c r="M454"/>
      <c r="N454"/>
      <c r="O454"/>
      <c r="P454"/>
      <c r="Q454"/>
      <c r="R454"/>
      <c r="S454"/>
    </row>
    <row r="455" spans="1:19" ht="15" x14ac:dyDescent="0.2">
      <c r="A455"/>
      <c r="B455"/>
      <c r="C455"/>
      <c r="D455"/>
      <c r="E455"/>
      <c r="F455"/>
      <c r="G455"/>
      <c r="H455"/>
      <c r="I455"/>
      <c r="J455"/>
      <c r="K455"/>
      <c r="L455"/>
      <c r="M455"/>
      <c r="N455"/>
      <c r="O455"/>
      <c r="P455"/>
      <c r="Q455"/>
      <c r="R455"/>
      <c r="S455"/>
    </row>
    <row r="456" spans="1:19" ht="15" x14ac:dyDescent="0.2">
      <c r="A456"/>
      <c r="B456"/>
      <c r="C456"/>
      <c r="D456"/>
      <c r="E456"/>
      <c r="F456"/>
      <c r="G456"/>
      <c r="H456"/>
      <c r="I456"/>
      <c r="J456"/>
      <c r="K456"/>
      <c r="L456"/>
      <c r="M456"/>
      <c r="N456"/>
      <c r="O456"/>
      <c r="P456"/>
      <c r="Q456"/>
      <c r="R456"/>
      <c r="S456"/>
    </row>
    <row r="457" spans="1:19" ht="15" x14ac:dyDescent="0.2">
      <c r="A457"/>
      <c r="B457"/>
      <c r="C457"/>
      <c r="D457"/>
      <c r="E457"/>
      <c r="F457"/>
      <c r="G457"/>
      <c r="H457"/>
      <c r="I457"/>
      <c r="J457"/>
      <c r="K457"/>
      <c r="L457"/>
      <c r="M457"/>
      <c r="N457"/>
      <c r="O457"/>
      <c r="P457"/>
      <c r="Q457"/>
      <c r="R457"/>
      <c r="S457"/>
    </row>
    <row r="458" spans="1:19" ht="15" x14ac:dyDescent="0.2">
      <c r="A458"/>
      <c r="B458"/>
      <c r="C458"/>
      <c r="D458"/>
      <c r="E458"/>
      <c r="F458"/>
      <c r="G458"/>
      <c r="H458"/>
      <c r="I458"/>
      <c r="J458"/>
      <c r="K458"/>
      <c r="L458"/>
      <c r="M458"/>
      <c r="N458"/>
      <c r="O458"/>
      <c r="P458"/>
      <c r="Q458"/>
      <c r="R458"/>
      <c r="S458"/>
    </row>
    <row r="459" spans="1:19" ht="15" x14ac:dyDescent="0.2">
      <c r="A459"/>
      <c r="B459"/>
      <c r="C459"/>
      <c r="D459"/>
      <c r="E459"/>
      <c r="F459"/>
      <c r="G459"/>
      <c r="H459"/>
      <c r="I459"/>
      <c r="J459"/>
      <c r="K459"/>
      <c r="L459"/>
      <c r="M459"/>
      <c r="N459"/>
      <c r="O459"/>
      <c r="P459"/>
      <c r="Q459"/>
      <c r="R459"/>
      <c r="S459"/>
    </row>
    <row r="460" spans="1:19" ht="15" x14ac:dyDescent="0.2">
      <c r="A460"/>
      <c r="B460"/>
      <c r="C460"/>
      <c r="D460"/>
      <c r="E460"/>
      <c r="F460"/>
      <c r="G460"/>
      <c r="H460"/>
      <c r="I460"/>
      <c r="J460"/>
      <c r="K460"/>
      <c r="L460"/>
      <c r="M460"/>
      <c r="N460"/>
      <c r="O460"/>
      <c r="P460"/>
      <c r="Q460"/>
      <c r="R460"/>
      <c r="S460"/>
    </row>
    <row r="461" spans="1:19" ht="15" x14ac:dyDescent="0.2">
      <c r="A461"/>
      <c r="B461"/>
      <c r="C461"/>
      <c r="D461"/>
      <c r="E461"/>
      <c r="F461"/>
      <c r="G461"/>
      <c r="H461"/>
      <c r="I461"/>
      <c r="J461"/>
      <c r="K461"/>
      <c r="L461"/>
      <c r="M461"/>
      <c r="N461"/>
      <c r="O461"/>
      <c r="P461"/>
      <c r="Q461"/>
      <c r="R461"/>
      <c r="S461"/>
    </row>
    <row r="462" spans="1:19" ht="15" x14ac:dyDescent="0.2">
      <c r="A462"/>
      <c r="B462"/>
      <c r="C462"/>
      <c r="D462"/>
      <c r="E462"/>
      <c r="F462"/>
      <c r="G462"/>
      <c r="H462"/>
      <c r="I462"/>
      <c r="J462"/>
      <c r="K462"/>
      <c r="L462"/>
      <c r="M462"/>
      <c r="N462"/>
      <c r="O462"/>
      <c r="P462"/>
      <c r="Q462"/>
      <c r="R462"/>
      <c r="S462"/>
    </row>
    <row r="463" spans="1:19" ht="15" x14ac:dyDescent="0.2">
      <c r="A463"/>
      <c r="B463"/>
      <c r="C463"/>
      <c r="D463"/>
      <c r="E463"/>
      <c r="F463"/>
      <c r="G463"/>
      <c r="H463"/>
      <c r="I463"/>
      <c r="J463"/>
      <c r="K463"/>
      <c r="L463"/>
      <c r="M463"/>
      <c r="N463"/>
      <c r="O463"/>
      <c r="P463"/>
      <c r="Q463"/>
      <c r="R463"/>
      <c r="S463"/>
    </row>
    <row r="464" spans="1:19" ht="15" x14ac:dyDescent="0.2">
      <c r="A464"/>
      <c r="B464"/>
      <c r="C464"/>
      <c r="D464"/>
      <c r="E464"/>
      <c r="F464"/>
      <c r="G464"/>
      <c r="H464"/>
      <c r="I464"/>
      <c r="J464"/>
      <c r="K464"/>
      <c r="L464"/>
      <c r="M464"/>
      <c r="N464"/>
      <c r="O464"/>
      <c r="P464"/>
      <c r="Q464"/>
      <c r="R464"/>
      <c r="S464"/>
    </row>
    <row r="465" spans="1:19" ht="15" x14ac:dyDescent="0.2">
      <c r="A465"/>
      <c r="B465"/>
      <c r="C465"/>
      <c r="D465"/>
      <c r="E465"/>
      <c r="F465"/>
      <c r="G465"/>
      <c r="H465"/>
      <c r="I465"/>
      <c r="J465"/>
      <c r="K465"/>
      <c r="L465"/>
      <c r="M465"/>
      <c r="N465"/>
      <c r="O465"/>
      <c r="P465"/>
      <c r="Q465"/>
      <c r="R465"/>
      <c r="S465"/>
    </row>
    <row r="466" spans="1:19" ht="15" x14ac:dyDescent="0.2">
      <c r="A466"/>
      <c r="B466"/>
      <c r="C466"/>
      <c r="D466"/>
      <c r="E466"/>
      <c r="F466"/>
      <c r="G466"/>
      <c r="H466"/>
      <c r="I466"/>
      <c r="J466"/>
      <c r="K466"/>
      <c r="L466"/>
      <c r="M466"/>
      <c r="N466"/>
      <c r="O466"/>
      <c r="P466"/>
      <c r="Q466"/>
      <c r="R466"/>
      <c r="S466"/>
    </row>
    <row r="467" spans="1:19" ht="15" x14ac:dyDescent="0.2">
      <c r="A467"/>
      <c r="B467"/>
      <c r="C467"/>
      <c r="D467"/>
      <c r="E467"/>
      <c r="F467"/>
      <c r="G467"/>
      <c r="H467"/>
      <c r="I467"/>
      <c r="J467"/>
      <c r="K467"/>
      <c r="L467"/>
      <c r="M467"/>
      <c r="N467"/>
      <c r="O467"/>
      <c r="P467"/>
      <c r="Q467"/>
      <c r="R467"/>
      <c r="S467"/>
    </row>
    <row r="468" spans="1:19" ht="15" x14ac:dyDescent="0.2">
      <c r="A468"/>
      <c r="B468"/>
      <c r="C468"/>
      <c r="D468"/>
      <c r="E468"/>
      <c r="F468"/>
      <c r="G468"/>
      <c r="H468"/>
      <c r="I468"/>
      <c r="J468"/>
      <c r="K468"/>
      <c r="L468"/>
      <c r="M468"/>
      <c r="N468"/>
      <c r="O468"/>
      <c r="P468"/>
      <c r="Q468"/>
      <c r="R468"/>
      <c r="S468"/>
    </row>
    <row r="469" spans="1:19" ht="15" x14ac:dyDescent="0.2">
      <c r="A469"/>
      <c r="B469"/>
      <c r="C469"/>
      <c r="D469"/>
      <c r="E469"/>
      <c r="F469"/>
      <c r="G469"/>
      <c r="H469"/>
      <c r="I469"/>
      <c r="J469"/>
      <c r="K469"/>
      <c r="L469"/>
      <c r="M469"/>
      <c r="N469"/>
      <c r="O469"/>
      <c r="P469"/>
      <c r="Q469"/>
      <c r="R469"/>
      <c r="S469"/>
    </row>
    <row r="470" spans="1:19" ht="15" x14ac:dyDescent="0.2">
      <c r="A470"/>
      <c r="B470"/>
      <c r="C470"/>
      <c r="D470"/>
      <c r="E470"/>
      <c r="F470"/>
      <c r="G470"/>
      <c r="H470"/>
      <c r="I470"/>
      <c r="J470"/>
      <c r="K470"/>
      <c r="L470"/>
      <c r="M470"/>
      <c r="N470"/>
      <c r="O470"/>
      <c r="P470"/>
      <c r="Q470"/>
      <c r="R470"/>
      <c r="S470"/>
    </row>
    <row r="471" spans="1:19" ht="15" x14ac:dyDescent="0.2">
      <c r="A471"/>
      <c r="B471"/>
      <c r="C471"/>
      <c r="D471"/>
      <c r="E471"/>
      <c r="F471"/>
      <c r="G471"/>
      <c r="H471"/>
      <c r="I471"/>
      <c r="J471"/>
      <c r="K471"/>
      <c r="L471"/>
      <c r="M471"/>
      <c r="N471"/>
      <c r="O471"/>
      <c r="P471"/>
      <c r="Q471"/>
      <c r="R471"/>
      <c r="S471"/>
    </row>
    <row r="472" spans="1:19" ht="15" x14ac:dyDescent="0.2">
      <c r="A472"/>
      <c r="B472"/>
      <c r="C472"/>
      <c r="D472"/>
      <c r="E472"/>
      <c r="F472"/>
      <c r="G472"/>
      <c r="H472"/>
      <c r="I472"/>
      <c r="J472"/>
      <c r="K472"/>
      <c r="L472"/>
      <c r="M472"/>
      <c r="N472"/>
      <c r="O472"/>
      <c r="P472"/>
      <c r="Q472"/>
      <c r="R472"/>
      <c r="S472"/>
    </row>
    <row r="473" spans="1:19" ht="15" x14ac:dyDescent="0.2">
      <c r="A473"/>
      <c r="B473"/>
      <c r="C473"/>
      <c r="D473"/>
      <c r="E473"/>
      <c r="F473"/>
      <c r="G473"/>
      <c r="H473"/>
      <c r="I473"/>
      <c r="J473"/>
      <c r="K473"/>
      <c r="L473"/>
      <c r="M473"/>
      <c r="N473"/>
      <c r="O473"/>
      <c r="P473"/>
      <c r="Q473"/>
      <c r="R473"/>
      <c r="S473"/>
    </row>
    <row r="474" spans="1:19" ht="15" x14ac:dyDescent="0.2">
      <c r="A474"/>
      <c r="B474"/>
      <c r="C474"/>
      <c r="D474"/>
      <c r="E474"/>
      <c r="F474"/>
      <c r="G474"/>
      <c r="H474"/>
      <c r="I474"/>
      <c r="J474"/>
      <c r="K474"/>
      <c r="L474"/>
      <c r="M474"/>
      <c r="N474"/>
      <c r="O474"/>
      <c r="P474"/>
      <c r="Q474"/>
      <c r="R474"/>
      <c r="S474"/>
    </row>
    <row r="475" spans="1:19" ht="15" x14ac:dyDescent="0.2">
      <c r="A475"/>
      <c r="B475"/>
      <c r="C475"/>
      <c r="D475"/>
      <c r="E475"/>
      <c r="F475"/>
      <c r="G475"/>
      <c r="H475"/>
      <c r="I475"/>
      <c r="J475"/>
      <c r="K475"/>
      <c r="L475"/>
      <c r="M475"/>
      <c r="N475"/>
      <c r="O475"/>
      <c r="P475"/>
      <c r="Q475"/>
      <c r="R475"/>
      <c r="S475"/>
    </row>
    <row r="476" spans="1:19" ht="15" x14ac:dyDescent="0.2">
      <c r="A476"/>
      <c r="B476"/>
      <c r="C476"/>
      <c r="D476"/>
      <c r="E476"/>
      <c r="F476"/>
      <c r="G476"/>
      <c r="H476"/>
      <c r="I476"/>
      <c r="J476"/>
      <c r="K476"/>
      <c r="L476"/>
      <c r="M476"/>
      <c r="N476"/>
      <c r="O476"/>
      <c r="P476"/>
      <c r="Q476"/>
      <c r="R476"/>
      <c r="S476"/>
    </row>
    <row r="477" spans="1:19" ht="15" x14ac:dyDescent="0.2">
      <c r="A477"/>
      <c r="B477"/>
      <c r="C477"/>
      <c r="D477"/>
      <c r="E477"/>
      <c r="F477"/>
      <c r="G477"/>
      <c r="H477"/>
      <c r="I477"/>
      <c r="J477"/>
      <c r="K477"/>
      <c r="L477"/>
      <c r="M477"/>
      <c r="N477"/>
      <c r="O477"/>
      <c r="P477"/>
      <c r="Q477"/>
      <c r="R477"/>
      <c r="S477"/>
    </row>
    <row r="478" spans="1:19" ht="15" x14ac:dyDescent="0.2">
      <c r="A478"/>
      <c r="B478"/>
      <c r="C478"/>
      <c r="D478"/>
      <c r="E478"/>
      <c r="F478"/>
      <c r="G478"/>
      <c r="H478"/>
      <c r="I478"/>
      <c r="J478"/>
      <c r="K478"/>
      <c r="L478"/>
      <c r="M478"/>
      <c r="N478"/>
      <c r="O478"/>
      <c r="P478"/>
      <c r="Q478"/>
      <c r="R478"/>
      <c r="S478"/>
    </row>
    <row r="479" spans="1:19" ht="15" x14ac:dyDescent="0.2">
      <c r="A479"/>
      <c r="B479"/>
      <c r="C479"/>
      <c r="D479"/>
      <c r="E479"/>
      <c r="F479"/>
      <c r="G479"/>
      <c r="H479"/>
      <c r="I479"/>
      <c r="J479"/>
      <c r="K479"/>
      <c r="L479"/>
      <c r="M479"/>
      <c r="N479"/>
      <c r="O479"/>
      <c r="P479"/>
      <c r="Q479"/>
      <c r="R479"/>
      <c r="S479"/>
    </row>
    <row r="480" spans="1:19" ht="15" x14ac:dyDescent="0.2">
      <c r="A480"/>
      <c r="B480"/>
      <c r="C480"/>
      <c r="D480"/>
      <c r="E480"/>
      <c r="F480"/>
      <c r="G480"/>
      <c r="H480"/>
      <c r="I480"/>
      <c r="J480"/>
      <c r="K480"/>
      <c r="L480"/>
      <c r="M480"/>
      <c r="N480"/>
      <c r="O480"/>
      <c r="P480"/>
      <c r="Q480"/>
      <c r="R480"/>
      <c r="S480"/>
    </row>
    <row r="481" spans="1:19" ht="15" x14ac:dyDescent="0.2">
      <c r="A481"/>
      <c r="B481"/>
      <c r="C481"/>
      <c r="D481"/>
      <c r="E481"/>
      <c r="F481"/>
      <c r="G481"/>
      <c r="H481"/>
      <c r="I481"/>
      <c r="J481"/>
      <c r="K481"/>
      <c r="L481"/>
      <c r="M481"/>
      <c r="N481"/>
      <c r="O481"/>
      <c r="P481"/>
      <c r="Q481"/>
      <c r="R481"/>
      <c r="S481"/>
    </row>
    <row r="482" spans="1:19" ht="15" x14ac:dyDescent="0.2">
      <c r="A482"/>
      <c r="B482"/>
      <c r="C482"/>
      <c r="D482"/>
      <c r="E482"/>
      <c r="F482"/>
      <c r="G482"/>
      <c r="H482"/>
      <c r="I482"/>
      <c r="J482"/>
      <c r="K482"/>
      <c r="L482"/>
      <c r="M482"/>
      <c r="N482"/>
      <c r="O482"/>
      <c r="P482"/>
      <c r="Q482"/>
      <c r="R482"/>
      <c r="S482"/>
    </row>
    <row r="483" spans="1:19" ht="15" x14ac:dyDescent="0.2">
      <c r="A483"/>
      <c r="B483"/>
      <c r="C483"/>
      <c r="D483"/>
      <c r="E483"/>
      <c r="F483"/>
      <c r="G483"/>
      <c r="H483"/>
      <c r="I483"/>
      <c r="J483"/>
      <c r="K483"/>
      <c r="L483"/>
      <c r="M483"/>
      <c r="N483"/>
      <c r="O483"/>
      <c r="P483"/>
      <c r="Q483"/>
      <c r="R483"/>
      <c r="S483"/>
    </row>
    <row r="484" spans="1:19" ht="15" x14ac:dyDescent="0.2">
      <c r="A484"/>
      <c r="B484"/>
      <c r="C484"/>
      <c r="D484"/>
      <c r="E484"/>
      <c r="F484"/>
      <c r="G484"/>
      <c r="H484"/>
      <c r="I484"/>
      <c r="J484"/>
      <c r="K484"/>
      <c r="L484"/>
      <c r="M484"/>
      <c r="N484"/>
      <c r="O484"/>
      <c r="P484"/>
      <c r="Q484"/>
      <c r="R484"/>
      <c r="S484"/>
    </row>
    <row r="485" spans="1:19" ht="15" x14ac:dyDescent="0.2">
      <c r="A485"/>
      <c r="B485"/>
      <c r="C485"/>
      <c r="D485"/>
      <c r="E485"/>
      <c r="F485"/>
      <c r="G485"/>
      <c r="H485"/>
      <c r="I485"/>
      <c r="J485"/>
      <c r="K485"/>
      <c r="L485"/>
      <c r="M485"/>
      <c r="N485"/>
      <c r="O485"/>
      <c r="P485"/>
      <c r="Q485"/>
      <c r="R485"/>
      <c r="S485"/>
    </row>
    <row r="486" spans="1:19" ht="15" x14ac:dyDescent="0.2">
      <c r="A486"/>
      <c r="B486"/>
      <c r="C486"/>
      <c r="D486"/>
      <c r="E486"/>
      <c r="F486"/>
      <c r="G486"/>
      <c r="H486"/>
      <c r="I486"/>
      <c r="J486"/>
      <c r="K486"/>
      <c r="L486"/>
      <c r="M486"/>
      <c r="N486"/>
      <c r="O486"/>
      <c r="P486"/>
      <c r="Q486"/>
      <c r="R486"/>
      <c r="S486"/>
    </row>
    <row r="487" spans="1:19" ht="15" x14ac:dyDescent="0.2">
      <c r="A487"/>
      <c r="B487"/>
      <c r="C487"/>
      <c r="D487"/>
      <c r="E487"/>
      <c r="F487"/>
      <c r="G487"/>
      <c r="H487"/>
      <c r="I487"/>
      <c r="J487"/>
      <c r="K487"/>
      <c r="L487"/>
      <c r="M487"/>
      <c r="N487"/>
      <c r="O487"/>
      <c r="P487"/>
      <c r="Q487"/>
      <c r="R487"/>
      <c r="S487"/>
    </row>
    <row r="488" spans="1:19" ht="15" x14ac:dyDescent="0.2">
      <c r="A488"/>
      <c r="B488"/>
      <c r="C488"/>
      <c r="D488"/>
      <c r="E488"/>
      <c r="F488"/>
      <c r="G488"/>
      <c r="H488"/>
      <c r="I488"/>
      <c r="J488"/>
      <c r="K488"/>
      <c r="L488"/>
      <c r="M488"/>
      <c r="N488"/>
      <c r="O488"/>
      <c r="P488"/>
      <c r="Q488"/>
      <c r="R488"/>
      <c r="S488"/>
    </row>
    <row r="489" spans="1:19" ht="15" x14ac:dyDescent="0.2">
      <c r="A489"/>
      <c r="B489"/>
      <c r="C489"/>
      <c r="D489"/>
      <c r="E489"/>
      <c r="F489"/>
      <c r="G489"/>
      <c r="H489"/>
      <c r="I489"/>
      <c r="J489"/>
      <c r="K489"/>
      <c r="L489"/>
      <c r="M489"/>
      <c r="N489"/>
      <c r="O489"/>
      <c r="P489"/>
      <c r="Q489"/>
      <c r="R489"/>
      <c r="S489"/>
    </row>
    <row r="490" spans="1:19" ht="15" x14ac:dyDescent="0.2">
      <c r="A490"/>
      <c r="B490"/>
      <c r="C490"/>
      <c r="D490"/>
      <c r="E490"/>
      <c r="F490"/>
      <c r="G490"/>
      <c r="H490"/>
      <c r="I490"/>
      <c r="J490"/>
      <c r="K490"/>
      <c r="L490"/>
      <c r="M490"/>
      <c r="N490"/>
      <c r="O490"/>
      <c r="P490"/>
      <c r="Q490"/>
      <c r="R490"/>
      <c r="S490"/>
    </row>
    <row r="491" spans="1:19" ht="15" x14ac:dyDescent="0.2">
      <c r="A491"/>
      <c r="B491"/>
      <c r="C491"/>
      <c r="D491"/>
      <c r="E491"/>
      <c r="F491"/>
      <c r="G491"/>
      <c r="H491"/>
      <c r="I491"/>
      <c r="J491"/>
      <c r="K491"/>
      <c r="L491"/>
      <c r="M491"/>
      <c r="N491"/>
      <c r="O491"/>
      <c r="P491"/>
      <c r="Q491"/>
      <c r="R491"/>
      <c r="S491"/>
    </row>
    <row r="492" spans="1:19" ht="15" x14ac:dyDescent="0.2">
      <c r="A492"/>
      <c r="B492"/>
      <c r="C492"/>
      <c r="D492"/>
      <c r="E492"/>
      <c r="F492"/>
      <c r="G492"/>
      <c r="H492"/>
      <c r="I492"/>
      <c r="J492"/>
      <c r="K492"/>
      <c r="L492"/>
      <c r="M492"/>
      <c r="N492"/>
      <c r="O492"/>
      <c r="P492"/>
      <c r="Q492"/>
      <c r="R492"/>
      <c r="S492"/>
    </row>
    <row r="493" spans="1:19" ht="15" x14ac:dyDescent="0.2">
      <c r="A493"/>
      <c r="B493"/>
      <c r="C493"/>
      <c r="D493"/>
      <c r="E493"/>
      <c r="F493"/>
      <c r="G493"/>
      <c r="H493"/>
      <c r="I493"/>
      <c r="J493"/>
      <c r="K493"/>
      <c r="L493"/>
      <c r="M493"/>
      <c r="N493"/>
      <c r="O493"/>
      <c r="P493"/>
      <c r="Q493"/>
      <c r="R493"/>
      <c r="S493"/>
    </row>
    <row r="494" spans="1:19" ht="15" x14ac:dyDescent="0.2">
      <c r="A494"/>
      <c r="B494"/>
      <c r="C494"/>
      <c r="D494"/>
      <c r="E494"/>
      <c r="F494"/>
      <c r="G494"/>
      <c r="H494"/>
      <c r="I494"/>
      <c r="J494"/>
      <c r="K494"/>
      <c r="L494"/>
      <c r="M494"/>
      <c r="N494"/>
      <c r="O494"/>
      <c r="P494"/>
      <c r="Q494"/>
      <c r="R494"/>
      <c r="S494"/>
    </row>
    <row r="495" spans="1:19" ht="15" x14ac:dyDescent="0.2">
      <c r="A495"/>
      <c r="B495"/>
      <c r="C495"/>
      <c r="D495"/>
      <c r="E495"/>
      <c r="F495"/>
      <c r="G495"/>
      <c r="H495"/>
      <c r="I495"/>
      <c r="J495"/>
      <c r="K495"/>
      <c r="L495"/>
      <c r="M495"/>
      <c r="N495"/>
      <c r="O495"/>
      <c r="P495"/>
      <c r="Q495"/>
      <c r="R495"/>
      <c r="S495"/>
    </row>
    <row r="496" spans="1:19" ht="15" x14ac:dyDescent="0.2">
      <c r="A496"/>
      <c r="B496"/>
      <c r="C496"/>
      <c r="D496"/>
      <c r="E496"/>
      <c r="F496"/>
      <c r="G496"/>
      <c r="H496"/>
      <c r="I496"/>
      <c r="J496"/>
      <c r="K496"/>
      <c r="L496"/>
      <c r="M496"/>
      <c r="N496"/>
      <c r="O496"/>
      <c r="P496"/>
      <c r="Q496"/>
      <c r="R496"/>
      <c r="S496"/>
    </row>
    <row r="497" spans="1:19" ht="15" x14ac:dyDescent="0.2">
      <c r="A497"/>
      <c r="B497"/>
      <c r="C497"/>
      <c r="D497"/>
      <c r="E497"/>
      <c r="F497"/>
      <c r="G497"/>
      <c r="H497"/>
      <c r="I497"/>
      <c r="J497"/>
      <c r="K497"/>
      <c r="L497"/>
      <c r="M497"/>
      <c r="N497"/>
      <c r="O497"/>
      <c r="P497"/>
      <c r="Q497"/>
      <c r="R497"/>
      <c r="S497"/>
    </row>
    <row r="498" spans="1:19" ht="15" x14ac:dyDescent="0.2">
      <c r="A498"/>
      <c r="B498"/>
      <c r="C498"/>
      <c r="D498"/>
      <c r="E498"/>
      <c r="F498"/>
      <c r="G498"/>
      <c r="H498"/>
      <c r="I498"/>
      <c r="J498"/>
      <c r="K498"/>
      <c r="L498"/>
      <c r="M498"/>
      <c r="N498"/>
      <c r="O498"/>
      <c r="P498"/>
      <c r="Q498"/>
      <c r="R498"/>
      <c r="S498"/>
    </row>
    <row r="499" spans="1:19" ht="15" x14ac:dyDescent="0.2">
      <c r="A499"/>
      <c r="B499"/>
      <c r="C499"/>
      <c r="D499"/>
      <c r="E499"/>
      <c r="F499"/>
      <c r="G499"/>
      <c r="H499"/>
      <c r="I499"/>
      <c r="J499"/>
      <c r="K499"/>
      <c r="L499"/>
      <c r="M499"/>
      <c r="N499"/>
      <c r="O499"/>
      <c r="P499"/>
      <c r="Q499"/>
      <c r="R499"/>
      <c r="S499"/>
    </row>
    <row r="500" spans="1:19" ht="15" x14ac:dyDescent="0.2">
      <c r="A500"/>
      <c r="B500"/>
      <c r="C500"/>
      <c r="D500"/>
      <c r="E500"/>
      <c r="F500"/>
      <c r="G500"/>
      <c r="H500"/>
      <c r="I500"/>
      <c r="J500"/>
      <c r="K500"/>
      <c r="L500"/>
      <c r="M500"/>
      <c r="N500"/>
      <c r="O500"/>
      <c r="P500"/>
      <c r="Q500"/>
      <c r="R500"/>
      <c r="S500"/>
    </row>
    <row r="501" spans="1:19" ht="15" x14ac:dyDescent="0.2">
      <c r="A501"/>
      <c r="B501"/>
      <c r="C501"/>
      <c r="D501"/>
      <c r="E501"/>
      <c r="F501"/>
      <c r="G501"/>
      <c r="H501"/>
      <c r="I501"/>
      <c r="J501"/>
      <c r="K501"/>
      <c r="L501"/>
      <c r="M501"/>
      <c r="N501"/>
      <c r="O501"/>
      <c r="P501"/>
      <c r="Q501"/>
      <c r="R501"/>
      <c r="S501"/>
    </row>
    <row r="502" spans="1:19" ht="15" x14ac:dyDescent="0.2">
      <c r="A502"/>
      <c r="B502"/>
      <c r="C502"/>
      <c r="D502"/>
      <c r="E502"/>
      <c r="F502"/>
      <c r="G502"/>
      <c r="H502"/>
      <c r="I502"/>
      <c r="J502"/>
      <c r="K502"/>
      <c r="L502"/>
      <c r="M502"/>
      <c r="N502"/>
      <c r="O502"/>
      <c r="P502"/>
      <c r="Q502"/>
      <c r="R502"/>
      <c r="S502"/>
    </row>
    <row r="503" spans="1:19" ht="15" x14ac:dyDescent="0.2">
      <c r="A503"/>
      <c r="B503"/>
      <c r="C503"/>
      <c r="D503"/>
      <c r="E503"/>
      <c r="F503"/>
      <c r="G503"/>
      <c r="H503"/>
      <c r="I503"/>
      <c r="J503"/>
      <c r="K503"/>
      <c r="L503"/>
      <c r="M503"/>
      <c r="N503"/>
      <c r="O503"/>
      <c r="P503"/>
      <c r="Q503"/>
      <c r="R503"/>
      <c r="S503"/>
    </row>
    <row r="504" spans="1:19" ht="15" x14ac:dyDescent="0.2">
      <c r="A504"/>
      <c r="B504"/>
      <c r="C504"/>
      <c r="D504"/>
      <c r="E504"/>
      <c r="F504"/>
      <c r="G504"/>
      <c r="H504"/>
      <c r="I504"/>
      <c r="J504"/>
      <c r="K504"/>
      <c r="L504"/>
      <c r="M504"/>
      <c r="N504"/>
      <c r="O504"/>
      <c r="P504"/>
      <c r="Q504"/>
      <c r="R504"/>
      <c r="S504"/>
    </row>
    <row r="505" spans="1:19" ht="15" x14ac:dyDescent="0.2">
      <c r="A505"/>
      <c r="B505"/>
      <c r="C505"/>
      <c r="D505"/>
      <c r="E505"/>
      <c r="F505"/>
      <c r="G505"/>
      <c r="H505"/>
      <c r="I505"/>
      <c r="J505"/>
      <c r="K505"/>
      <c r="L505"/>
      <c r="M505"/>
      <c r="N505"/>
      <c r="O505"/>
      <c r="P505"/>
      <c r="Q505"/>
      <c r="R505"/>
      <c r="S505"/>
    </row>
    <row r="506" spans="1:19" ht="15" x14ac:dyDescent="0.2">
      <c r="A506"/>
      <c r="B506"/>
      <c r="C506"/>
      <c r="D506"/>
      <c r="E506"/>
      <c r="F506"/>
      <c r="G506"/>
      <c r="H506"/>
      <c r="I506"/>
      <c r="J506"/>
      <c r="K506"/>
      <c r="L506"/>
      <c r="M506"/>
      <c r="N506"/>
      <c r="O506"/>
      <c r="P506"/>
      <c r="Q506"/>
      <c r="R506"/>
      <c r="S506"/>
    </row>
    <row r="507" spans="1:19" ht="15" x14ac:dyDescent="0.2">
      <c r="A507"/>
      <c r="B507"/>
      <c r="C507"/>
      <c r="D507"/>
      <c r="E507"/>
      <c r="F507"/>
      <c r="G507"/>
      <c r="H507"/>
      <c r="I507"/>
      <c r="J507"/>
      <c r="K507"/>
      <c r="L507"/>
      <c r="M507"/>
      <c r="N507"/>
      <c r="O507"/>
      <c r="P507"/>
      <c r="Q507"/>
      <c r="R507"/>
      <c r="S507"/>
    </row>
    <row r="508" spans="1:19" ht="15" x14ac:dyDescent="0.2">
      <c r="A508"/>
      <c r="B508"/>
      <c r="C508"/>
      <c r="D508"/>
      <c r="E508"/>
      <c r="F508"/>
      <c r="G508"/>
      <c r="H508"/>
      <c r="I508"/>
      <c r="J508"/>
      <c r="K508"/>
      <c r="L508"/>
      <c r="M508"/>
      <c r="N508"/>
      <c r="O508"/>
      <c r="P508"/>
      <c r="Q508"/>
      <c r="R508"/>
      <c r="S508"/>
    </row>
    <row r="509" spans="1:19" ht="15" x14ac:dyDescent="0.2">
      <c r="A509"/>
      <c r="B509"/>
      <c r="C509"/>
      <c r="D509"/>
      <c r="E509"/>
      <c r="F509"/>
      <c r="G509"/>
      <c r="H509"/>
      <c r="I509"/>
      <c r="J509"/>
      <c r="K509"/>
      <c r="L509"/>
      <c r="M509"/>
      <c r="N509"/>
      <c r="O509"/>
      <c r="P509"/>
      <c r="Q509"/>
      <c r="R509"/>
      <c r="S509"/>
    </row>
    <row r="510" spans="1:19" ht="15" x14ac:dyDescent="0.2">
      <c r="A510"/>
      <c r="B510"/>
      <c r="C510"/>
      <c r="D510"/>
      <c r="E510"/>
      <c r="F510"/>
      <c r="G510"/>
      <c r="H510"/>
      <c r="I510"/>
      <c r="J510"/>
      <c r="K510"/>
      <c r="L510"/>
      <c r="M510"/>
      <c r="N510"/>
      <c r="O510"/>
      <c r="P510"/>
      <c r="Q510"/>
      <c r="R510"/>
      <c r="S510"/>
    </row>
    <row r="511" spans="1:19" ht="15" x14ac:dyDescent="0.2">
      <c r="A511"/>
      <c r="B511"/>
      <c r="C511"/>
      <c r="D511"/>
      <c r="E511"/>
      <c r="F511"/>
      <c r="G511"/>
      <c r="H511"/>
      <c r="I511"/>
      <c r="J511"/>
      <c r="K511"/>
      <c r="L511"/>
      <c r="M511"/>
      <c r="N511"/>
      <c r="O511"/>
      <c r="P511"/>
      <c r="Q511"/>
      <c r="R511"/>
      <c r="S511"/>
    </row>
    <row r="512" spans="1:19" ht="15" x14ac:dyDescent="0.2">
      <c r="A512"/>
      <c r="B512"/>
      <c r="C512"/>
      <c r="D512"/>
      <c r="E512"/>
      <c r="F512"/>
      <c r="G512"/>
      <c r="H512"/>
      <c r="I512"/>
      <c r="J512"/>
      <c r="K512"/>
      <c r="L512"/>
      <c r="M512"/>
      <c r="N512"/>
      <c r="O512"/>
      <c r="P512"/>
      <c r="Q512"/>
      <c r="R512"/>
      <c r="S512"/>
    </row>
    <row r="513" spans="1:19" ht="15" x14ac:dyDescent="0.2">
      <c r="A513"/>
      <c r="B513"/>
      <c r="C513"/>
      <c r="D513"/>
      <c r="E513"/>
      <c r="F513"/>
      <c r="G513"/>
      <c r="H513"/>
      <c r="I513"/>
      <c r="J513"/>
      <c r="K513"/>
      <c r="L513"/>
      <c r="M513"/>
      <c r="N513"/>
      <c r="O513"/>
      <c r="P513"/>
      <c r="Q513"/>
      <c r="R513"/>
      <c r="S513"/>
    </row>
    <row r="514" spans="1:19" ht="15" x14ac:dyDescent="0.2">
      <c r="A514"/>
      <c r="B514"/>
      <c r="C514"/>
      <c r="D514"/>
      <c r="E514"/>
      <c r="F514"/>
      <c r="G514"/>
      <c r="H514"/>
      <c r="I514"/>
      <c r="J514"/>
      <c r="K514"/>
      <c r="L514"/>
      <c r="M514"/>
      <c r="N514"/>
      <c r="O514"/>
      <c r="P514"/>
      <c r="Q514"/>
      <c r="R514"/>
      <c r="S514"/>
    </row>
    <row r="515" spans="1:19" ht="15" x14ac:dyDescent="0.2">
      <c r="A515"/>
      <c r="B515"/>
      <c r="C515"/>
      <c r="D515"/>
      <c r="E515"/>
      <c r="F515"/>
      <c r="G515"/>
      <c r="H515"/>
      <c r="I515"/>
      <c r="J515"/>
      <c r="K515"/>
      <c r="L515"/>
      <c r="M515"/>
      <c r="N515"/>
      <c r="O515"/>
      <c r="P515"/>
      <c r="Q515"/>
      <c r="R515"/>
      <c r="S515"/>
    </row>
    <row r="516" spans="1:19" ht="15" x14ac:dyDescent="0.2">
      <c r="A516"/>
      <c r="B516"/>
      <c r="C516"/>
      <c r="D516"/>
      <c r="E516"/>
      <c r="F516"/>
      <c r="G516"/>
      <c r="H516"/>
      <c r="I516"/>
      <c r="J516"/>
      <c r="K516"/>
      <c r="L516"/>
      <c r="M516"/>
      <c r="N516"/>
      <c r="O516"/>
      <c r="P516"/>
      <c r="Q516"/>
      <c r="R516"/>
      <c r="S516"/>
    </row>
    <row r="517" spans="1:19" ht="15" x14ac:dyDescent="0.2">
      <c r="A517"/>
      <c r="B517"/>
      <c r="C517"/>
      <c r="D517"/>
      <c r="E517"/>
      <c r="F517"/>
      <c r="G517"/>
      <c r="H517"/>
      <c r="I517"/>
      <c r="J517"/>
      <c r="K517"/>
      <c r="L517"/>
      <c r="M517"/>
      <c r="N517"/>
      <c r="O517"/>
      <c r="P517"/>
      <c r="Q517"/>
      <c r="R517"/>
      <c r="S517"/>
    </row>
    <row r="518" spans="1:19" ht="15" x14ac:dyDescent="0.2">
      <c r="A518"/>
      <c r="B518"/>
      <c r="C518"/>
      <c r="D518"/>
      <c r="E518"/>
      <c r="F518"/>
      <c r="G518"/>
      <c r="H518"/>
      <c r="I518"/>
      <c r="J518"/>
      <c r="K518"/>
      <c r="L518"/>
      <c r="M518"/>
      <c r="N518"/>
      <c r="O518"/>
      <c r="P518"/>
      <c r="Q518"/>
      <c r="R518"/>
      <c r="S518"/>
    </row>
    <row r="519" spans="1:19" ht="15" x14ac:dyDescent="0.2">
      <c r="A519"/>
      <c r="B519"/>
      <c r="C519"/>
      <c r="D519"/>
      <c r="E519"/>
      <c r="F519"/>
      <c r="G519"/>
      <c r="H519"/>
      <c r="I519"/>
      <c r="J519"/>
      <c r="K519"/>
      <c r="L519"/>
      <c r="M519"/>
      <c r="N519"/>
      <c r="O519"/>
      <c r="P519"/>
      <c r="Q519"/>
      <c r="R519"/>
      <c r="S519"/>
    </row>
    <row r="520" spans="1:19" ht="15" x14ac:dyDescent="0.2">
      <c r="A520"/>
      <c r="B520"/>
      <c r="C520"/>
      <c r="D520"/>
      <c r="E520"/>
      <c r="F520"/>
      <c r="G520"/>
      <c r="H520"/>
      <c r="I520"/>
      <c r="J520"/>
      <c r="K520"/>
      <c r="L520"/>
      <c r="M520"/>
      <c r="N520"/>
      <c r="O520"/>
      <c r="P520"/>
      <c r="Q520"/>
      <c r="R520"/>
      <c r="S520"/>
    </row>
    <row r="521" spans="1:19" ht="15" x14ac:dyDescent="0.2">
      <c r="A521"/>
      <c r="B521"/>
      <c r="C521"/>
      <c r="D521"/>
      <c r="E521"/>
      <c r="F521"/>
      <c r="G521"/>
      <c r="H521"/>
      <c r="I521"/>
      <c r="J521"/>
      <c r="K521"/>
      <c r="L521"/>
      <c r="M521"/>
      <c r="N521"/>
      <c r="O521"/>
      <c r="P521"/>
      <c r="Q521"/>
      <c r="R521"/>
      <c r="S521"/>
    </row>
    <row r="522" spans="1:19" ht="15" x14ac:dyDescent="0.2">
      <c r="A522"/>
      <c r="B522"/>
      <c r="C522"/>
      <c r="D522"/>
      <c r="E522"/>
      <c r="F522"/>
      <c r="G522"/>
      <c r="H522"/>
      <c r="I522"/>
      <c r="J522"/>
      <c r="K522"/>
      <c r="L522"/>
      <c r="M522"/>
      <c r="N522"/>
      <c r="O522"/>
      <c r="P522"/>
      <c r="Q522"/>
      <c r="R522"/>
      <c r="S522"/>
    </row>
    <row r="523" spans="1:19" ht="15" x14ac:dyDescent="0.2">
      <c r="A523"/>
      <c r="B523"/>
      <c r="C523"/>
      <c r="D523"/>
      <c r="E523"/>
      <c r="F523"/>
      <c r="G523"/>
      <c r="H523"/>
      <c r="I523"/>
      <c r="J523"/>
      <c r="K523"/>
      <c r="L523"/>
      <c r="M523"/>
      <c r="N523"/>
      <c r="O523"/>
      <c r="P523"/>
      <c r="Q523"/>
      <c r="R523"/>
      <c r="S523"/>
    </row>
    <row r="524" spans="1:19" ht="15" x14ac:dyDescent="0.2">
      <c r="A524"/>
      <c r="B524"/>
      <c r="C524"/>
      <c r="D524"/>
      <c r="E524"/>
      <c r="F524"/>
      <c r="G524"/>
      <c r="H524"/>
      <c r="I524"/>
      <c r="J524"/>
      <c r="K524"/>
      <c r="L524"/>
      <c r="M524"/>
      <c r="N524"/>
      <c r="O524"/>
      <c r="P524"/>
      <c r="Q524"/>
      <c r="R524"/>
      <c r="S524"/>
    </row>
    <row r="525" spans="1:19" ht="15" x14ac:dyDescent="0.2">
      <c r="A525"/>
      <c r="B525"/>
      <c r="C525"/>
      <c r="D525"/>
      <c r="E525"/>
      <c r="F525"/>
      <c r="G525"/>
      <c r="H525"/>
      <c r="I525"/>
      <c r="J525"/>
      <c r="K525"/>
      <c r="L525"/>
      <c r="M525"/>
      <c r="N525"/>
      <c r="O525"/>
      <c r="P525"/>
      <c r="Q525"/>
      <c r="R525"/>
      <c r="S525"/>
    </row>
    <row r="526" spans="1:19" ht="15" x14ac:dyDescent="0.2">
      <c r="A526"/>
      <c r="B526"/>
      <c r="C526"/>
      <c r="D526"/>
      <c r="E526"/>
      <c r="F526"/>
      <c r="G526"/>
      <c r="H526"/>
      <c r="I526"/>
      <c r="J526"/>
      <c r="K526"/>
      <c r="L526"/>
      <c r="M526"/>
      <c r="N526"/>
      <c r="O526"/>
      <c r="P526"/>
      <c r="Q526"/>
      <c r="R526"/>
      <c r="S526"/>
    </row>
    <row r="527" spans="1:19" ht="15" x14ac:dyDescent="0.2">
      <c r="A527"/>
      <c r="B527"/>
      <c r="C527"/>
      <c r="D527"/>
      <c r="E527"/>
      <c r="F527"/>
      <c r="G527"/>
      <c r="H527"/>
      <c r="I527"/>
      <c r="J527"/>
      <c r="K527"/>
      <c r="L527"/>
      <c r="M527"/>
      <c r="N527"/>
      <c r="O527"/>
      <c r="P527"/>
      <c r="Q527"/>
      <c r="R527"/>
      <c r="S527"/>
    </row>
    <row r="528" spans="1:19" ht="15" x14ac:dyDescent="0.2">
      <c r="A528"/>
      <c r="B528"/>
      <c r="C528"/>
      <c r="D528"/>
      <c r="E528"/>
      <c r="F528"/>
      <c r="G528"/>
      <c r="H528"/>
      <c r="I528"/>
      <c r="J528"/>
      <c r="K528"/>
      <c r="L528"/>
      <c r="M528"/>
      <c r="N528"/>
      <c r="O528"/>
      <c r="P528"/>
      <c r="Q528"/>
      <c r="R528"/>
      <c r="S528"/>
    </row>
    <row r="529" spans="1:19" ht="15" x14ac:dyDescent="0.2">
      <c r="A529"/>
      <c r="B529"/>
      <c r="C529"/>
      <c r="D529"/>
      <c r="E529"/>
      <c r="F529"/>
      <c r="G529"/>
      <c r="H529"/>
      <c r="I529"/>
      <c r="J529"/>
      <c r="K529"/>
      <c r="L529"/>
      <c r="M529"/>
      <c r="N529"/>
      <c r="O529"/>
      <c r="P529"/>
      <c r="Q529"/>
      <c r="R529"/>
      <c r="S529"/>
    </row>
    <row r="530" spans="1:19" ht="15" x14ac:dyDescent="0.2">
      <c r="A530"/>
      <c r="B530"/>
      <c r="C530"/>
      <c r="D530"/>
      <c r="E530"/>
      <c r="F530"/>
      <c r="G530"/>
      <c r="H530"/>
      <c r="I530"/>
      <c r="J530"/>
      <c r="K530"/>
      <c r="L530"/>
      <c r="M530"/>
      <c r="N530"/>
      <c r="O530"/>
      <c r="P530"/>
      <c r="Q530"/>
      <c r="R530"/>
      <c r="S530"/>
    </row>
    <row r="531" spans="1:19" ht="15" x14ac:dyDescent="0.2">
      <c r="A531"/>
      <c r="B531"/>
      <c r="C531"/>
      <c r="D531"/>
      <c r="E531"/>
      <c r="F531"/>
      <c r="G531"/>
      <c r="H531"/>
      <c r="I531"/>
      <c r="J531"/>
      <c r="K531"/>
      <c r="L531"/>
      <c r="M531"/>
      <c r="N531"/>
      <c r="O531"/>
      <c r="P531"/>
      <c r="Q531"/>
      <c r="R531"/>
      <c r="S531"/>
    </row>
    <row r="532" spans="1:19" ht="15" x14ac:dyDescent="0.2">
      <c r="A532"/>
      <c r="B532"/>
      <c r="C532"/>
      <c r="D532"/>
      <c r="E532"/>
      <c r="F532"/>
      <c r="G532"/>
      <c r="H532"/>
      <c r="I532"/>
      <c r="J532"/>
      <c r="K532"/>
      <c r="L532"/>
      <c r="M532"/>
      <c r="N532"/>
      <c r="O532"/>
      <c r="P532"/>
      <c r="Q532"/>
      <c r="R532"/>
      <c r="S532"/>
    </row>
    <row r="533" spans="1:19" ht="15" x14ac:dyDescent="0.2">
      <c r="A533"/>
      <c r="B533"/>
      <c r="C533"/>
      <c r="D533"/>
      <c r="E533"/>
      <c r="F533"/>
      <c r="G533"/>
      <c r="H533"/>
      <c r="I533"/>
      <c r="J533"/>
      <c r="K533"/>
      <c r="L533"/>
      <c r="M533"/>
      <c r="N533"/>
      <c r="O533"/>
      <c r="P533"/>
      <c r="Q533"/>
      <c r="R533"/>
      <c r="S533"/>
    </row>
    <row r="534" spans="1:19" ht="15" x14ac:dyDescent="0.2">
      <c r="A534"/>
      <c r="B534"/>
      <c r="C534"/>
      <c r="D534"/>
      <c r="E534"/>
      <c r="F534"/>
      <c r="G534"/>
      <c r="H534"/>
      <c r="I534"/>
      <c r="J534"/>
      <c r="K534"/>
      <c r="L534"/>
      <c r="M534"/>
      <c r="N534"/>
      <c r="O534"/>
      <c r="P534"/>
      <c r="Q534"/>
      <c r="R534"/>
      <c r="S534"/>
    </row>
    <row r="535" spans="1:19" ht="15" x14ac:dyDescent="0.2">
      <c r="A535"/>
      <c r="B535"/>
      <c r="C535"/>
      <c r="D535"/>
      <c r="E535"/>
      <c r="F535"/>
      <c r="G535"/>
      <c r="H535"/>
      <c r="I535"/>
      <c r="J535"/>
      <c r="K535"/>
      <c r="L535"/>
      <c r="M535"/>
      <c r="N535"/>
      <c r="O535"/>
      <c r="P535"/>
      <c r="Q535"/>
      <c r="R535"/>
      <c r="S535"/>
    </row>
    <row r="536" spans="1:19" ht="15" x14ac:dyDescent="0.2">
      <c r="A536"/>
      <c r="B536"/>
      <c r="C536"/>
      <c r="D536"/>
      <c r="E536"/>
      <c r="F536"/>
      <c r="G536"/>
      <c r="H536"/>
      <c r="I536"/>
      <c r="J536"/>
      <c r="K536"/>
      <c r="L536"/>
      <c r="M536"/>
      <c r="N536"/>
      <c r="O536"/>
      <c r="P536"/>
      <c r="Q536"/>
      <c r="R536"/>
      <c r="S536"/>
    </row>
    <row r="537" spans="1:19" ht="15" x14ac:dyDescent="0.2">
      <c r="A537"/>
      <c r="B537"/>
      <c r="C537"/>
      <c r="D537"/>
      <c r="E537"/>
      <c r="F537"/>
      <c r="G537"/>
      <c r="H537"/>
      <c r="I537"/>
      <c r="J537"/>
      <c r="K537"/>
      <c r="L537"/>
      <c r="M537"/>
      <c r="N537"/>
      <c r="O537"/>
      <c r="P537"/>
      <c r="Q537"/>
      <c r="R537"/>
      <c r="S537"/>
    </row>
    <row r="538" spans="1:19" ht="15" x14ac:dyDescent="0.2">
      <c r="A538"/>
      <c r="B538"/>
      <c r="C538"/>
      <c r="D538"/>
      <c r="E538"/>
      <c r="F538"/>
      <c r="G538"/>
      <c r="H538"/>
      <c r="I538"/>
      <c r="J538"/>
      <c r="K538"/>
      <c r="L538"/>
      <c r="M538"/>
      <c r="N538"/>
      <c r="O538"/>
      <c r="P538"/>
      <c r="Q538"/>
      <c r="R538"/>
      <c r="S538"/>
    </row>
    <row r="539" spans="1:19" ht="15" x14ac:dyDescent="0.2">
      <c r="A539"/>
      <c r="B539"/>
      <c r="C539"/>
      <c r="D539"/>
      <c r="E539"/>
      <c r="F539"/>
      <c r="G539"/>
      <c r="H539"/>
      <c r="I539"/>
      <c r="J539"/>
      <c r="K539"/>
      <c r="L539"/>
      <c r="M539"/>
      <c r="N539"/>
      <c r="O539"/>
      <c r="P539"/>
      <c r="Q539"/>
      <c r="R539"/>
      <c r="S539"/>
    </row>
    <row r="540" spans="1:19" ht="15" x14ac:dyDescent="0.2">
      <c r="A540"/>
      <c r="B540"/>
      <c r="C540"/>
      <c r="D540"/>
      <c r="E540"/>
      <c r="F540"/>
      <c r="G540"/>
      <c r="H540"/>
      <c r="I540"/>
      <c r="J540"/>
      <c r="K540"/>
      <c r="L540"/>
      <c r="M540"/>
      <c r="N540"/>
      <c r="O540"/>
      <c r="P540"/>
      <c r="Q540"/>
      <c r="R540"/>
      <c r="S540"/>
    </row>
    <row r="541" spans="1:19" ht="15" x14ac:dyDescent="0.2">
      <c r="A541"/>
      <c r="B541"/>
      <c r="C541"/>
      <c r="D541"/>
      <c r="E541"/>
      <c r="F541"/>
      <c r="G541"/>
      <c r="H541"/>
      <c r="I541"/>
      <c r="J541"/>
      <c r="K541"/>
      <c r="L541"/>
      <c r="M541"/>
      <c r="N541"/>
      <c r="O541"/>
      <c r="P541"/>
      <c r="Q541"/>
      <c r="R541"/>
      <c r="S541"/>
    </row>
    <row r="542" spans="1:19" ht="15" x14ac:dyDescent="0.2">
      <c r="A542"/>
      <c r="B542"/>
      <c r="C542"/>
      <c r="D542"/>
      <c r="E542"/>
      <c r="F542"/>
      <c r="G542"/>
      <c r="H542"/>
      <c r="I542"/>
      <c r="J542"/>
      <c r="K542"/>
      <c r="L542"/>
      <c r="M542"/>
      <c r="N542"/>
      <c r="O542"/>
      <c r="P542"/>
      <c r="Q542"/>
      <c r="R542"/>
      <c r="S542"/>
    </row>
    <row r="543" spans="1:19" ht="15" x14ac:dyDescent="0.2">
      <c r="A543"/>
      <c r="B543"/>
      <c r="C543"/>
      <c r="D543"/>
      <c r="E543"/>
      <c r="F543"/>
      <c r="G543"/>
      <c r="H543"/>
      <c r="I543"/>
      <c r="J543"/>
      <c r="K543"/>
      <c r="L543"/>
      <c r="M543"/>
      <c r="N543"/>
      <c r="O543"/>
      <c r="P543"/>
      <c r="Q543"/>
      <c r="R543"/>
      <c r="S543"/>
    </row>
    <row r="544" spans="1:19" ht="15" x14ac:dyDescent="0.2">
      <c r="A544"/>
      <c r="B544"/>
      <c r="C544"/>
      <c r="D544"/>
      <c r="E544"/>
      <c r="F544"/>
      <c r="G544"/>
      <c r="H544"/>
      <c r="I544"/>
      <c r="J544"/>
      <c r="K544"/>
      <c r="L544"/>
      <c r="M544"/>
      <c r="N544"/>
      <c r="O544"/>
      <c r="P544"/>
      <c r="Q544"/>
      <c r="R544"/>
      <c r="S544"/>
    </row>
    <row r="545" spans="1:19" ht="15" x14ac:dyDescent="0.2">
      <c r="A545"/>
      <c r="B545"/>
      <c r="C545"/>
      <c r="D545"/>
      <c r="E545"/>
      <c r="F545"/>
      <c r="G545"/>
      <c r="H545"/>
      <c r="I545"/>
      <c r="J545"/>
      <c r="K545"/>
      <c r="L545"/>
      <c r="M545"/>
      <c r="N545"/>
      <c r="O545"/>
      <c r="P545"/>
      <c r="Q545"/>
      <c r="R545"/>
      <c r="S545"/>
    </row>
    <row r="546" spans="1:19" ht="15" x14ac:dyDescent="0.2">
      <c r="A546"/>
      <c r="B546"/>
      <c r="C546"/>
      <c r="D546"/>
      <c r="E546"/>
      <c r="F546"/>
      <c r="G546"/>
      <c r="H546"/>
      <c r="I546"/>
      <c r="J546"/>
      <c r="K546"/>
      <c r="L546"/>
      <c r="M546"/>
      <c r="N546"/>
      <c r="O546"/>
      <c r="P546"/>
      <c r="Q546"/>
      <c r="R546"/>
      <c r="S546"/>
    </row>
    <row r="547" spans="1:19" ht="15" x14ac:dyDescent="0.2">
      <c r="A547"/>
      <c r="B547"/>
      <c r="C547"/>
      <c r="D547"/>
      <c r="E547"/>
      <c r="F547"/>
      <c r="G547"/>
      <c r="H547"/>
      <c r="I547"/>
      <c r="J547"/>
      <c r="K547"/>
      <c r="L547"/>
      <c r="M547"/>
      <c r="N547"/>
      <c r="O547"/>
      <c r="P547"/>
      <c r="Q547"/>
      <c r="R547"/>
      <c r="S547"/>
    </row>
    <row r="548" spans="1:19" ht="15" x14ac:dyDescent="0.2">
      <c r="A548"/>
      <c r="B548"/>
      <c r="C548"/>
      <c r="D548"/>
      <c r="E548"/>
      <c r="F548"/>
      <c r="G548"/>
      <c r="H548"/>
      <c r="I548"/>
      <c r="J548"/>
      <c r="K548"/>
      <c r="L548"/>
      <c r="M548"/>
      <c r="N548"/>
      <c r="O548"/>
      <c r="P548"/>
      <c r="Q548"/>
      <c r="R548"/>
      <c r="S548"/>
    </row>
    <row r="549" spans="1:19" ht="15" x14ac:dyDescent="0.2">
      <c r="A549"/>
      <c r="B549"/>
      <c r="C549"/>
      <c r="D549"/>
      <c r="E549"/>
      <c r="F549"/>
      <c r="G549"/>
      <c r="H549"/>
      <c r="I549"/>
      <c r="J549"/>
      <c r="K549"/>
      <c r="L549"/>
      <c r="M549"/>
      <c r="N549"/>
      <c r="O549"/>
      <c r="P549"/>
      <c r="Q549"/>
      <c r="R549"/>
      <c r="S549"/>
    </row>
    <row r="550" spans="1:19" ht="15" x14ac:dyDescent="0.2">
      <c r="A550"/>
      <c r="B550"/>
      <c r="C550"/>
      <c r="D550"/>
      <c r="E550"/>
      <c r="F550"/>
      <c r="G550"/>
      <c r="H550"/>
      <c r="I550"/>
      <c r="J550"/>
      <c r="K550"/>
      <c r="L550"/>
      <c r="M550"/>
      <c r="N550"/>
      <c r="O550"/>
      <c r="P550"/>
      <c r="Q550"/>
      <c r="R550"/>
      <c r="S550"/>
    </row>
    <row r="551" spans="1:19" ht="15" x14ac:dyDescent="0.2">
      <c r="A551"/>
      <c r="B551"/>
      <c r="C551"/>
      <c r="D551"/>
      <c r="E551"/>
      <c r="F551"/>
      <c r="G551"/>
      <c r="H551"/>
      <c r="I551"/>
      <c r="J551"/>
      <c r="K551"/>
      <c r="L551"/>
      <c r="M551"/>
      <c r="N551"/>
      <c r="O551"/>
      <c r="P551"/>
      <c r="Q551"/>
      <c r="R551"/>
      <c r="S551"/>
    </row>
    <row r="552" spans="1:19" ht="15" x14ac:dyDescent="0.2">
      <c r="A552"/>
      <c r="B552"/>
      <c r="C552"/>
      <c r="D552"/>
      <c r="E552"/>
      <c r="F552"/>
      <c r="G552"/>
      <c r="H552"/>
      <c r="I552"/>
      <c r="J552"/>
      <c r="K552"/>
      <c r="L552"/>
      <c r="M552"/>
      <c r="N552"/>
      <c r="O552"/>
      <c r="P552"/>
      <c r="Q552"/>
      <c r="R552"/>
      <c r="S552"/>
    </row>
    <row r="553" spans="1:19" ht="15" x14ac:dyDescent="0.2">
      <c r="A553"/>
      <c r="B553"/>
      <c r="C553"/>
      <c r="D553"/>
      <c r="E553"/>
      <c r="F553"/>
      <c r="G553"/>
      <c r="H553"/>
      <c r="I553"/>
      <c r="J553"/>
      <c r="K553"/>
      <c r="L553"/>
      <c r="M553"/>
      <c r="N553"/>
      <c r="O553"/>
      <c r="P553"/>
      <c r="Q553"/>
      <c r="R553"/>
      <c r="S553"/>
    </row>
    <row r="554" spans="1:19" ht="15" x14ac:dyDescent="0.2">
      <c r="A554"/>
      <c r="B554"/>
      <c r="C554"/>
      <c r="D554"/>
      <c r="E554"/>
      <c r="F554"/>
      <c r="G554"/>
      <c r="H554"/>
      <c r="I554"/>
      <c r="J554"/>
      <c r="K554"/>
      <c r="L554"/>
      <c r="M554"/>
      <c r="N554"/>
      <c r="O554"/>
      <c r="P554"/>
      <c r="Q554"/>
      <c r="R554"/>
      <c r="S554"/>
    </row>
    <row r="555" spans="1:19" ht="15" x14ac:dyDescent="0.2">
      <c r="A555"/>
      <c r="B555"/>
      <c r="C555"/>
      <c r="D555"/>
      <c r="E555"/>
      <c r="F555"/>
      <c r="G555"/>
      <c r="H555"/>
      <c r="I555"/>
      <c r="J555"/>
      <c r="K555"/>
      <c r="L555"/>
      <c r="M555"/>
      <c r="N555"/>
      <c r="O555"/>
      <c r="P555"/>
      <c r="Q555"/>
      <c r="R555"/>
      <c r="S555"/>
    </row>
    <row r="556" spans="1:19" ht="15" x14ac:dyDescent="0.2">
      <c r="A556"/>
      <c r="B556"/>
      <c r="C556"/>
      <c r="D556"/>
      <c r="E556"/>
      <c r="F556"/>
      <c r="G556"/>
      <c r="H556"/>
      <c r="I556"/>
      <c r="J556"/>
      <c r="K556"/>
      <c r="L556"/>
      <c r="M556"/>
      <c r="N556"/>
      <c r="O556"/>
      <c r="P556"/>
      <c r="Q556"/>
      <c r="R556"/>
      <c r="S556"/>
    </row>
    <row r="557" spans="1:19" ht="15" x14ac:dyDescent="0.2">
      <c r="A557"/>
      <c r="B557"/>
      <c r="C557"/>
      <c r="D557"/>
      <c r="E557"/>
      <c r="F557"/>
      <c r="G557"/>
      <c r="H557"/>
      <c r="I557"/>
      <c r="J557"/>
      <c r="K557"/>
      <c r="L557"/>
      <c r="M557"/>
      <c r="N557"/>
      <c r="O557"/>
      <c r="P557"/>
      <c r="Q557"/>
      <c r="R557"/>
      <c r="S557"/>
    </row>
    <row r="558" spans="1:19" ht="15" x14ac:dyDescent="0.2">
      <c r="A558"/>
      <c r="B558"/>
      <c r="C558"/>
      <c r="D558"/>
      <c r="E558"/>
      <c r="F558"/>
      <c r="G558"/>
      <c r="H558"/>
      <c r="I558"/>
      <c r="J558"/>
      <c r="K558"/>
      <c r="L558"/>
      <c r="M558"/>
      <c r="N558"/>
      <c r="O558"/>
      <c r="P558"/>
      <c r="Q558"/>
      <c r="R558"/>
      <c r="S558"/>
    </row>
    <row r="559" spans="1:19" ht="15" x14ac:dyDescent="0.2">
      <c r="A559"/>
      <c r="B559"/>
      <c r="C559"/>
      <c r="D559"/>
      <c r="E559"/>
      <c r="F559"/>
      <c r="G559"/>
      <c r="H559"/>
      <c r="I559"/>
      <c r="J559"/>
      <c r="K559"/>
      <c r="L559"/>
      <c r="M559"/>
      <c r="N559"/>
      <c r="O559"/>
      <c r="P559"/>
      <c r="Q559"/>
      <c r="R559"/>
      <c r="S559"/>
    </row>
    <row r="560" spans="1:19" ht="15" x14ac:dyDescent="0.2">
      <c r="A560"/>
      <c r="B560"/>
      <c r="C560"/>
      <c r="D560"/>
      <c r="E560"/>
      <c r="F560"/>
      <c r="G560"/>
      <c r="H560"/>
      <c r="I560"/>
      <c r="J560"/>
      <c r="K560"/>
      <c r="L560"/>
      <c r="M560"/>
      <c r="N560"/>
      <c r="O560"/>
      <c r="P560"/>
      <c r="Q560"/>
      <c r="R560"/>
      <c r="S560"/>
    </row>
    <row r="561" spans="1:19" ht="15" x14ac:dyDescent="0.2">
      <c r="A561"/>
      <c r="B561"/>
      <c r="C561"/>
      <c r="D561"/>
      <c r="E561"/>
      <c r="F561"/>
      <c r="G561"/>
      <c r="H561"/>
      <c r="I561"/>
      <c r="J561"/>
      <c r="K561"/>
      <c r="L561"/>
      <c r="M561"/>
      <c r="N561"/>
      <c r="O561"/>
      <c r="P561"/>
      <c r="Q561"/>
      <c r="R561"/>
      <c r="S561"/>
    </row>
    <row r="562" spans="1:19" ht="15" x14ac:dyDescent="0.2">
      <c r="A562"/>
      <c r="B562"/>
      <c r="C562"/>
      <c r="D562"/>
      <c r="E562"/>
      <c r="F562"/>
      <c r="G562"/>
      <c r="H562"/>
      <c r="I562"/>
      <c r="J562"/>
      <c r="K562"/>
      <c r="L562"/>
      <c r="M562"/>
      <c r="N562"/>
      <c r="O562"/>
      <c r="P562"/>
      <c r="Q562"/>
      <c r="R562"/>
      <c r="S562"/>
    </row>
    <row r="563" spans="1:19" ht="15" x14ac:dyDescent="0.2">
      <c r="A563"/>
      <c r="B563"/>
      <c r="C563"/>
      <c r="D563"/>
      <c r="E563"/>
      <c r="F563"/>
      <c r="G563"/>
      <c r="H563"/>
      <c r="I563"/>
      <c r="J563"/>
      <c r="K563"/>
      <c r="L563"/>
      <c r="M563"/>
      <c r="N563"/>
      <c r="O563"/>
      <c r="P563"/>
      <c r="Q563"/>
      <c r="R563"/>
      <c r="S563"/>
    </row>
    <row r="564" spans="1:19" ht="15" x14ac:dyDescent="0.2">
      <c r="A564"/>
      <c r="B564"/>
      <c r="C564"/>
      <c r="D564"/>
      <c r="E564"/>
      <c r="F564"/>
      <c r="G564"/>
      <c r="H564"/>
      <c r="I564"/>
      <c r="J564"/>
      <c r="K564"/>
      <c r="L564"/>
      <c r="M564"/>
      <c r="N564"/>
      <c r="O564"/>
      <c r="P564"/>
      <c r="Q564"/>
      <c r="R564"/>
      <c r="S564"/>
    </row>
    <row r="565" spans="1:19" ht="15" x14ac:dyDescent="0.2">
      <c r="A565"/>
      <c r="B565"/>
      <c r="C565"/>
      <c r="D565"/>
      <c r="E565"/>
      <c r="F565"/>
      <c r="G565"/>
      <c r="H565"/>
      <c r="I565"/>
      <c r="J565"/>
      <c r="K565"/>
      <c r="L565"/>
      <c r="M565"/>
      <c r="N565"/>
      <c r="O565"/>
      <c r="P565"/>
      <c r="Q565"/>
      <c r="R565"/>
      <c r="S565"/>
    </row>
    <row r="566" spans="1:19" ht="15" x14ac:dyDescent="0.2">
      <c r="A566"/>
      <c r="B566"/>
      <c r="C566"/>
      <c r="D566"/>
      <c r="E566"/>
      <c r="F566"/>
      <c r="G566"/>
      <c r="H566"/>
      <c r="I566"/>
      <c r="J566"/>
      <c r="K566"/>
      <c r="L566"/>
      <c r="M566"/>
      <c r="N566"/>
      <c r="O566"/>
      <c r="P566"/>
      <c r="Q566"/>
      <c r="R566"/>
      <c r="S566"/>
    </row>
    <row r="567" spans="1:19" ht="15" x14ac:dyDescent="0.2">
      <c r="A567"/>
      <c r="B567"/>
      <c r="C567"/>
      <c r="D567"/>
      <c r="E567"/>
      <c r="F567"/>
      <c r="G567"/>
      <c r="H567"/>
      <c r="I567"/>
      <c r="J567"/>
      <c r="K567"/>
      <c r="L567"/>
      <c r="M567"/>
      <c r="N567"/>
      <c r="O567"/>
      <c r="P567"/>
      <c r="Q567"/>
      <c r="R567"/>
      <c r="S567"/>
    </row>
    <row r="568" spans="1:19" ht="15" x14ac:dyDescent="0.2">
      <c r="A568"/>
      <c r="B568"/>
      <c r="C568"/>
      <c r="D568"/>
      <c r="E568"/>
      <c r="F568"/>
      <c r="G568"/>
      <c r="H568"/>
      <c r="I568"/>
      <c r="J568"/>
      <c r="K568"/>
      <c r="L568"/>
      <c r="M568"/>
      <c r="N568"/>
      <c r="O568"/>
      <c r="P568"/>
      <c r="Q568"/>
      <c r="R568"/>
      <c r="S568"/>
    </row>
    <row r="569" spans="1:19" ht="15" x14ac:dyDescent="0.2">
      <c r="A569"/>
      <c r="B569"/>
      <c r="C569"/>
      <c r="D569"/>
      <c r="E569"/>
      <c r="F569"/>
      <c r="G569"/>
      <c r="H569"/>
      <c r="I569"/>
      <c r="J569"/>
      <c r="K569"/>
      <c r="L569"/>
      <c r="M569"/>
      <c r="N569"/>
      <c r="O569"/>
      <c r="P569"/>
      <c r="Q569"/>
      <c r="R569"/>
      <c r="S569"/>
    </row>
    <row r="570" spans="1:19" ht="15" x14ac:dyDescent="0.2">
      <c r="A570"/>
      <c r="B570"/>
      <c r="C570"/>
      <c r="D570"/>
      <c r="E570"/>
      <c r="F570"/>
      <c r="G570"/>
      <c r="H570"/>
      <c r="I570"/>
      <c r="J570"/>
      <c r="K570"/>
      <c r="L570"/>
      <c r="M570"/>
      <c r="N570"/>
      <c r="O570"/>
      <c r="P570"/>
      <c r="Q570"/>
      <c r="R570"/>
      <c r="S570"/>
    </row>
    <row r="571" spans="1:19" ht="15" x14ac:dyDescent="0.2">
      <c r="A571"/>
      <c r="B571"/>
      <c r="C571"/>
      <c r="D571"/>
      <c r="E571"/>
      <c r="F571"/>
      <c r="G571"/>
      <c r="H571"/>
      <c r="I571"/>
      <c r="J571"/>
      <c r="K571"/>
      <c r="L571"/>
      <c r="M571"/>
      <c r="N571"/>
      <c r="O571"/>
      <c r="P571"/>
      <c r="Q571"/>
      <c r="R571"/>
      <c r="S571"/>
    </row>
    <row r="572" spans="1:19" ht="15" x14ac:dyDescent="0.2">
      <c r="A572"/>
      <c r="B572"/>
      <c r="C572"/>
      <c r="D572"/>
      <c r="E572"/>
      <c r="F572"/>
      <c r="G572"/>
      <c r="H572"/>
      <c r="I572"/>
      <c r="J572"/>
      <c r="K572"/>
      <c r="L572"/>
      <c r="M572"/>
      <c r="N572"/>
      <c r="O572"/>
      <c r="P572"/>
      <c r="Q572"/>
      <c r="R572"/>
      <c r="S572"/>
    </row>
    <row r="573" spans="1:19" ht="15" x14ac:dyDescent="0.2">
      <c r="A573"/>
      <c r="B573"/>
      <c r="C573"/>
      <c r="D573"/>
      <c r="E573"/>
      <c r="F573"/>
      <c r="G573"/>
      <c r="H573"/>
      <c r="I573"/>
      <c r="J573"/>
      <c r="K573"/>
      <c r="L573"/>
      <c r="M573"/>
      <c r="N573"/>
      <c r="O573"/>
      <c r="P573"/>
      <c r="Q573"/>
      <c r="R573"/>
      <c r="S573"/>
    </row>
    <row r="574" spans="1:19" ht="15" x14ac:dyDescent="0.2">
      <c r="A574"/>
      <c r="B574"/>
      <c r="C574"/>
      <c r="D574"/>
      <c r="E574"/>
      <c r="F574"/>
      <c r="G574"/>
      <c r="H574"/>
      <c r="I574"/>
      <c r="J574"/>
      <c r="K574"/>
      <c r="L574"/>
      <c r="M574"/>
      <c r="N574"/>
      <c r="O574"/>
      <c r="P574"/>
      <c r="Q574"/>
      <c r="R574"/>
      <c r="S574"/>
    </row>
    <row r="575" spans="1:19" ht="15" x14ac:dyDescent="0.2">
      <c r="A575"/>
      <c r="B575"/>
      <c r="C575"/>
      <c r="D575"/>
      <c r="E575"/>
      <c r="F575"/>
      <c r="G575"/>
      <c r="H575"/>
      <c r="I575"/>
      <c r="J575"/>
      <c r="K575"/>
      <c r="L575"/>
      <c r="M575"/>
      <c r="N575"/>
      <c r="O575"/>
      <c r="P575"/>
      <c r="Q575"/>
      <c r="R575"/>
      <c r="S575"/>
    </row>
    <row r="576" spans="1:19" ht="15" x14ac:dyDescent="0.2">
      <c r="A576"/>
      <c r="B576"/>
      <c r="C576"/>
      <c r="D576"/>
      <c r="E576"/>
      <c r="F576"/>
      <c r="G576"/>
      <c r="H576"/>
      <c r="I576"/>
      <c r="J576"/>
      <c r="K576"/>
      <c r="L576"/>
      <c r="M576"/>
      <c r="N576"/>
      <c r="O576"/>
      <c r="P576"/>
      <c r="Q576"/>
      <c r="R576"/>
      <c r="S576"/>
    </row>
    <row r="577" spans="1:19" ht="15" x14ac:dyDescent="0.2">
      <c r="A577"/>
      <c r="B577"/>
      <c r="C577"/>
      <c r="D577"/>
      <c r="E577"/>
      <c r="F577"/>
      <c r="G577"/>
      <c r="H577"/>
      <c r="I577"/>
      <c r="J577"/>
      <c r="K577"/>
      <c r="L577"/>
      <c r="M577"/>
      <c r="N577"/>
      <c r="O577"/>
      <c r="P577"/>
      <c r="Q577"/>
      <c r="R577"/>
      <c r="S577"/>
    </row>
    <row r="578" spans="1:19" ht="15" x14ac:dyDescent="0.2">
      <c r="A578"/>
      <c r="B578"/>
      <c r="C578"/>
      <c r="D578"/>
      <c r="E578"/>
      <c r="F578"/>
      <c r="G578"/>
      <c r="H578"/>
      <c r="I578"/>
      <c r="J578"/>
      <c r="K578"/>
      <c r="L578"/>
      <c r="M578"/>
      <c r="N578"/>
      <c r="O578"/>
      <c r="P578"/>
      <c r="Q578"/>
      <c r="R578"/>
      <c r="S578"/>
    </row>
    <row r="579" spans="1:19" ht="15" x14ac:dyDescent="0.2">
      <c r="A579"/>
      <c r="B579"/>
      <c r="C579"/>
      <c r="D579"/>
      <c r="E579"/>
      <c r="F579"/>
      <c r="G579"/>
      <c r="H579"/>
      <c r="I579"/>
      <c r="J579"/>
      <c r="K579"/>
      <c r="L579"/>
      <c r="M579"/>
      <c r="N579"/>
      <c r="O579"/>
      <c r="P579"/>
      <c r="Q579"/>
      <c r="R579"/>
      <c r="S579"/>
    </row>
    <row r="580" spans="1:19" ht="15" x14ac:dyDescent="0.2">
      <c r="A580"/>
      <c r="B580"/>
      <c r="C580"/>
      <c r="D580"/>
      <c r="E580"/>
      <c r="F580"/>
      <c r="G580"/>
      <c r="H580"/>
      <c r="I580"/>
      <c r="J580"/>
      <c r="K580"/>
      <c r="L580"/>
      <c r="M580"/>
      <c r="N580"/>
      <c r="O580"/>
      <c r="P580"/>
      <c r="Q580"/>
      <c r="R580"/>
      <c r="S580"/>
    </row>
    <row r="581" spans="1:19" ht="15" x14ac:dyDescent="0.2">
      <c r="A581"/>
      <c r="B581"/>
      <c r="C581"/>
      <c r="D581"/>
      <c r="E581"/>
      <c r="F581"/>
      <c r="G581"/>
      <c r="H581"/>
      <c r="I581"/>
      <c r="J581"/>
      <c r="K581"/>
      <c r="L581"/>
      <c r="M581"/>
      <c r="N581"/>
      <c r="O581"/>
      <c r="P581"/>
      <c r="Q581"/>
      <c r="R581"/>
      <c r="S581"/>
    </row>
    <row r="582" spans="1:19" ht="15" x14ac:dyDescent="0.2">
      <c r="A582"/>
      <c r="B582"/>
      <c r="C582"/>
      <c r="D582"/>
      <c r="E582"/>
      <c r="F582"/>
      <c r="G582"/>
      <c r="H582"/>
      <c r="I582"/>
      <c r="J582"/>
      <c r="K582"/>
      <c r="L582"/>
      <c r="M582"/>
      <c r="N582"/>
      <c r="O582"/>
      <c r="P582"/>
      <c r="Q582"/>
      <c r="R582"/>
      <c r="S582"/>
    </row>
    <row r="583" spans="1:19" ht="15" x14ac:dyDescent="0.2">
      <c r="A583"/>
      <c r="B583"/>
      <c r="C583"/>
      <c r="D583"/>
      <c r="E583"/>
      <c r="F583"/>
      <c r="G583"/>
      <c r="H583"/>
      <c r="I583"/>
      <c r="J583"/>
      <c r="K583"/>
      <c r="L583"/>
      <c r="M583"/>
      <c r="N583"/>
      <c r="O583"/>
      <c r="P583"/>
      <c r="Q583"/>
      <c r="R583"/>
      <c r="S583"/>
    </row>
    <row r="584" spans="1:19" ht="15" x14ac:dyDescent="0.2">
      <c r="A584"/>
      <c r="B584"/>
      <c r="C584"/>
      <c r="D584"/>
      <c r="E584"/>
      <c r="F584"/>
      <c r="G584"/>
      <c r="H584"/>
      <c r="I584"/>
      <c r="J584"/>
      <c r="K584"/>
      <c r="L584"/>
      <c r="M584"/>
      <c r="N584"/>
      <c r="O584"/>
      <c r="P584"/>
      <c r="Q584"/>
      <c r="R584"/>
      <c r="S584"/>
    </row>
    <row r="585" spans="1:19" ht="15" x14ac:dyDescent="0.2">
      <c r="A585"/>
      <c r="B585"/>
      <c r="C585"/>
      <c r="D585"/>
      <c r="E585"/>
      <c r="F585"/>
      <c r="G585"/>
      <c r="H585"/>
      <c r="I585"/>
      <c r="J585"/>
      <c r="K585"/>
      <c r="L585"/>
      <c r="M585"/>
      <c r="N585"/>
      <c r="O585"/>
      <c r="P585"/>
      <c r="Q585"/>
      <c r="R585"/>
      <c r="S585"/>
    </row>
    <row r="586" spans="1:19" ht="15" x14ac:dyDescent="0.2">
      <c r="A586"/>
      <c r="B586"/>
      <c r="C586"/>
      <c r="D586"/>
      <c r="E586"/>
      <c r="F586"/>
      <c r="G586"/>
      <c r="H586"/>
      <c r="I586"/>
      <c r="J586"/>
      <c r="K586"/>
      <c r="L586"/>
      <c r="M586"/>
      <c r="N586"/>
      <c r="O586"/>
      <c r="P586"/>
      <c r="Q586"/>
      <c r="R586"/>
      <c r="S586"/>
    </row>
    <row r="587" spans="1:19" ht="15" x14ac:dyDescent="0.2">
      <c r="A587"/>
      <c r="B587"/>
      <c r="C587"/>
      <c r="D587"/>
      <c r="E587"/>
      <c r="F587"/>
      <c r="G587"/>
      <c r="H587"/>
      <c r="I587"/>
      <c r="J587"/>
      <c r="K587"/>
      <c r="L587"/>
      <c r="M587"/>
      <c r="N587"/>
      <c r="O587"/>
      <c r="P587"/>
      <c r="Q587"/>
      <c r="R587"/>
      <c r="S587"/>
    </row>
    <row r="588" spans="1:19" ht="15" x14ac:dyDescent="0.2">
      <c r="A588"/>
      <c r="B588"/>
      <c r="C588"/>
      <c r="D588"/>
      <c r="E588"/>
      <c r="F588"/>
      <c r="G588"/>
      <c r="H588"/>
      <c r="I588"/>
      <c r="J588"/>
      <c r="K588"/>
      <c r="L588"/>
      <c r="M588"/>
      <c r="N588"/>
      <c r="O588"/>
      <c r="P588"/>
      <c r="Q588"/>
      <c r="R588"/>
      <c r="S588"/>
    </row>
    <row r="589" spans="1:19" ht="15" x14ac:dyDescent="0.2">
      <c r="A589"/>
      <c r="B589"/>
      <c r="C589"/>
      <c r="D589"/>
      <c r="E589"/>
      <c r="F589"/>
      <c r="G589"/>
      <c r="H589"/>
      <c r="I589"/>
      <c r="J589"/>
      <c r="K589"/>
      <c r="L589"/>
      <c r="M589"/>
      <c r="N589"/>
      <c r="O589"/>
      <c r="P589"/>
      <c r="Q589"/>
      <c r="R589"/>
      <c r="S589"/>
    </row>
    <row r="590" spans="1:19" ht="15" x14ac:dyDescent="0.2">
      <c r="A590"/>
      <c r="B590"/>
      <c r="C590"/>
      <c r="D590"/>
      <c r="E590"/>
      <c r="F590"/>
      <c r="G590"/>
      <c r="H590"/>
      <c r="I590"/>
      <c r="J590"/>
      <c r="K590"/>
      <c r="L590"/>
      <c r="M590"/>
      <c r="N590"/>
      <c r="O590"/>
      <c r="P590"/>
      <c r="Q590"/>
      <c r="R590"/>
      <c r="S590"/>
    </row>
    <row r="591" spans="1:19" ht="15" x14ac:dyDescent="0.2">
      <c r="A591"/>
      <c r="B591"/>
      <c r="C591"/>
      <c r="D591"/>
      <c r="E591"/>
      <c r="F591"/>
      <c r="G591"/>
      <c r="H591"/>
      <c r="I591"/>
      <c r="J591"/>
      <c r="K591"/>
      <c r="L591"/>
      <c r="M591"/>
      <c r="N591"/>
      <c r="O591"/>
      <c r="P591"/>
      <c r="Q591"/>
      <c r="R591"/>
      <c r="S591"/>
    </row>
    <row r="592" spans="1:19" ht="15" x14ac:dyDescent="0.2">
      <c r="A592"/>
      <c r="B592"/>
      <c r="C592"/>
      <c r="D592"/>
      <c r="E592"/>
      <c r="F592"/>
      <c r="G592"/>
      <c r="H592"/>
      <c r="I592"/>
      <c r="J592"/>
      <c r="K592"/>
      <c r="L592"/>
      <c r="M592"/>
      <c r="N592"/>
      <c r="O592"/>
      <c r="P592"/>
      <c r="Q592"/>
      <c r="R592"/>
      <c r="S592"/>
    </row>
    <row r="593" spans="1:19" ht="15" x14ac:dyDescent="0.2">
      <c r="A593"/>
      <c r="B593"/>
      <c r="C593"/>
      <c r="D593"/>
      <c r="E593"/>
      <c r="F593"/>
      <c r="G593"/>
      <c r="H593"/>
      <c r="I593"/>
      <c r="J593"/>
      <c r="K593"/>
      <c r="L593"/>
      <c r="M593"/>
      <c r="N593"/>
      <c r="O593"/>
      <c r="P593"/>
      <c r="Q593"/>
      <c r="R593"/>
      <c r="S593"/>
    </row>
    <row r="594" spans="1:19" ht="15" x14ac:dyDescent="0.2">
      <c r="A594"/>
      <c r="B594"/>
      <c r="C594"/>
      <c r="D594"/>
      <c r="E594"/>
      <c r="F594"/>
      <c r="G594"/>
      <c r="H594"/>
      <c r="I594"/>
      <c r="J594"/>
      <c r="K594"/>
      <c r="L594"/>
      <c r="M594"/>
      <c r="N594"/>
      <c r="O594"/>
      <c r="P594"/>
      <c r="Q594"/>
      <c r="R594"/>
      <c r="S594"/>
    </row>
    <row r="595" spans="1:19" ht="15" x14ac:dyDescent="0.2">
      <c r="A595"/>
      <c r="B595"/>
      <c r="C595"/>
      <c r="D595"/>
      <c r="E595"/>
      <c r="F595"/>
      <c r="G595"/>
      <c r="H595"/>
      <c r="I595"/>
      <c r="J595"/>
      <c r="K595"/>
      <c r="L595"/>
      <c r="M595"/>
      <c r="N595"/>
      <c r="O595"/>
      <c r="P595"/>
      <c r="Q595"/>
      <c r="R595"/>
      <c r="S595"/>
    </row>
    <row r="596" spans="1:19" ht="15" x14ac:dyDescent="0.2">
      <c r="A596"/>
      <c r="B596"/>
      <c r="C596"/>
      <c r="D596"/>
      <c r="E596"/>
      <c r="F596"/>
      <c r="G596"/>
      <c r="H596"/>
      <c r="I596"/>
      <c r="J596"/>
      <c r="K596"/>
      <c r="L596"/>
      <c r="M596"/>
      <c r="N596"/>
      <c r="O596"/>
      <c r="P596"/>
      <c r="Q596"/>
      <c r="R596"/>
      <c r="S596"/>
    </row>
    <row r="597" spans="1:19" ht="15" x14ac:dyDescent="0.2">
      <c r="A597"/>
      <c r="B597"/>
      <c r="C597"/>
      <c r="D597"/>
      <c r="E597"/>
      <c r="F597"/>
      <c r="G597"/>
      <c r="H597"/>
      <c r="I597"/>
      <c r="J597"/>
      <c r="K597"/>
      <c r="L597"/>
      <c r="M597"/>
      <c r="N597"/>
      <c r="O597"/>
      <c r="P597"/>
      <c r="Q597"/>
      <c r="R597"/>
      <c r="S597"/>
    </row>
    <row r="598" spans="1:19" ht="15" x14ac:dyDescent="0.2">
      <c r="A598"/>
      <c r="B598"/>
      <c r="C598"/>
      <c r="D598"/>
      <c r="E598"/>
      <c r="F598"/>
      <c r="G598"/>
      <c r="H598"/>
      <c r="I598"/>
      <c r="J598"/>
      <c r="K598"/>
      <c r="L598"/>
      <c r="M598"/>
      <c r="N598"/>
      <c r="O598"/>
      <c r="P598"/>
      <c r="Q598"/>
      <c r="R598"/>
      <c r="S598"/>
    </row>
    <row r="599" spans="1:19" ht="15" x14ac:dyDescent="0.2">
      <c r="A599"/>
      <c r="B599"/>
      <c r="C599"/>
      <c r="D599"/>
      <c r="E599"/>
      <c r="F599"/>
      <c r="G599"/>
      <c r="H599"/>
      <c r="I599"/>
      <c r="J599"/>
      <c r="K599"/>
      <c r="L599"/>
      <c r="M599"/>
      <c r="N599"/>
      <c r="O599"/>
      <c r="P599"/>
      <c r="Q599"/>
      <c r="R599"/>
      <c r="S599"/>
    </row>
    <row r="600" spans="1:19" ht="15" x14ac:dyDescent="0.2">
      <c r="A600"/>
      <c r="B600"/>
      <c r="C600"/>
      <c r="D600"/>
      <c r="E600"/>
      <c r="F600"/>
      <c r="G600"/>
      <c r="H600"/>
      <c r="I600"/>
      <c r="J600"/>
      <c r="K600"/>
      <c r="L600"/>
      <c r="M600"/>
      <c r="N600"/>
      <c r="O600"/>
      <c r="P600"/>
      <c r="Q600"/>
      <c r="R600"/>
      <c r="S600"/>
    </row>
    <row r="601" spans="1:19" ht="15" x14ac:dyDescent="0.2">
      <c r="A601"/>
      <c r="B601"/>
      <c r="C601"/>
      <c r="D601"/>
      <c r="E601"/>
      <c r="F601"/>
      <c r="G601"/>
      <c r="H601"/>
      <c r="I601"/>
      <c r="J601"/>
      <c r="K601"/>
      <c r="L601"/>
      <c r="M601"/>
      <c r="N601"/>
      <c r="O601"/>
      <c r="P601"/>
      <c r="Q601"/>
      <c r="R601"/>
      <c r="S601"/>
    </row>
    <row r="602" spans="1:19" ht="15" x14ac:dyDescent="0.2">
      <c r="A602"/>
      <c r="B602"/>
      <c r="C602"/>
      <c r="D602"/>
      <c r="E602"/>
      <c r="F602"/>
      <c r="G602"/>
      <c r="H602"/>
      <c r="I602"/>
      <c r="J602"/>
      <c r="K602"/>
      <c r="L602"/>
      <c r="M602"/>
      <c r="N602"/>
      <c r="O602"/>
      <c r="P602"/>
      <c r="Q602"/>
      <c r="R602"/>
      <c r="S602"/>
    </row>
    <row r="603" spans="1:19" ht="15" x14ac:dyDescent="0.2">
      <c r="A603"/>
      <c r="B603"/>
      <c r="C603"/>
      <c r="D603"/>
      <c r="E603"/>
      <c r="F603"/>
      <c r="G603"/>
      <c r="H603"/>
      <c r="I603"/>
      <c r="J603"/>
      <c r="K603"/>
      <c r="L603"/>
      <c r="M603"/>
      <c r="N603"/>
      <c r="O603"/>
      <c r="P603"/>
      <c r="Q603"/>
      <c r="R603"/>
      <c r="S603"/>
    </row>
    <row r="604" spans="1:19" ht="15" x14ac:dyDescent="0.2">
      <c r="A604"/>
      <c r="B604"/>
      <c r="C604"/>
      <c r="D604"/>
      <c r="E604"/>
      <c r="F604"/>
      <c r="G604"/>
      <c r="H604"/>
      <c r="I604"/>
      <c r="J604"/>
      <c r="K604"/>
      <c r="L604"/>
      <c r="M604"/>
      <c r="N604"/>
      <c r="O604"/>
      <c r="P604"/>
      <c r="Q604"/>
      <c r="R604"/>
      <c r="S604"/>
    </row>
    <row r="605" spans="1:19" ht="15" x14ac:dyDescent="0.2">
      <c r="A605"/>
      <c r="B605"/>
      <c r="C605"/>
      <c r="D605"/>
      <c r="E605"/>
      <c r="F605"/>
      <c r="G605"/>
      <c r="H605"/>
      <c r="I605"/>
      <c r="J605"/>
      <c r="K605"/>
      <c r="L605"/>
      <c r="M605"/>
      <c r="N605"/>
      <c r="O605"/>
      <c r="P605"/>
      <c r="Q605"/>
      <c r="R605"/>
      <c r="S605"/>
    </row>
    <row r="606" spans="1:19" ht="15" x14ac:dyDescent="0.2">
      <c r="A606"/>
      <c r="B606"/>
      <c r="C606"/>
      <c r="D606"/>
      <c r="E606"/>
      <c r="F606"/>
      <c r="G606"/>
      <c r="H606"/>
      <c r="I606"/>
      <c r="J606"/>
      <c r="K606"/>
      <c r="L606"/>
      <c r="M606"/>
      <c r="N606"/>
      <c r="O606"/>
      <c r="P606"/>
      <c r="Q606"/>
      <c r="R606"/>
      <c r="S606"/>
    </row>
    <row r="607" spans="1:19" ht="15" x14ac:dyDescent="0.2">
      <c r="A607"/>
      <c r="B607"/>
      <c r="C607"/>
      <c r="D607"/>
      <c r="E607"/>
      <c r="F607"/>
      <c r="G607"/>
      <c r="H607"/>
      <c r="I607"/>
      <c r="J607"/>
      <c r="K607"/>
      <c r="L607"/>
      <c r="M607"/>
      <c r="N607"/>
      <c r="O607"/>
      <c r="P607"/>
      <c r="Q607"/>
      <c r="R607"/>
      <c r="S607"/>
    </row>
    <row r="608" spans="1:19" ht="15" x14ac:dyDescent="0.2">
      <c r="A608"/>
      <c r="B608"/>
      <c r="C608"/>
      <c r="D608"/>
      <c r="E608"/>
      <c r="F608"/>
      <c r="G608"/>
      <c r="H608"/>
      <c r="I608"/>
      <c r="J608"/>
      <c r="K608"/>
      <c r="L608"/>
      <c r="M608"/>
      <c r="N608"/>
      <c r="O608"/>
      <c r="P608"/>
      <c r="Q608"/>
      <c r="R608"/>
      <c r="S608"/>
    </row>
    <row r="609" spans="1:19" ht="15" x14ac:dyDescent="0.2">
      <c r="A609"/>
      <c r="B609"/>
      <c r="C609"/>
      <c r="D609"/>
      <c r="E609"/>
      <c r="F609"/>
      <c r="G609"/>
      <c r="H609"/>
      <c r="I609"/>
      <c r="J609"/>
      <c r="K609"/>
      <c r="L609"/>
      <c r="M609"/>
      <c r="N609"/>
      <c r="O609"/>
      <c r="P609"/>
      <c r="Q609"/>
      <c r="R609"/>
      <c r="S609"/>
    </row>
    <row r="610" spans="1:19" ht="15" x14ac:dyDescent="0.2">
      <c r="A610"/>
      <c r="B610"/>
      <c r="C610"/>
      <c r="D610"/>
      <c r="E610"/>
      <c r="F610"/>
      <c r="G610"/>
      <c r="H610"/>
      <c r="I610"/>
      <c r="J610"/>
      <c r="K610"/>
      <c r="L610"/>
      <c r="M610"/>
      <c r="N610"/>
      <c r="O610"/>
      <c r="P610"/>
      <c r="Q610"/>
      <c r="R610"/>
      <c r="S610"/>
    </row>
    <row r="611" spans="1:19" ht="15" x14ac:dyDescent="0.2">
      <c r="A611"/>
      <c r="B611"/>
      <c r="C611"/>
      <c r="D611"/>
      <c r="E611"/>
      <c r="F611"/>
      <c r="G611"/>
      <c r="H611"/>
      <c r="I611"/>
      <c r="J611"/>
      <c r="K611"/>
      <c r="L611"/>
      <c r="M611"/>
      <c r="N611"/>
      <c r="O611"/>
      <c r="P611"/>
      <c r="Q611"/>
      <c r="R611"/>
      <c r="S611"/>
    </row>
    <row r="612" spans="1:19" ht="15" x14ac:dyDescent="0.2">
      <c r="A612"/>
      <c r="B612"/>
      <c r="C612"/>
      <c r="D612"/>
      <c r="E612"/>
      <c r="F612"/>
      <c r="G612"/>
      <c r="H612"/>
      <c r="I612"/>
      <c r="J612"/>
      <c r="K612"/>
      <c r="L612"/>
      <c r="M612"/>
      <c r="N612"/>
      <c r="O612"/>
      <c r="P612"/>
      <c r="Q612"/>
      <c r="R612"/>
      <c r="S612"/>
    </row>
    <row r="613" spans="1:19" ht="15" x14ac:dyDescent="0.2">
      <c r="A613"/>
      <c r="B613"/>
      <c r="C613"/>
      <c r="D613"/>
      <c r="E613"/>
      <c r="F613"/>
      <c r="G613"/>
      <c r="H613"/>
      <c r="I613"/>
      <c r="J613"/>
      <c r="K613"/>
      <c r="L613"/>
      <c r="M613"/>
      <c r="N613"/>
      <c r="O613"/>
      <c r="P613"/>
      <c r="Q613"/>
      <c r="R613"/>
      <c r="S613"/>
    </row>
    <row r="614" spans="1:19" ht="15" x14ac:dyDescent="0.2">
      <c r="A614"/>
      <c r="B614"/>
      <c r="C614"/>
      <c r="D614"/>
      <c r="E614"/>
      <c r="F614"/>
      <c r="G614"/>
      <c r="H614"/>
      <c r="I614"/>
      <c r="J614"/>
      <c r="K614"/>
      <c r="L614"/>
      <c r="M614"/>
      <c r="N614"/>
      <c r="O614"/>
      <c r="P614"/>
      <c r="Q614"/>
      <c r="R614"/>
      <c r="S614"/>
    </row>
    <row r="615" spans="1:19" ht="15" x14ac:dyDescent="0.2">
      <c r="A615"/>
      <c r="B615"/>
      <c r="C615"/>
      <c r="D615"/>
      <c r="E615"/>
      <c r="F615"/>
      <c r="G615"/>
      <c r="H615"/>
      <c r="I615"/>
      <c r="J615"/>
      <c r="K615"/>
      <c r="L615"/>
      <c r="M615"/>
      <c r="N615"/>
      <c r="O615"/>
      <c r="P615"/>
      <c r="Q615"/>
      <c r="R615"/>
      <c r="S615"/>
    </row>
    <row r="616" spans="1:19" ht="15" x14ac:dyDescent="0.2">
      <c r="A616"/>
      <c r="B616"/>
      <c r="C616"/>
      <c r="D616"/>
      <c r="E616"/>
      <c r="F616"/>
      <c r="G616"/>
      <c r="H616"/>
      <c r="I616"/>
      <c r="J616"/>
      <c r="K616"/>
      <c r="L616"/>
      <c r="M616"/>
      <c r="N616"/>
      <c r="O616"/>
      <c r="P616"/>
      <c r="Q616"/>
      <c r="R616"/>
      <c r="S616"/>
    </row>
    <row r="617" spans="1:19" ht="15" x14ac:dyDescent="0.2">
      <c r="A617"/>
      <c r="B617"/>
      <c r="C617"/>
      <c r="D617"/>
      <c r="E617"/>
      <c r="F617"/>
      <c r="G617"/>
      <c r="H617"/>
      <c r="I617"/>
      <c r="J617"/>
      <c r="K617"/>
      <c r="L617"/>
      <c r="M617"/>
      <c r="N617"/>
      <c r="O617"/>
      <c r="P617"/>
      <c r="Q617"/>
      <c r="R617"/>
      <c r="S617"/>
    </row>
    <row r="618" spans="1:19" ht="15" x14ac:dyDescent="0.2">
      <c r="A618"/>
      <c r="B618"/>
      <c r="C618"/>
      <c r="D618"/>
      <c r="E618"/>
      <c r="F618"/>
      <c r="G618"/>
      <c r="H618"/>
      <c r="I618"/>
      <c r="J618"/>
      <c r="K618"/>
      <c r="L618"/>
      <c r="M618"/>
      <c r="N618"/>
      <c r="O618"/>
      <c r="P618"/>
      <c r="Q618"/>
      <c r="R618"/>
      <c r="S618"/>
    </row>
    <row r="619" spans="1:19" ht="15" x14ac:dyDescent="0.2">
      <c r="A619"/>
      <c r="B619"/>
      <c r="C619"/>
      <c r="D619"/>
      <c r="E619"/>
      <c r="F619"/>
      <c r="G619"/>
      <c r="H619"/>
      <c r="I619"/>
      <c r="J619"/>
      <c r="K619"/>
      <c r="L619"/>
      <c r="M619"/>
      <c r="N619"/>
      <c r="O619"/>
      <c r="P619"/>
      <c r="Q619"/>
      <c r="R619"/>
      <c r="S619"/>
    </row>
    <row r="620" spans="1:19" ht="15" x14ac:dyDescent="0.2">
      <c r="A620"/>
      <c r="B620"/>
      <c r="C620"/>
      <c r="D620"/>
      <c r="E620"/>
      <c r="F620"/>
      <c r="G620"/>
      <c r="H620"/>
      <c r="I620"/>
      <c r="J620"/>
      <c r="K620"/>
      <c r="L620"/>
      <c r="M620"/>
      <c r="N620"/>
      <c r="O620"/>
      <c r="P620"/>
      <c r="Q620"/>
      <c r="R620"/>
      <c r="S620"/>
    </row>
    <row r="621" spans="1:19" ht="15" x14ac:dyDescent="0.2">
      <c r="A621"/>
      <c r="B621"/>
      <c r="C621"/>
      <c r="D621"/>
      <c r="E621"/>
      <c r="F621"/>
      <c r="G621"/>
      <c r="H621"/>
      <c r="I621"/>
      <c r="J621"/>
      <c r="K621"/>
      <c r="L621"/>
      <c r="M621"/>
      <c r="N621"/>
      <c r="O621"/>
      <c r="P621"/>
      <c r="Q621"/>
      <c r="R621"/>
      <c r="S621"/>
    </row>
    <row r="622" spans="1:19" ht="15" x14ac:dyDescent="0.2">
      <c r="A622"/>
      <c r="B622"/>
      <c r="C622"/>
      <c r="D622"/>
      <c r="E622"/>
      <c r="F622"/>
      <c r="G622"/>
      <c r="H622"/>
      <c r="I622"/>
      <c r="J622"/>
      <c r="K622"/>
      <c r="L622"/>
      <c r="M622"/>
      <c r="N622"/>
      <c r="O622"/>
      <c r="P622"/>
      <c r="Q622"/>
      <c r="R622"/>
      <c r="S622"/>
    </row>
    <row r="623" spans="1:19" ht="15" x14ac:dyDescent="0.2">
      <c r="A623"/>
      <c r="B623"/>
      <c r="C623"/>
      <c r="D623"/>
      <c r="E623"/>
      <c r="F623"/>
      <c r="G623"/>
      <c r="H623"/>
      <c r="I623"/>
      <c r="J623"/>
      <c r="K623"/>
      <c r="L623"/>
      <c r="M623"/>
      <c r="N623"/>
      <c r="O623"/>
      <c r="P623"/>
      <c r="Q623"/>
      <c r="R623"/>
      <c r="S623"/>
    </row>
    <row r="624" spans="1:19" ht="15" x14ac:dyDescent="0.2">
      <c r="A624"/>
      <c r="B624"/>
      <c r="C624"/>
      <c r="D624"/>
      <c r="E624"/>
      <c r="F624"/>
      <c r="G624"/>
      <c r="H624"/>
      <c r="I624"/>
      <c r="J624"/>
      <c r="K624"/>
      <c r="L624"/>
      <c r="M624"/>
      <c r="N624"/>
      <c r="O624"/>
      <c r="P624"/>
      <c r="Q624"/>
      <c r="R624"/>
      <c r="S624"/>
    </row>
    <row r="625" spans="1:19" ht="15" x14ac:dyDescent="0.2">
      <c r="A625"/>
      <c r="B625"/>
      <c r="C625"/>
      <c r="D625"/>
      <c r="E625"/>
      <c r="F625"/>
      <c r="G625"/>
      <c r="H625"/>
      <c r="I625"/>
      <c r="J625"/>
      <c r="K625"/>
      <c r="L625"/>
      <c r="M625"/>
      <c r="N625"/>
      <c r="O625"/>
      <c r="P625"/>
      <c r="Q625"/>
      <c r="R625"/>
      <c r="S625"/>
    </row>
    <row r="626" spans="1:19" ht="15" x14ac:dyDescent="0.2">
      <c r="A626"/>
      <c r="B626"/>
      <c r="C626"/>
      <c r="D626"/>
      <c r="E626"/>
      <c r="F626"/>
      <c r="G626"/>
      <c r="H626"/>
      <c r="I626"/>
      <c r="J626"/>
      <c r="K626"/>
      <c r="L626"/>
      <c r="M626"/>
      <c r="N626"/>
      <c r="O626"/>
      <c r="P626"/>
      <c r="Q626"/>
      <c r="R626"/>
      <c r="S626"/>
    </row>
    <row r="627" spans="1:19" ht="15" x14ac:dyDescent="0.2">
      <c r="A627"/>
      <c r="B627"/>
      <c r="C627"/>
      <c r="D627"/>
      <c r="E627"/>
      <c r="F627"/>
      <c r="G627"/>
      <c r="H627"/>
      <c r="I627"/>
      <c r="J627"/>
      <c r="K627"/>
      <c r="L627"/>
      <c r="M627"/>
      <c r="N627"/>
      <c r="O627"/>
      <c r="P627"/>
      <c r="Q627"/>
      <c r="R627"/>
      <c r="S627"/>
    </row>
    <row r="628" spans="1:19" ht="15" x14ac:dyDescent="0.2">
      <c r="A628"/>
      <c r="B628"/>
      <c r="C628"/>
      <c r="D628"/>
      <c r="E628"/>
      <c r="F628"/>
      <c r="G628"/>
      <c r="H628"/>
      <c r="I628"/>
      <c r="J628"/>
      <c r="K628"/>
      <c r="L628"/>
      <c r="M628"/>
      <c r="N628"/>
      <c r="O628"/>
      <c r="P628"/>
      <c r="Q628"/>
      <c r="R628"/>
      <c r="S628"/>
    </row>
    <row r="629" spans="1:19" ht="15" x14ac:dyDescent="0.2">
      <c r="A629"/>
      <c r="B629"/>
      <c r="C629"/>
      <c r="D629"/>
      <c r="E629"/>
      <c r="F629"/>
      <c r="G629"/>
      <c r="H629"/>
      <c r="I629"/>
      <c r="J629"/>
      <c r="K629"/>
      <c r="L629"/>
      <c r="M629"/>
      <c r="N629"/>
      <c r="O629"/>
      <c r="P629"/>
      <c r="Q629"/>
      <c r="R629"/>
      <c r="S629"/>
    </row>
    <row r="630" spans="1:19" ht="15" x14ac:dyDescent="0.2">
      <c r="A630"/>
      <c r="B630"/>
      <c r="C630"/>
      <c r="D630"/>
      <c r="E630"/>
      <c r="F630"/>
      <c r="G630"/>
      <c r="H630"/>
      <c r="I630"/>
      <c r="J630"/>
      <c r="K630"/>
      <c r="L630"/>
      <c r="M630"/>
      <c r="N630"/>
      <c r="O630"/>
      <c r="P630"/>
      <c r="Q630"/>
      <c r="R630"/>
      <c r="S630"/>
    </row>
    <row r="631" spans="1:19" ht="15" x14ac:dyDescent="0.2">
      <c r="A631"/>
      <c r="B631"/>
      <c r="C631"/>
      <c r="D631"/>
      <c r="E631"/>
      <c r="F631"/>
      <c r="G631"/>
      <c r="H631"/>
      <c r="I631"/>
      <c r="J631"/>
      <c r="K631"/>
      <c r="L631"/>
      <c r="M631"/>
      <c r="N631"/>
      <c r="O631"/>
      <c r="P631"/>
      <c r="Q631"/>
      <c r="R631"/>
      <c r="S631"/>
    </row>
    <row r="632" spans="1:19" ht="15" x14ac:dyDescent="0.2">
      <c r="A632"/>
      <c r="B632"/>
      <c r="C632"/>
      <c r="D632"/>
      <c r="E632"/>
      <c r="F632"/>
      <c r="G632"/>
      <c r="H632"/>
      <c r="I632"/>
      <c r="J632"/>
      <c r="K632"/>
      <c r="L632"/>
      <c r="M632"/>
      <c r="N632"/>
      <c r="O632"/>
      <c r="P632"/>
      <c r="Q632"/>
      <c r="R632"/>
      <c r="S632"/>
    </row>
    <row r="633" spans="1:19" ht="15" x14ac:dyDescent="0.2">
      <c r="A633"/>
      <c r="B633"/>
      <c r="C633"/>
      <c r="D633"/>
      <c r="E633"/>
      <c r="F633"/>
      <c r="G633"/>
      <c r="H633"/>
      <c r="I633"/>
      <c r="J633"/>
      <c r="K633"/>
      <c r="L633"/>
      <c r="M633"/>
      <c r="N633"/>
      <c r="O633"/>
      <c r="P633"/>
      <c r="Q633"/>
      <c r="R633"/>
      <c r="S633"/>
    </row>
    <row r="634" spans="1:19" ht="15" x14ac:dyDescent="0.2">
      <c r="A634"/>
      <c r="B634"/>
      <c r="C634"/>
      <c r="D634"/>
      <c r="E634"/>
      <c r="F634"/>
      <c r="G634"/>
      <c r="H634"/>
      <c r="I634"/>
      <c r="J634"/>
      <c r="K634"/>
      <c r="L634"/>
      <c r="M634"/>
      <c r="N634"/>
      <c r="O634"/>
      <c r="P634"/>
      <c r="Q634"/>
      <c r="R634"/>
      <c r="S634"/>
    </row>
    <row r="635" spans="1:19" ht="15" x14ac:dyDescent="0.2">
      <c r="A635"/>
      <c r="B635"/>
      <c r="C635"/>
      <c r="D635"/>
      <c r="E635"/>
      <c r="F635"/>
      <c r="G635"/>
      <c r="H635"/>
      <c r="I635"/>
      <c r="J635"/>
      <c r="K635"/>
      <c r="L635"/>
      <c r="M635"/>
      <c r="N635"/>
      <c r="O635"/>
      <c r="P635"/>
      <c r="Q635"/>
      <c r="R635"/>
      <c r="S635"/>
    </row>
    <row r="636" spans="1:19" ht="15" x14ac:dyDescent="0.2">
      <c r="A636"/>
      <c r="B636"/>
      <c r="C636"/>
      <c r="D636"/>
      <c r="E636"/>
      <c r="F636"/>
      <c r="G636"/>
      <c r="H636"/>
      <c r="I636"/>
      <c r="J636"/>
      <c r="K636"/>
      <c r="L636"/>
      <c r="M636"/>
      <c r="N636"/>
      <c r="O636"/>
      <c r="P636"/>
      <c r="Q636"/>
      <c r="R636"/>
      <c r="S636"/>
    </row>
    <row r="637" spans="1:19" ht="15" x14ac:dyDescent="0.2">
      <c r="A637"/>
      <c r="B637"/>
      <c r="C637"/>
      <c r="D637"/>
      <c r="E637"/>
      <c r="F637"/>
      <c r="G637"/>
      <c r="H637"/>
      <c r="I637"/>
      <c r="J637"/>
      <c r="K637"/>
      <c r="L637"/>
      <c r="M637"/>
      <c r="N637"/>
      <c r="O637"/>
      <c r="P637"/>
      <c r="Q637"/>
      <c r="R637"/>
      <c r="S637"/>
    </row>
    <row r="638" spans="1:19" ht="15" x14ac:dyDescent="0.2">
      <c r="A638"/>
      <c r="B638"/>
      <c r="C638"/>
      <c r="D638"/>
      <c r="E638"/>
      <c r="F638"/>
      <c r="G638"/>
      <c r="H638"/>
      <c r="I638"/>
      <c r="J638"/>
      <c r="K638"/>
      <c r="L638"/>
      <c r="M638"/>
      <c r="N638"/>
      <c r="O638"/>
      <c r="P638"/>
      <c r="Q638"/>
      <c r="R638"/>
      <c r="S638"/>
    </row>
    <row r="639" spans="1:19" ht="15" x14ac:dyDescent="0.2">
      <c r="A639"/>
      <c r="B639"/>
      <c r="C639"/>
      <c r="D639"/>
      <c r="E639"/>
      <c r="F639"/>
      <c r="G639"/>
      <c r="H639"/>
      <c r="I639"/>
      <c r="J639"/>
      <c r="K639"/>
      <c r="L639"/>
      <c r="M639"/>
      <c r="N639"/>
      <c r="O639"/>
      <c r="P639"/>
      <c r="Q639"/>
      <c r="R639"/>
      <c r="S639"/>
    </row>
    <row r="640" spans="1:19" ht="15" x14ac:dyDescent="0.2">
      <c r="A640"/>
      <c r="B640"/>
      <c r="C640"/>
      <c r="D640"/>
      <c r="E640"/>
      <c r="F640"/>
      <c r="G640"/>
      <c r="H640"/>
      <c r="I640"/>
      <c r="J640"/>
      <c r="K640"/>
      <c r="L640"/>
      <c r="M640"/>
      <c r="N640"/>
      <c r="O640"/>
      <c r="P640"/>
      <c r="Q640"/>
      <c r="R640"/>
      <c r="S640"/>
    </row>
    <row r="641" spans="1:19" ht="15" x14ac:dyDescent="0.2">
      <c r="A641"/>
      <c r="B641"/>
      <c r="C641"/>
      <c r="D641"/>
      <c r="E641"/>
      <c r="F641"/>
      <c r="G641"/>
      <c r="H641"/>
      <c r="I641"/>
      <c r="J641"/>
      <c r="K641"/>
      <c r="L641"/>
      <c r="M641"/>
      <c r="N641"/>
      <c r="O641"/>
      <c r="P641"/>
      <c r="Q641"/>
      <c r="R641"/>
      <c r="S641"/>
    </row>
    <row r="642" spans="1:19" ht="15" x14ac:dyDescent="0.2">
      <c r="A642"/>
      <c r="B642"/>
      <c r="C642"/>
      <c r="D642"/>
      <c r="E642"/>
      <c r="F642"/>
      <c r="G642"/>
      <c r="H642"/>
      <c r="I642"/>
      <c r="J642"/>
      <c r="K642"/>
      <c r="L642"/>
      <c r="M642"/>
      <c r="N642"/>
      <c r="O642"/>
      <c r="P642"/>
      <c r="Q642"/>
      <c r="R642"/>
      <c r="S642"/>
    </row>
    <row r="643" spans="1:19" ht="15" x14ac:dyDescent="0.2">
      <c r="A643"/>
      <c r="B643"/>
      <c r="C643"/>
      <c r="D643"/>
      <c r="E643"/>
      <c r="F643"/>
      <c r="G643"/>
      <c r="H643"/>
      <c r="I643"/>
      <c r="J643"/>
      <c r="K643"/>
      <c r="L643"/>
      <c r="M643"/>
      <c r="N643"/>
      <c r="O643"/>
      <c r="P643"/>
      <c r="Q643"/>
      <c r="R643"/>
      <c r="S643"/>
    </row>
    <row r="644" spans="1:19" ht="15" x14ac:dyDescent="0.2">
      <c r="A644"/>
      <c r="B644"/>
      <c r="C644"/>
      <c r="D644"/>
      <c r="E644"/>
      <c r="F644"/>
      <c r="G644"/>
      <c r="H644"/>
      <c r="I644"/>
      <c r="J644"/>
      <c r="K644"/>
      <c r="L644"/>
      <c r="M644"/>
      <c r="N644"/>
      <c r="O644"/>
      <c r="P644"/>
      <c r="Q644"/>
      <c r="R644"/>
      <c r="S644"/>
    </row>
    <row r="645" spans="1:19" ht="15" x14ac:dyDescent="0.2">
      <c r="A645"/>
      <c r="B645"/>
      <c r="C645"/>
      <c r="D645"/>
      <c r="E645"/>
      <c r="F645"/>
      <c r="G645"/>
      <c r="H645"/>
      <c r="I645"/>
      <c r="J645"/>
      <c r="K645"/>
      <c r="L645"/>
      <c r="M645"/>
      <c r="N645"/>
      <c r="O645"/>
      <c r="P645"/>
      <c r="Q645"/>
      <c r="R645"/>
      <c r="S645"/>
    </row>
    <row r="646" spans="1:19" ht="15" x14ac:dyDescent="0.2">
      <c r="A646"/>
      <c r="B646"/>
      <c r="C646"/>
      <c r="D646"/>
      <c r="E646"/>
      <c r="F646"/>
      <c r="G646"/>
      <c r="H646"/>
      <c r="I646"/>
      <c r="J646"/>
      <c r="K646"/>
      <c r="L646"/>
      <c r="M646"/>
      <c r="N646"/>
      <c r="O646"/>
      <c r="P646"/>
      <c r="Q646"/>
      <c r="R646"/>
      <c r="S646"/>
    </row>
    <row r="647" spans="1:19" ht="15" x14ac:dyDescent="0.2">
      <c r="A647"/>
      <c r="B647"/>
      <c r="C647"/>
      <c r="D647"/>
      <c r="E647"/>
      <c r="F647"/>
      <c r="G647"/>
      <c r="H647"/>
      <c r="I647"/>
      <c r="J647"/>
      <c r="K647"/>
      <c r="L647"/>
      <c r="M647"/>
      <c r="N647"/>
      <c r="O647"/>
      <c r="P647"/>
      <c r="Q647"/>
      <c r="R647"/>
      <c r="S647"/>
    </row>
    <row r="648" spans="1:19" ht="15" x14ac:dyDescent="0.2">
      <c r="A648"/>
      <c r="B648"/>
      <c r="C648"/>
      <c r="D648"/>
      <c r="E648"/>
      <c r="F648"/>
      <c r="G648"/>
      <c r="H648"/>
      <c r="I648"/>
      <c r="J648"/>
      <c r="K648"/>
      <c r="L648"/>
      <c r="M648"/>
      <c r="N648"/>
      <c r="O648"/>
      <c r="P648"/>
      <c r="Q648"/>
      <c r="R648"/>
      <c r="S648"/>
    </row>
    <row r="649" spans="1:19" ht="15" x14ac:dyDescent="0.2">
      <c r="A649"/>
      <c r="B649"/>
      <c r="C649"/>
      <c r="D649"/>
      <c r="E649"/>
      <c r="F649"/>
      <c r="G649"/>
      <c r="H649"/>
      <c r="I649"/>
      <c r="J649"/>
      <c r="K649"/>
      <c r="L649"/>
      <c r="M649"/>
      <c r="N649"/>
      <c r="O649"/>
      <c r="P649"/>
      <c r="Q649"/>
      <c r="R649"/>
      <c r="S649"/>
    </row>
    <row r="650" spans="1:19" ht="15" x14ac:dyDescent="0.2">
      <c r="A650"/>
      <c r="B650"/>
      <c r="C650"/>
      <c r="D650"/>
      <c r="E650"/>
      <c r="F650"/>
      <c r="G650"/>
      <c r="H650"/>
      <c r="I650"/>
      <c r="J650"/>
      <c r="K650"/>
      <c r="L650"/>
      <c r="M650"/>
      <c r="N650"/>
      <c r="O650"/>
      <c r="P650"/>
      <c r="Q650"/>
      <c r="R650"/>
      <c r="S650"/>
    </row>
    <row r="651" spans="1:19" ht="15" x14ac:dyDescent="0.2">
      <c r="A651"/>
      <c r="B651"/>
      <c r="C651"/>
      <c r="D651"/>
      <c r="E651"/>
      <c r="F651"/>
      <c r="G651"/>
      <c r="H651"/>
      <c r="I651"/>
      <c r="J651"/>
      <c r="K651"/>
      <c r="L651"/>
      <c r="M651"/>
      <c r="N651"/>
      <c r="O651"/>
      <c r="P651"/>
      <c r="Q651"/>
      <c r="R651"/>
      <c r="S651"/>
    </row>
    <row r="652" spans="1:19" ht="15" x14ac:dyDescent="0.2">
      <c r="A652"/>
      <c r="B652"/>
      <c r="C652"/>
      <c r="D652"/>
      <c r="E652"/>
      <c r="F652"/>
      <c r="G652"/>
      <c r="H652"/>
      <c r="I652"/>
      <c r="J652"/>
      <c r="K652"/>
      <c r="L652"/>
      <c r="M652"/>
      <c r="N652"/>
      <c r="O652"/>
      <c r="P652"/>
      <c r="Q652"/>
      <c r="R652"/>
      <c r="S652"/>
    </row>
    <row r="653" spans="1:19" ht="15" x14ac:dyDescent="0.2">
      <c r="A653"/>
      <c r="B653"/>
      <c r="C653"/>
      <c r="D653"/>
      <c r="E653"/>
      <c r="F653"/>
      <c r="G653"/>
      <c r="H653"/>
      <c r="I653"/>
      <c r="J653"/>
      <c r="K653"/>
      <c r="L653"/>
      <c r="M653"/>
      <c r="N653"/>
      <c r="O653"/>
      <c r="P653"/>
      <c r="Q653"/>
      <c r="R653"/>
      <c r="S653"/>
    </row>
    <row r="654" spans="1:19" ht="15" x14ac:dyDescent="0.2">
      <c r="A654"/>
      <c r="B654"/>
      <c r="C654"/>
      <c r="D654"/>
      <c r="E654"/>
      <c r="F654"/>
      <c r="G654"/>
      <c r="H654"/>
      <c r="I654"/>
      <c r="J654"/>
      <c r="K654"/>
      <c r="L654"/>
      <c r="M654"/>
      <c r="N654"/>
      <c r="O654"/>
      <c r="P654"/>
      <c r="Q654"/>
      <c r="R654"/>
      <c r="S654"/>
    </row>
    <row r="655" spans="1:19" ht="15" x14ac:dyDescent="0.2">
      <c r="A655"/>
      <c r="B655"/>
      <c r="C655"/>
      <c r="D655"/>
      <c r="E655"/>
      <c r="F655"/>
      <c r="G655"/>
      <c r="H655"/>
      <c r="I655"/>
      <c r="J655"/>
      <c r="K655"/>
      <c r="L655"/>
      <c r="M655"/>
      <c r="N655"/>
      <c r="O655"/>
      <c r="P655"/>
      <c r="Q655"/>
      <c r="R655"/>
      <c r="S655"/>
    </row>
    <row r="656" spans="1:19" ht="15" x14ac:dyDescent="0.2">
      <c r="A656"/>
      <c r="B656"/>
      <c r="C656"/>
      <c r="D656"/>
      <c r="E656"/>
      <c r="F656"/>
      <c r="G656"/>
      <c r="H656"/>
      <c r="I656"/>
      <c r="J656"/>
      <c r="K656"/>
      <c r="L656"/>
      <c r="M656"/>
      <c r="N656"/>
      <c r="O656"/>
      <c r="P656"/>
      <c r="Q656"/>
      <c r="R656"/>
      <c r="S656"/>
    </row>
    <row r="657" spans="1:19" ht="15" x14ac:dyDescent="0.2">
      <c r="A657"/>
      <c r="B657"/>
      <c r="C657"/>
      <c r="D657"/>
      <c r="E657"/>
      <c r="F657"/>
      <c r="G657"/>
      <c r="H657"/>
      <c r="I657"/>
      <c r="J657"/>
      <c r="K657"/>
      <c r="L657"/>
      <c r="M657"/>
      <c r="N657"/>
      <c r="O657"/>
      <c r="P657"/>
      <c r="Q657"/>
      <c r="R657"/>
      <c r="S657"/>
    </row>
    <row r="658" spans="1:19" ht="15" x14ac:dyDescent="0.2">
      <c r="A658"/>
      <c r="B658"/>
      <c r="C658"/>
      <c r="D658"/>
      <c r="E658"/>
      <c r="F658"/>
      <c r="G658"/>
      <c r="H658"/>
      <c r="I658"/>
      <c r="J658"/>
      <c r="K658"/>
      <c r="L658"/>
      <c r="M658"/>
      <c r="N658"/>
      <c r="O658"/>
      <c r="P658"/>
      <c r="Q658"/>
      <c r="R658"/>
      <c r="S658"/>
    </row>
    <row r="659" spans="1:19" ht="15" x14ac:dyDescent="0.2">
      <c r="A659"/>
      <c r="B659"/>
      <c r="C659"/>
      <c r="D659"/>
      <c r="E659"/>
      <c r="F659"/>
      <c r="G659"/>
      <c r="H659"/>
      <c r="I659"/>
      <c r="J659"/>
      <c r="K659"/>
      <c r="L659"/>
      <c r="M659"/>
      <c r="N659"/>
      <c r="O659"/>
      <c r="P659"/>
      <c r="Q659"/>
      <c r="R659"/>
      <c r="S659"/>
    </row>
    <row r="660" spans="1:19" ht="15" x14ac:dyDescent="0.2">
      <c r="A660"/>
      <c r="B660"/>
      <c r="C660"/>
      <c r="D660"/>
      <c r="E660"/>
      <c r="F660"/>
      <c r="G660"/>
      <c r="H660"/>
      <c r="I660"/>
      <c r="J660"/>
      <c r="K660"/>
      <c r="L660"/>
      <c r="M660"/>
      <c r="N660"/>
      <c r="O660"/>
      <c r="P660"/>
      <c r="Q660"/>
      <c r="R660"/>
      <c r="S660"/>
    </row>
    <row r="661" spans="1:19" ht="15" x14ac:dyDescent="0.2">
      <c r="A661"/>
      <c r="B661"/>
      <c r="C661"/>
      <c r="D661"/>
      <c r="E661"/>
      <c r="F661"/>
      <c r="G661"/>
      <c r="H661"/>
      <c r="I661"/>
      <c r="J661"/>
      <c r="K661"/>
      <c r="L661"/>
      <c r="M661"/>
      <c r="N661"/>
      <c r="O661"/>
      <c r="P661"/>
      <c r="Q661"/>
      <c r="R661"/>
      <c r="S661"/>
    </row>
    <row r="662" spans="1:19" ht="15" x14ac:dyDescent="0.2">
      <c r="A662"/>
      <c r="B662"/>
      <c r="C662"/>
      <c r="D662"/>
      <c r="E662"/>
      <c r="F662"/>
      <c r="G662"/>
      <c r="H662"/>
      <c r="I662"/>
      <c r="J662"/>
      <c r="K662"/>
      <c r="L662"/>
      <c r="M662"/>
      <c r="N662"/>
      <c r="O662"/>
      <c r="P662"/>
      <c r="Q662"/>
      <c r="R662"/>
      <c r="S662"/>
    </row>
    <row r="663" spans="1:19" ht="15" x14ac:dyDescent="0.2">
      <c r="A663"/>
      <c r="B663"/>
      <c r="C663"/>
      <c r="D663"/>
      <c r="E663"/>
      <c r="F663"/>
      <c r="G663"/>
      <c r="H663"/>
      <c r="I663"/>
      <c r="J663"/>
      <c r="K663"/>
      <c r="L663"/>
      <c r="M663"/>
      <c r="N663"/>
      <c r="O663"/>
      <c r="P663"/>
      <c r="Q663"/>
      <c r="R663"/>
      <c r="S663"/>
    </row>
    <row r="664" spans="1:19" ht="15" x14ac:dyDescent="0.2">
      <c r="A664"/>
      <c r="B664"/>
      <c r="C664"/>
      <c r="D664"/>
      <c r="E664"/>
      <c r="F664"/>
      <c r="G664"/>
      <c r="H664"/>
      <c r="I664"/>
      <c r="J664"/>
      <c r="K664"/>
      <c r="L664"/>
      <c r="M664"/>
      <c r="N664"/>
      <c r="O664"/>
      <c r="P664"/>
      <c r="Q664"/>
      <c r="R664"/>
      <c r="S664"/>
    </row>
    <row r="665" spans="1:19" ht="15" x14ac:dyDescent="0.2">
      <c r="A665"/>
      <c r="B665"/>
      <c r="C665"/>
      <c r="D665"/>
      <c r="E665"/>
      <c r="F665"/>
      <c r="G665"/>
      <c r="H665"/>
      <c r="I665"/>
      <c r="J665"/>
      <c r="K665"/>
      <c r="L665"/>
      <c r="M665"/>
      <c r="N665"/>
      <c r="O665"/>
      <c r="P665"/>
      <c r="Q665"/>
      <c r="R665"/>
      <c r="S665"/>
    </row>
    <row r="666" spans="1:19" ht="15" x14ac:dyDescent="0.2">
      <c r="A666"/>
      <c r="B666"/>
      <c r="C666"/>
      <c r="D666"/>
      <c r="E666"/>
      <c r="F666"/>
      <c r="G666"/>
      <c r="H666"/>
      <c r="I666"/>
      <c r="J666"/>
      <c r="K666"/>
      <c r="L666"/>
      <c r="M666"/>
      <c r="N666"/>
      <c r="O666"/>
      <c r="P666"/>
      <c r="Q666"/>
      <c r="R666"/>
      <c r="S666"/>
    </row>
    <row r="667" spans="1:19" ht="15" x14ac:dyDescent="0.2">
      <c r="A667"/>
      <c r="B667"/>
      <c r="C667"/>
      <c r="D667"/>
      <c r="E667"/>
      <c r="F667"/>
      <c r="G667"/>
      <c r="H667"/>
      <c r="I667"/>
      <c r="J667"/>
      <c r="K667"/>
      <c r="L667"/>
      <c r="M667"/>
      <c r="N667"/>
      <c r="O667"/>
      <c r="P667"/>
      <c r="Q667"/>
      <c r="R667"/>
      <c r="S667"/>
    </row>
    <row r="668" spans="1:19" ht="15" x14ac:dyDescent="0.2">
      <c r="A668"/>
      <c r="B668"/>
      <c r="C668"/>
      <c r="D668"/>
      <c r="E668"/>
      <c r="F668"/>
      <c r="G668"/>
      <c r="H668"/>
      <c r="I668"/>
      <c r="J668"/>
      <c r="K668"/>
      <c r="L668"/>
      <c r="M668"/>
      <c r="N668"/>
      <c r="O668"/>
      <c r="P668"/>
      <c r="Q668"/>
      <c r="R668"/>
      <c r="S668"/>
    </row>
    <row r="669" spans="1:19" ht="15" x14ac:dyDescent="0.2">
      <c r="A669"/>
      <c r="B669"/>
      <c r="C669"/>
      <c r="D669"/>
      <c r="E669"/>
      <c r="F669"/>
      <c r="G669"/>
      <c r="H669"/>
      <c r="I669"/>
      <c r="J669"/>
      <c r="K669"/>
      <c r="L669"/>
      <c r="M669"/>
      <c r="N669"/>
      <c r="O669"/>
      <c r="P669"/>
      <c r="Q669"/>
      <c r="R669"/>
      <c r="S669"/>
    </row>
    <row r="670" spans="1:19" ht="15" x14ac:dyDescent="0.2">
      <c r="A670"/>
      <c r="B670"/>
      <c r="C670"/>
      <c r="D670"/>
      <c r="E670"/>
      <c r="F670"/>
      <c r="G670"/>
      <c r="H670"/>
      <c r="I670"/>
      <c r="J670"/>
      <c r="K670"/>
      <c r="L670"/>
      <c r="M670"/>
      <c r="N670"/>
      <c r="O670"/>
      <c r="P670"/>
      <c r="Q670"/>
      <c r="R670"/>
      <c r="S670"/>
    </row>
    <row r="671" spans="1:19" ht="15" x14ac:dyDescent="0.2">
      <c r="A671"/>
      <c r="B671"/>
      <c r="C671"/>
      <c r="D671"/>
      <c r="E671"/>
      <c r="F671"/>
      <c r="G671"/>
      <c r="H671"/>
      <c r="I671"/>
      <c r="J671"/>
      <c r="K671"/>
      <c r="L671"/>
      <c r="M671"/>
      <c r="N671"/>
      <c r="O671"/>
      <c r="P671"/>
      <c r="Q671"/>
      <c r="R671"/>
      <c r="S671"/>
    </row>
    <row r="672" spans="1:19" ht="15" x14ac:dyDescent="0.2">
      <c r="A672"/>
      <c r="B672"/>
      <c r="C672"/>
      <c r="D672"/>
      <c r="E672"/>
      <c r="F672"/>
      <c r="G672"/>
      <c r="H672"/>
      <c r="I672"/>
      <c r="J672"/>
      <c r="K672"/>
      <c r="L672"/>
      <c r="M672"/>
      <c r="N672"/>
      <c r="O672"/>
      <c r="P672"/>
      <c r="Q672"/>
      <c r="R672"/>
      <c r="S672"/>
    </row>
    <row r="673" spans="1:19" ht="15" x14ac:dyDescent="0.2">
      <c r="A673"/>
      <c r="B673"/>
      <c r="C673"/>
      <c r="D673"/>
      <c r="E673"/>
      <c r="F673"/>
      <c r="G673"/>
      <c r="H673"/>
      <c r="I673"/>
      <c r="J673"/>
      <c r="K673"/>
      <c r="L673"/>
      <c r="M673"/>
      <c r="N673"/>
      <c r="O673"/>
      <c r="P673"/>
      <c r="Q673"/>
      <c r="R673"/>
      <c r="S673"/>
    </row>
    <row r="674" spans="1:19" ht="15" x14ac:dyDescent="0.2">
      <c r="A674"/>
      <c r="B674"/>
      <c r="C674"/>
      <c r="D674"/>
      <c r="E674"/>
      <c r="F674"/>
      <c r="G674"/>
      <c r="H674"/>
      <c r="I674"/>
      <c r="J674"/>
      <c r="K674"/>
      <c r="L674"/>
      <c r="M674"/>
      <c r="N674"/>
      <c r="O674"/>
      <c r="P674"/>
      <c r="Q674"/>
      <c r="R674"/>
      <c r="S674"/>
    </row>
    <row r="675" spans="1:19" ht="15" x14ac:dyDescent="0.2">
      <c r="A675"/>
      <c r="B675"/>
      <c r="C675"/>
      <c r="D675"/>
      <c r="E675"/>
      <c r="F675"/>
      <c r="G675"/>
      <c r="H675"/>
      <c r="I675"/>
      <c r="J675"/>
      <c r="K675"/>
      <c r="L675"/>
      <c r="M675"/>
      <c r="N675"/>
      <c r="O675"/>
      <c r="P675"/>
      <c r="Q675"/>
      <c r="R675"/>
      <c r="S675"/>
    </row>
    <row r="676" spans="1:19" ht="15" x14ac:dyDescent="0.2">
      <c r="A676"/>
      <c r="B676"/>
      <c r="C676"/>
      <c r="D676"/>
      <c r="E676"/>
      <c r="F676"/>
      <c r="G676"/>
      <c r="H676"/>
      <c r="I676"/>
      <c r="J676"/>
      <c r="K676"/>
      <c r="L676"/>
      <c r="M676"/>
      <c r="N676"/>
      <c r="O676"/>
      <c r="P676"/>
      <c r="Q676"/>
      <c r="R676"/>
      <c r="S676"/>
    </row>
    <row r="677" spans="1:19" ht="15" x14ac:dyDescent="0.2">
      <c r="A677"/>
      <c r="B677"/>
      <c r="C677"/>
      <c r="D677"/>
      <c r="E677"/>
      <c r="F677"/>
      <c r="G677"/>
      <c r="H677"/>
      <c r="I677"/>
      <c r="J677"/>
      <c r="K677"/>
      <c r="L677"/>
      <c r="M677"/>
      <c r="N677"/>
      <c r="O677"/>
      <c r="P677"/>
      <c r="Q677"/>
      <c r="R677"/>
      <c r="S677"/>
    </row>
    <row r="678" spans="1:19" ht="15" x14ac:dyDescent="0.2">
      <c r="A678"/>
      <c r="B678"/>
      <c r="C678"/>
      <c r="D678"/>
      <c r="E678"/>
      <c r="F678"/>
      <c r="G678"/>
      <c r="H678"/>
      <c r="I678"/>
      <c r="J678"/>
      <c r="K678"/>
      <c r="L678"/>
      <c r="M678"/>
      <c r="N678"/>
      <c r="O678"/>
      <c r="P678"/>
      <c r="Q678"/>
      <c r="R678"/>
      <c r="S678"/>
    </row>
    <row r="679" spans="1:19" ht="15" x14ac:dyDescent="0.2">
      <c r="A679"/>
      <c r="B679"/>
      <c r="C679"/>
      <c r="D679"/>
      <c r="E679"/>
      <c r="F679"/>
      <c r="G679"/>
      <c r="H679"/>
      <c r="I679"/>
      <c r="J679"/>
      <c r="K679"/>
      <c r="L679"/>
      <c r="M679"/>
      <c r="N679"/>
      <c r="O679"/>
      <c r="P679"/>
      <c r="Q679"/>
      <c r="R679"/>
      <c r="S679"/>
    </row>
    <row r="680" spans="1:19" ht="15" x14ac:dyDescent="0.2">
      <c r="A680"/>
      <c r="B680"/>
      <c r="C680"/>
      <c r="D680"/>
      <c r="E680"/>
      <c r="F680"/>
      <c r="G680"/>
      <c r="H680"/>
      <c r="I680"/>
      <c r="J680"/>
      <c r="K680"/>
      <c r="L680"/>
      <c r="M680"/>
      <c r="N680"/>
      <c r="O680"/>
      <c r="P680"/>
      <c r="Q680"/>
      <c r="R680"/>
      <c r="S680"/>
    </row>
    <row r="681" spans="1:19" ht="15" x14ac:dyDescent="0.2">
      <c r="A681"/>
      <c r="B681"/>
      <c r="C681"/>
      <c r="D681"/>
      <c r="E681"/>
      <c r="F681"/>
      <c r="G681"/>
      <c r="H681"/>
      <c r="I681"/>
      <c r="J681"/>
      <c r="K681"/>
      <c r="L681"/>
      <c r="M681"/>
      <c r="N681"/>
      <c r="O681"/>
      <c r="P681"/>
      <c r="Q681"/>
      <c r="R681"/>
      <c r="S681"/>
    </row>
    <row r="682" spans="1:19" ht="15" x14ac:dyDescent="0.2">
      <c r="A682"/>
      <c r="B682"/>
      <c r="C682"/>
      <c r="D682"/>
      <c r="E682"/>
      <c r="F682"/>
      <c r="G682"/>
      <c r="H682"/>
      <c r="I682"/>
      <c r="J682"/>
      <c r="K682"/>
      <c r="L682"/>
      <c r="M682"/>
      <c r="N682"/>
      <c r="O682"/>
      <c r="P682"/>
      <c r="Q682"/>
      <c r="R682"/>
      <c r="S682"/>
    </row>
    <row r="683" spans="1:19" ht="15" x14ac:dyDescent="0.2">
      <c r="A683"/>
      <c r="B683"/>
      <c r="C683"/>
      <c r="D683"/>
      <c r="E683"/>
      <c r="F683"/>
      <c r="G683"/>
      <c r="H683"/>
      <c r="I683"/>
      <c r="J683"/>
      <c r="K683"/>
      <c r="L683"/>
      <c r="M683"/>
      <c r="N683"/>
      <c r="O683"/>
      <c r="P683"/>
      <c r="Q683"/>
      <c r="R683"/>
      <c r="S683"/>
    </row>
    <row r="684" spans="1:19" ht="15" x14ac:dyDescent="0.2">
      <c r="A684"/>
      <c r="B684"/>
      <c r="C684"/>
      <c r="D684"/>
      <c r="E684"/>
      <c r="F684"/>
      <c r="G684"/>
      <c r="H684"/>
      <c r="I684"/>
      <c r="J684"/>
      <c r="K684"/>
      <c r="L684"/>
      <c r="M684"/>
      <c r="N684"/>
      <c r="O684"/>
      <c r="P684"/>
      <c r="Q684"/>
      <c r="R684"/>
      <c r="S684"/>
    </row>
    <row r="685" spans="1:19" ht="15" x14ac:dyDescent="0.2">
      <c r="A685"/>
      <c r="B685"/>
      <c r="C685"/>
      <c r="D685"/>
      <c r="E685"/>
      <c r="F685"/>
      <c r="G685"/>
      <c r="H685"/>
      <c r="I685"/>
      <c r="J685"/>
      <c r="K685"/>
      <c r="L685"/>
      <c r="M685"/>
      <c r="N685"/>
      <c r="O685"/>
      <c r="P685"/>
      <c r="Q685"/>
      <c r="R685"/>
      <c r="S685"/>
    </row>
    <row r="686" spans="1:19" ht="15" x14ac:dyDescent="0.2">
      <c r="A686"/>
      <c r="B686"/>
      <c r="C686"/>
      <c r="D686"/>
      <c r="E686"/>
      <c r="F686"/>
      <c r="G686"/>
      <c r="H686"/>
      <c r="I686"/>
      <c r="J686"/>
      <c r="K686"/>
      <c r="L686"/>
      <c r="M686"/>
      <c r="N686"/>
      <c r="O686"/>
      <c r="P686"/>
      <c r="Q686"/>
      <c r="R686"/>
      <c r="S686"/>
    </row>
    <row r="687" spans="1:19" ht="15" x14ac:dyDescent="0.2">
      <c r="A687"/>
      <c r="B687"/>
      <c r="C687"/>
      <c r="D687"/>
      <c r="E687"/>
      <c r="F687"/>
      <c r="G687"/>
      <c r="H687"/>
      <c r="I687"/>
      <c r="J687"/>
      <c r="K687"/>
      <c r="L687"/>
      <c r="M687"/>
      <c r="N687"/>
      <c r="O687"/>
      <c r="P687"/>
      <c r="Q687"/>
      <c r="R687"/>
      <c r="S687"/>
    </row>
    <row r="688" spans="1:19" ht="15" x14ac:dyDescent="0.2">
      <c r="A688"/>
      <c r="B688"/>
      <c r="C688"/>
      <c r="D688"/>
      <c r="E688"/>
      <c r="F688"/>
      <c r="G688"/>
      <c r="H688"/>
      <c r="I688"/>
      <c r="J688"/>
      <c r="K688"/>
      <c r="L688"/>
      <c r="M688"/>
      <c r="N688"/>
      <c r="O688"/>
      <c r="P688"/>
      <c r="Q688"/>
      <c r="R688"/>
      <c r="S688"/>
    </row>
    <row r="689" spans="1:19" ht="15" x14ac:dyDescent="0.2">
      <c r="A689"/>
      <c r="B689"/>
      <c r="C689"/>
      <c r="D689"/>
      <c r="E689"/>
      <c r="F689"/>
      <c r="G689"/>
      <c r="H689"/>
      <c r="I689"/>
      <c r="J689"/>
      <c r="K689"/>
      <c r="L689"/>
      <c r="M689"/>
      <c r="N689"/>
      <c r="O689"/>
      <c r="P689"/>
      <c r="Q689"/>
      <c r="R689"/>
      <c r="S689"/>
    </row>
    <row r="690" spans="1:19" ht="15" x14ac:dyDescent="0.2">
      <c r="A690"/>
      <c r="B690"/>
      <c r="C690"/>
      <c r="D690"/>
      <c r="E690"/>
      <c r="F690"/>
      <c r="G690"/>
      <c r="H690"/>
      <c r="I690"/>
      <c r="J690"/>
      <c r="K690"/>
      <c r="L690"/>
      <c r="M690"/>
      <c r="N690"/>
      <c r="O690"/>
      <c r="P690"/>
      <c r="Q690"/>
      <c r="R690"/>
      <c r="S690"/>
    </row>
    <row r="691" spans="1:19" ht="15" x14ac:dyDescent="0.2">
      <c r="A691"/>
      <c r="B691"/>
      <c r="C691"/>
      <c r="D691"/>
      <c r="E691"/>
      <c r="F691"/>
      <c r="G691"/>
      <c r="H691"/>
      <c r="I691"/>
      <c r="J691"/>
      <c r="K691"/>
      <c r="L691"/>
      <c r="M691"/>
      <c r="N691"/>
      <c r="O691"/>
      <c r="P691"/>
      <c r="Q691"/>
      <c r="R691"/>
      <c r="S691"/>
    </row>
    <row r="692" spans="1:19" ht="15" x14ac:dyDescent="0.2">
      <c r="A692"/>
      <c r="B692"/>
      <c r="C692"/>
      <c r="D692"/>
      <c r="E692"/>
      <c r="F692"/>
      <c r="G692"/>
      <c r="H692"/>
      <c r="I692"/>
      <c r="J692"/>
      <c r="K692"/>
      <c r="L692"/>
      <c r="M692"/>
      <c r="N692"/>
      <c r="O692"/>
      <c r="P692"/>
      <c r="Q692"/>
      <c r="R692"/>
      <c r="S692"/>
    </row>
    <row r="693" spans="1:19" ht="15" x14ac:dyDescent="0.2">
      <c r="A693"/>
      <c r="B693"/>
      <c r="C693"/>
      <c r="D693"/>
      <c r="E693"/>
      <c r="F693"/>
      <c r="G693"/>
      <c r="H693"/>
      <c r="I693"/>
      <c r="J693"/>
      <c r="K693"/>
      <c r="L693"/>
      <c r="M693"/>
      <c r="N693"/>
      <c r="O693"/>
      <c r="P693"/>
      <c r="Q693"/>
      <c r="R693"/>
      <c r="S693"/>
    </row>
    <row r="694" spans="1:19" ht="15" x14ac:dyDescent="0.2">
      <c r="A694"/>
      <c r="B694"/>
      <c r="C694"/>
      <c r="D694"/>
      <c r="E694"/>
      <c r="F694"/>
      <c r="G694"/>
      <c r="H694"/>
      <c r="I694"/>
      <c r="J694"/>
      <c r="K694"/>
      <c r="L694"/>
      <c r="M694"/>
      <c r="N694"/>
      <c r="O694"/>
      <c r="P694"/>
      <c r="Q694"/>
      <c r="R694"/>
      <c r="S694"/>
    </row>
    <row r="695" spans="1:19" ht="15" x14ac:dyDescent="0.2">
      <c r="A695"/>
      <c r="B695"/>
      <c r="C695"/>
      <c r="D695"/>
      <c r="E695"/>
      <c r="F695"/>
      <c r="G695"/>
      <c r="H695"/>
      <c r="I695"/>
      <c r="J695"/>
      <c r="K695"/>
      <c r="L695"/>
      <c r="M695"/>
      <c r="N695"/>
      <c r="O695"/>
      <c r="P695"/>
      <c r="Q695"/>
      <c r="R695"/>
      <c r="S695"/>
    </row>
    <row r="696" spans="1:19" ht="15" x14ac:dyDescent="0.2">
      <c r="A696"/>
      <c r="B696"/>
      <c r="C696"/>
      <c r="D696"/>
      <c r="E696"/>
      <c r="F696"/>
      <c r="G696"/>
      <c r="H696"/>
      <c r="I696"/>
      <c r="J696"/>
      <c r="K696"/>
      <c r="L696"/>
      <c r="M696"/>
      <c r="N696"/>
      <c r="O696"/>
      <c r="P696"/>
      <c r="Q696"/>
      <c r="R696"/>
      <c r="S696"/>
    </row>
    <row r="697" spans="1:19" ht="15" x14ac:dyDescent="0.2">
      <c r="A697"/>
      <c r="B697"/>
      <c r="C697"/>
      <c r="D697"/>
      <c r="E697"/>
      <c r="F697"/>
      <c r="G697"/>
      <c r="H697"/>
      <c r="I697"/>
      <c r="J697"/>
      <c r="K697"/>
      <c r="L697"/>
      <c r="M697"/>
      <c r="N697"/>
      <c r="O697"/>
      <c r="P697"/>
      <c r="Q697"/>
      <c r="R697"/>
      <c r="S697"/>
    </row>
    <row r="698" spans="1:19" ht="15" x14ac:dyDescent="0.2">
      <c r="A698"/>
      <c r="B698"/>
      <c r="C698"/>
      <c r="D698"/>
      <c r="E698"/>
      <c r="F698"/>
      <c r="G698"/>
      <c r="H698"/>
      <c r="I698"/>
      <c r="J698"/>
      <c r="K698"/>
      <c r="L698"/>
      <c r="M698"/>
      <c r="N698"/>
      <c r="O698"/>
      <c r="P698"/>
      <c r="Q698"/>
      <c r="R698"/>
      <c r="S698"/>
    </row>
    <row r="699" spans="1:19" ht="15" x14ac:dyDescent="0.2">
      <c r="A699"/>
      <c r="B699"/>
      <c r="C699"/>
      <c r="D699"/>
      <c r="E699"/>
      <c r="F699"/>
      <c r="G699"/>
      <c r="H699"/>
      <c r="I699"/>
      <c r="J699"/>
      <c r="K699"/>
      <c r="L699"/>
      <c r="M699"/>
      <c r="N699"/>
      <c r="O699"/>
      <c r="P699"/>
      <c r="Q699"/>
      <c r="R699"/>
      <c r="S699"/>
    </row>
    <row r="700" spans="1:19" ht="15" x14ac:dyDescent="0.2">
      <c r="A700"/>
      <c r="B700"/>
      <c r="C700"/>
      <c r="D700"/>
      <c r="E700"/>
      <c r="F700"/>
      <c r="G700"/>
      <c r="H700"/>
      <c r="I700"/>
      <c r="J700"/>
      <c r="K700"/>
      <c r="L700"/>
      <c r="M700"/>
      <c r="N700"/>
      <c r="O700"/>
      <c r="P700"/>
      <c r="Q700"/>
      <c r="R700"/>
      <c r="S700"/>
    </row>
    <row r="701" spans="1:19" ht="15" x14ac:dyDescent="0.2">
      <c r="A701"/>
      <c r="B701"/>
      <c r="C701"/>
      <c r="D701"/>
      <c r="E701"/>
      <c r="F701"/>
      <c r="G701"/>
      <c r="H701"/>
      <c r="I701"/>
      <c r="J701"/>
      <c r="K701"/>
      <c r="L701"/>
      <c r="M701"/>
      <c r="N701"/>
      <c r="O701"/>
      <c r="P701"/>
      <c r="Q701"/>
      <c r="R701"/>
      <c r="S701"/>
    </row>
    <row r="702" spans="1:19" ht="15" x14ac:dyDescent="0.2">
      <c r="A702"/>
      <c r="B702"/>
      <c r="C702"/>
      <c r="D702"/>
      <c r="E702"/>
      <c r="F702"/>
      <c r="G702"/>
      <c r="H702"/>
      <c r="I702"/>
      <c r="J702"/>
      <c r="K702"/>
      <c r="L702"/>
      <c r="M702"/>
      <c r="N702"/>
      <c r="O702"/>
      <c r="P702"/>
      <c r="Q702"/>
      <c r="R702"/>
      <c r="S702"/>
    </row>
    <row r="703" spans="1:19" ht="15" x14ac:dyDescent="0.2">
      <c r="A703"/>
      <c r="B703"/>
      <c r="C703"/>
      <c r="D703"/>
      <c r="E703"/>
      <c r="F703"/>
      <c r="G703"/>
      <c r="H703"/>
      <c r="I703"/>
      <c r="J703"/>
      <c r="K703"/>
      <c r="L703"/>
      <c r="M703"/>
      <c r="N703"/>
      <c r="O703"/>
      <c r="P703"/>
      <c r="Q703"/>
      <c r="R703"/>
      <c r="S703"/>
    </row>
    <row r="704" spans="1:19" ht="15" x14ac:dyDescent="0.2">
      <c r="A704"/>
      <c r="B704"/>
      <c r="C704"/>
      <c r="D704"/>
      <c r="E704"/>
      <c r="F704"/>
      <c r="G704"/>
      <c r="H704"/>
      <c r="I704"/>
      <c r="J704"/>
      <c r="K704"/>
      <c r="L704"/>
      <c r="M704"/>
      <c r="N704"/>
      <c r="O704"/>
      <c r="P704"/>
      <c r="Q704"/>
      <c r="R704"/>
      <c r="S704"/>
    </row>
    <row r="705" spans="1:19" ht="15" x14ac:dyDescent="0.2">
      <c r="A705"/>
      <c r="B705"/>
      <c r="C705"/>
      <c r="D705"/>
      <c r="E705"/>
      <c r="F705"/>
      <c r="G705"/>
      <c r="H705"/>
      <c r="I705"/>
      <c r="J705"/>
      <c r="K705"/>
      <c r="L705"/>
      <c r="M705"/>
      <c r="N705"/>
      <c r="O705"/>
      <c r="P705"/>
      <c r="Q705"/>
      <c r="R705"/>
      <c r="S705"/>
    </row>
    <row r="706" spans="1:19" ht="15" x14ac:dyDescent="0.2">
      <c r="A706"/>
      <c r="B706"/>
      <c r="C706"/>
      <c r="D706"/>
      <c r="E706"/>
      <c r="F706"/>
      <c r="G706"/>
      <c r="H706"/>
      <c r="I706"/>
      <c r="J706"/>
      <c r="K706"/>
      <c r="L706"/>
      <c r="M706"/>
      <c r="N706"/>
      <c r="O706"/>
      <c r="P706"/>
      <c r="Q706"/>
      <c r="R706"/>
      <c r="S706"/>
    </row>
    <row r="707" spans="1:19" ht="15" x14ac:dyDescent="0.2">
      <c r="A707"/>
      <c r="B707"/>
      <c r="C707"/>
      <c r="D707"/>
      <c r="E707"/>
      <c r="F707"/>
      <c r="G707"/>
      <c r="H707"/>
      <c r="I707"/>
      <c r="J707"/>
      <c r="K707"/>
      <c r="L707"/>
      <c r="M707"/>
      <c r="N707"/>
      <c r="O707"/>
      <c r="P707"/>
      <c r="Q707"/>
      <c r="R707"/>
      <c r="S707"/>
    </row>
    <row r="708" spans="1:19" ht="15" x14ac:dyDescent="0.2">
      <c r="A708"/>
      <c r="B708"/>
      <c r="C708"/>
      <c r="D708"/>
      <c r="E708"/>
      <c r="F708"/>
      <c r="G708"/>
      <c r="H708"/>
      <c r="I708"/>
      <c r="J708"/>
      <c r="K708"/>
      <c r="L708"/>
      <c r="M708"/>
      <c r="N708"/>
      <c r="O708"/>
      <c r="P708"/>
      <c r="Q708"/>
      <c r="R708"/>
      <c r="S708"/>
    </row>
    <row r="709" spans="1:19" ht="15" x14ac:dyDescent="0.2">
      <c r="A709"/>
      <c r="B709"/>
      <c r="C709"/>
      <c r="D709"/>
      <c r="E709"/>
      <c r="F709"/>
      <c r="G709"/>
      <c r="H709"/>
      <c r="I709"/>
      <c r="J709"/>
      <c r="K709"/>
      <c r="L709"/>
      <c r="M709"/>
      <c r="N709"/>
      <c r="O709"/>
      <c r="P709"/>
      <c r="Q709"/>
      <c r="R709"/>
      <c r="S709"/>
    </row>
    <row r="710" spans="1:19" ht="15" x14ac:dyDescent="0.2">
      <c r="A710"/>
      <c r="B710"/>
      <c r="C710"/>
      <c r="D710"/>
      <c r="E710"/>
      <c r="F710"/>
      <c r="G710"/>
      <c r="H710"/>
      <c r="I710"/>
      <c r="J710"/>
      <c r="K710"/>
      <c r="L710"/>
      <c r="M710"/>
      <c r="N710"/>
      <c r="O710"/>
      <c r="P710"/>
      <c r="Q710"/>
      <c r="R710"/>
      <c r="S710"/>
    </row>
    <row r="711" spans="1:19" ht="15" x14ac:dyDescent="0.2">
      <c r="A711"/>
      <c r="B711"/>
      <c r="C711"/>
      <c r="D711"/>
      <c r="E711"/>
      <c r="F711"/>
      <c r="G711"/>
      <c r="H711"/>
      <c r="I711"/>
      <c r="J711"/>
      <c r="K711"/>
      <c r="L711"/>
      <c r="M711"/>
      <c r="N711"/>
      <c r="O711"/>
      <c r="P711"/>
      <c r="Q711"/>
      <c r="R711"/>
      <c r="S711"/>
    </row>
    <row r="712" spans="1:19" ht="15" x14ac:dyDescent="0.2">
      <c r="A712"/>
      <c r="B712"/>
      <c r="C712"/>
      <c r="D712"/>
      <c r="E712"/>
      <c r="F712"/>
      <c r="G712"/>
      <c r="H712"/>
      <c r="I712"/>
      <c r="J712"/>
      <c r="K712"/>
      <c r="L712"/>
      <c r="M712"/>
      <c r="N712"/>
      <c r="O712"/>
      <c r="P712"/>
      <c r="Q712"/>
      <c r="R712"/>
      <c r="S712"/>
    </row>
    <row r="713" spans="1:19" ht="15" x14ac:dyDescent="0.2">
      <c r="A713"/>
      <c r="B713"/>
      <c r="C713"/>
      <c r="D713"/>
      <c r="E713"/>
      <c r="F713"/>
      <c r="G713"/>
      <c r="H713"/>
      <c r="I713"/>
      <c r="J713"/>
      <c r="K713"/>
      <c r="L713"/>
      <c r="M713"/>
      <c r="N713"/>
      <c r="O713"/>
      <c r="P713"/>
      <c r="Q713"/>
      <c r="R713"/>
      <c r="S713"/>
    </row>
    <row r="714" spans="1:19" ht="15" x14ac:dyDescent="0.2">
      <c r="A714"/>
      <c r="B714"/>
      <c r="C714"/>
      <c r="D714"/>
      <c r="E714"/>
      <c r="F714"/>
      <c r="G714"/>
      <c r="H714"/>
      <c r="I714"/>
      <c r="J714"/>
      <c r="K714"/>
      <c r="L714"/>
      <c r="M714"/>
      <c r="N714"/>
      <c r="O714"/>
      <c r="P714"/>
      <c r="Q714"/>
      <c r="R714"/>
      <c r="S714"/>
    </row>
    <row r="715" spans="1:19" ht="15" x14ac:dyDescent="0.2">
      <c r="A715"/>
      <c r="B715"/>
      <c r="C715"/>
      <c r="D715"/>
      <c r="E715"/>
      <c r="F715"/>
      <c r="G715"/>
      <c r="H715"/>
      <c r="I715"/>
      <c r="J715"/>
      <c r="K715"/>
      <c r="L715"/>
      <c r="M715"/>
      <c r="N715"/>
      <c r="O715"/>
      <c r="P715"/>
      <c r="Q715"/>
      <c r="R715"/>
      <c r="S715"/>
    </row>
    <row r="716" spans="1:19" ht="15" x14ac:dyDescent="0.2">
      <c r="A716"/>
      <c r="B716"/>
      <c r="C716"/>
      <c r="D716"/>
      <c r="E716"/>
      <c r="F716"/>
      <c r="G716"/>
      <c r="H716"/>
      <c r="I716"/>
      <c r="J716"/>
      <c r="K716"/>
      <c r="L716"/>
      <c r="M716"/>
      <c r="N716"/>
      <c r="O716"/>
      <c r="P716"/>
      <c r="Q716"/>
      <c r="R716"/>
      <c r="S716"/>
    </row>
    <row r="717" spans="1:19" ht="15" x14ac:dyDescent="0.2">
      <c r="A717"/>
      <c r="B717"/>
      <c r="C717"/>
      <c r="D717"/>
      <c r="E717"/>
      <c r="F717"/>
      <c r="G717"/>
      <c r="H717"/>
      <c r="I717"/>
      <c r="J717"/>
      <c r="K717"/>
      <c r="L717"/>
      <c r="M717"/>
      <c r="N717"/>
      <c r="O717"/>
      <c r="P717"/>
      <c r="Q717"/>
      <c r="R717"/>
      <c r="S717"/>
    </row>
    <row r="718" spans="1:19" ht="15" x14ac:dyDescent="0.2">
      <c r="A718"/>
      <c r="B718"/>
      <c r="C718"/>
      <c r="D718"/>
      <c r="E718"/>
      <c r="F718"/>
      <c r="G718"/>
      <c r="H718"/>
      <c r="I718"/>
      <c r="J718"/>
      <c r="K718"/>
      <c r="L718"/>
      <c r="M718"/>
      <c r="N718"/>
      <c r="O718"/>
      <c r="P718"/>
      <c r="Q718"/>
      <c r="R718"/>
      <c r="S718"/>
    </row>
    <row r="719" spans="1:19" ht="15" x14ac:dyDescent="0.2">
      <c r="A719"/>
      <c r="B719"/>
      <c r="C719"/>
      <c r="D719"/>
      <c r="E719"/>
      <c r="F719"/>
      <c r="G719"/>
      <c r="H719"/>
      <c r="I719"/>
      <c r="J719"/>
      <c r="K719"/>
      <c r="L719"/>
      <c r="M719"/>
      <c r="N719"/>
      <c r="O719"/>
      <c r="P719"/>
      <c r="Q719"/>
      <c r="R719"/>
      <c r="S719"/>
    </row>
    <row r="720" spans="1:19" ht="15" x14ac:dyDescent="0.2">
      <c r="A720"/>
      <c r="B720"/>
      <c r="C720"/>
      <c r="D720"/>
      <c r="E720"/>
      <c r="F720"/>
      <c r="G720"/>
      <c r="H720"/>
      <c r="I720"/>
      <c r="J720"/>
      <c r="K720"/>
      <c r="L720"/>
      <c r="M720"/>
      <c r="N720"/>
      <c r="O720"/>
      <c r="P720"/>
      <c r="Q720"/>
      <c r="R720"/>
      <c r="S720"/>
    </row>
    <row r="721" spans="1:19" ht="15" x14ac:dyDescent="0.2">
      <c r="A721"/>
      <c r="B721"/>
      <c r="C721"/>
      <c r="D721"/>
      <c r="E721"/>
      <c r="F721"/>
      <c r="G721"/>
      <c r="H721"/>
      <c r="I721"/>
      <c r="J721"/>
      <c r="K721"/>
      <c r="L721"/>
      <c r="M721"/>
      <c r="N721"/>
      <c r="O721"/>
      <c r="P721"/>
      <c r="Q721"/>
      <c r="R721"/>
      <c r="S721"/>
    </row>
    <row r="722" spans="1:19" ht="15" x14ac:dyDescent="0.2">
      <c r="A722"/>
      <c r="B722"/>
      <c r="C722"/>
      <c r="D722"/>
      <c r="E722"/>
      <c r="F722"/>
      <c r="G722"/>
      <c r="H722"/>
      <c r="I722"/>
      <c r="J722"/>
      <c r="K722"/>
      <c r="L722"/>
      <c r="M722"/>
      <c r="N722"/>
      <c r="O722"/>
      <c r="P722"/>
      <c r="Q722"/>
      <c r="R722"/>
      <c r="S722"/>
    </row>
    <row r="723" spans="1:19" ht="15" x14ac:dyDescent="0.2">
      <c r="A723"/>
      <c r="B723"/>
      <c r="C723"/>
      <c r="D723"/>
      <c r="E723"/>
      <c r="F723"/>
      <c r="G723"/>
      <c r="H723"/>
      <c r="I723"/>
      <c r="J723"/>
      <c r="K723"/>
      <c r="L723"/>
      <c r="M723"/>
      <c r="N723"/>
      <c r="O723"/>
      <c r="P723"/>
      <c r="Q723"/>
      <c r="R723"/>
      <c r="S723"/>
    </row>
    <row r="724" spans="1:19" ht="15" x14ac:dyDescent="0.2">
      <c r="A724"/>
      <c r="B724"/>
      <c r="C724"/>
      <c r="D724"/>
      <c r="E724"/>
      <c r="F724"/>
      <c r="G724"/>
      <c r="H724"/>
      <c r="I724"/>
      <c r="J724"/>
      <c r="K724"/>
      <c r="L724"/>
      <c r="M724"/>
      <c r="N724"/>
      <c r="O724"/>
      <c r="P724"/>
      <c r="Q724"/>
      <c r="R724"/>
      <c r="S724"/>
    </row>
    <row r="725" spans="1:19" ht="15" x14ac:dyDescent="0.2">
      <c r="A725"/>
      <c r="B725"/>
      <c r="C725"/>
      <c r="D725"/>
      <c r="E725"/>
      <c r="F725"/>
      <c r="G725"/>
      <c r="H725"/>
      <c r="I725"/>
      <c r="J725"/>
      <c r="K725"/>
      <c r="L725"/>
      <c r="M725"/>
      <c r="N725"/>
      <c r="O725"/>
      <c r="P725"/>
      <c r="Q725"/>
      <c r="R725"/>
      <c r="S725"/>
    </row>
    <row r="726" spans="1:19" ht="15" x14ac:dyDescent="0.2">
      <c r="A726"/>
      <c r="B726"/>
      <c r="C726"/>
      <c r="D726"/>
      <c r="E726"/>
      <c r="F726"/>
      <c r="G726"/>
      <c r="H726"/>
      <c r="I726"/>
      <c r="J726"/>
      <c r="K726"/>
      <c r="L726"/>
      <c r="M726"/>
      <c r="N726"/>
      <c r="O726"/>
      <c r="P726"/>
      <c r="Q726"/>
      <c r="R726"/>
      <c r="S726"/>
    </row>
    <row r="727" spans="1:19" ht="15" x14ac:dyDescent="0.2">
      <c r="A727"/>
      <c r="B727"/>
      <c r="C727"/>
      <c r="D727"/>
      <c r="E727"/>
      <c r="F727"/>
      <c r="G727"/>
      <c r="H727"/>
      <c r="I727"/>
      <c r="J727"/>
      <c r="K727"/>
      <c r="L727"/>
      <c r="M727"/>
      <c r="N727"/>
      <c r="O727"/>
      <c r="P727"/>
      <c r="Q727"/>
      <c r="R727"/>
      <c r="S727"/>
    </row>
    <row r="728" spans="1:19" ht="15" x14ac:dyDescent="0.2">
      <c r="A728"/>
      <c r="B728"/>
      <c r="C728"/>
      <c r="D728"/>
      <c r="E728"/>
      <c r="F728"/>
      <c r="G728"/>
      <c r="H728"/>
      <c r="I728"/>
      <c r="J728"/>
      <c r="K728"/>
      <c r="L728"/>
      <c r="M728"/>
      <c r="N728"/>
      <c r="O728"/>
      <c r="P728"/>
      <c r="Q728"/>
      <c r="R728"/>
      <c r="S728"/>
    </row>
    <row r="729" spans="1:19" ht="15" x14ac:dyDescent="0.2">
      <c r="A729"/>
      <c r="B729"/>
      <c r="C729"/>
      <c r="D729"/>
      <c r="E729"/>
      <c r="F729"/>
      <c r="G729"/>
      <c r="H729"/>
      <c r="I729"/>
      <c r="J729"/>
      <c r="K729"/>
      <c r="L729"/>
      <c r="M729"/>
      <c r="N729"/>
      <c r="O729"/>
      <c r="P729"/>
      <c r="Q729"/>
      <c r="R729"/>
      <c r="S729"/>
    </row>
    <row r="730" spans="1:19" ht="15" x14ac:dyDescent="0.2">
      <c r="A730"/>
      <c r="B730"/>
      <c r="C730"/>
      <c r="D730"/>
      <c r="E730"/>
      <c r="F730"/>
      <c r="G730"/>
      <c r="H730"/>
      <c r="I730"/>
      <c r="J730"/>
      <c r="K730"/>
      <c r="L730"/>
      <c r="M730"/>
      <c r="N730"/>
      <c r="O730"/>
      <c r="P730"/>
      <c r="Q730"/>
      <c r="R730"/>
      <c r="S730"/>
    </row>
    <row r="731" spans="1:19" ht="15" x14ac:dyDescent="0.2">
      <c r="A731"/>
      <c r="B731"/>
      <c r="C731"/>
      <c r="D731"/>
      <c r="E731"/>
      <c r="F731"/>
      <c r="G731"/>
      <c r="H731"/>
      <c r="I731"/>
      <c r="J731"/>
      <c r="K731"/>
      <c r="L731"/>
      <c r="M731"/>
      <c r="N731"/>
      <c r="O731"/>
      <c r="P731"/>
      <c r="Q731"/>
      <c r="R731"/>
      <c r="S731"/>
    </row>
    <row r="732" spans="1:19" ht="15" x14ac:dyDescent="0.2">
      <c r="A732"/>
      <c r="B732"/>
      <c r="C732"/>
      <c r="D732"/>
      <c r="E732"/>
      <c r="F732"/>
      <c r="G732"/>
      <c r="H732"/>
      <c r="I732"/>
      <c r="J732"/>
      <c r="K732"/>
      <c r="L732"/>
      <c r="M732"/>
      <c r="N732"/>
      <c r="O732"/>
      <c r="P732"/>
      <c r="Q732"/>
      <c r="R732"/>
      <c r="S732"/>
    </row>
    <row r="733" spans="1:19" ht="15" x14ac:dyDescent="0.2">
      <c r="A733"/>
      <c r="B733"/>
      <c r="C733"/>
      <c r="D733"/>
      <c r="E733"/>
      <c r="F733"/>
      <c r="G733"/>
      <c r="H733"/>
      <c r="I733"/>
      <c r="J733"/>
      <c r="K733"/>
      <c r="L733"/>
      <c r="M733"/>
      <c r="N733"/>
      <c r="O733"/>
      <c r="P733"/>
      <c r="Q733"/>
      <c r="R733"/>
      <c r="S733"/>
    </row>
    <row r="734" spans="1:19" ht="15" x14ac:dyDescent="0.2">
      <c r="A734"/>
      <c r="B734"/>
      <c r="C734"/>
      <c r="D734"/>
      <c r="E734"/>
      <c r="F734"/>
      <c r="G734"/>
      <c r="H734"/>
      <c r="I734"/>
      <c r="J734"/>
      <c r="K734"/>
      <c r="L734"/>
      <c r="M734"/>
      <c r="N734"/>
      <c r="O734"/>
      <c r="P734"/>
      <c r="Q734"/>
      <c r="R734"/>
      <c r="S734"/>
    </row>
    <row r="735" spans="1:19" ht="15" x14ac:dyDescent="0.2">
      <c r="A735"/>
      <c r="B735"/>
      <c r="C735"/>
      <c r="D735"/>
      <c r="E735"/>
      <c r="F735"/>
      <c r="G735"/>
      <c r="H735"/>
      <c r="I735"/>
      <c r="J735"/>
      <c r="K735"/>
      <c r="L735"/>
      <c r="M735"/>
      <c r="N735"/>
      <c r="O735"/>
      <c r="P735"/>
      <c r="Q735"/>
      <c r="R735"/>
      <c r="S735"/>
    </row>
    <row r="736" spans="1:19" ht="15" x14ac:dyDescent="0.2">
      <c r="A736"/>
      <c r="B736"/>
      <c r="C736"/>
      <c r="D736"/>
      <c r="E736"/>
      <c r="F736"/>
      <c r="G736"/>
      <c r="H736"/>
      <c r="I736"/>
      <c r="J736"/>
      <c r="K736"/>
      <c r="L736"/>
      <c r="M736"/>
      <c r="N736"/>
      <c r="O736"/>
      <c r="P736"/>
      <c r="Q736"/>
      <c r="R736"/>
      <c r="S736"/>
    </row>
    <row r="737" spans="1:19" ht="15" x14ac:dyDescent="0.2">
      <c r="A737"/>
      <c r="B737"/>
      <c r="C737"/>
      <c r="D737"/>
      <c r="E737"/>
      <c r="F737"/>
      <c r="G737"/>
      <c r="H737"/>
      <c r="I737"/>
      <c r="J737"/>
      <c r="K737"/>
      <c r="L737"/>
      <c r="M737"/>
      <c r="N737"/>
      <c r="O737"/>
      <c r="P737"/>
      <c r="Q737"/>
      <c r="R737"/>
      <c r="S737"/>
    </row>
    <row r="738" spans="1:19" ht="15" x14ac:dyDescent="0.2">
      <c r="A738"/>
      <c r="B738"/>
      <c r="C738"/>
      <c r="D738"/>
      <c r="E738"/>
      <c r="F738"/>
      <c r="G738"/>
      <c r="H738"/>
      <c r="I738"/>
      <c r="J738"/>
      <c r="K738"/>
      <c r="L738"/>
      <c r="M738"/>
      <c r="N738"/>
      <c r="O738"/>
      <c r="P738"/>
      <c r="Q738"/>
      <c r="R738"/>
      <c r="S738"/>
    </row>
    <row r="739" spans="1:19" ht="15" x14ac:dyDescent="0.2">
      <c r="A739"/>
      <c r="B739"/>
      <c r="C739"/>
      <c r="D739"/>
      <c r="E739"/>
      <c r="F739"/>
      <c r="G739"/>
      <c r="H739"/>
      <c r="I739"/>
      <c r="J739"/>
      <c r="K739"/>
      <c r="L739"/>
      <c r="M739"/>
      <c r="N739"/>
      <c r="O739"/>
      <c r="P739"/>
      <c r="Q739"/>
      <c r="R739"/>
      <c r="S739"/>
    </row>
    <row r="740" spans="1:19" ht="15" x14ac:dyDescent="0.2">
      <c r="A740"/>
      <c r="B740"/>
      <c r="C740"/>
      <c r="D740"/>
      <c r="E740"/>
      <c r="F740"/>
      <c r="G740"/>
      <c r="H740"/>
      <c r="I740"/>
      <c r="J740"/>
      <c r="K740"/>
      <c r="L740"/>
      <c r="M740"/>
      <c r="N740"/>
      <c r="O740"/>
      <c r="P740"/>
      <c r="Q740"/>
      <c r="R740"/>
      <c r="S740"/>
    </row>
    <row r="741" spans="1:19" ht="15" x14ac:dyDescent="0.2">
      <c r="A741"/>
      <c r="B741"/>
      <c r="C741"/>
      <c r="D741"/>
      <c r="E741"/>
      <c r="F741"/>
      <c r="G741"/>
      <c r="H741"/>
      <c r="I741"/>
      <c r="J741"/>
      <c r="K741"/>
      <c r="L741"/>
      <c r="M741"/>
      <c r="N741"/>
      <c r="O741"/>
      <c r="P741"/>
      <c r="Q741"/>
      <c r="R741"/>
      <c r="S741"/>
    </row>
    <row r="742" spans="1:19" ht="15" x14ac:dyDescent="0.2">
      <c r="A742"/>
      <c r="B742"/>
      <c r="C742"/>
      <c r="D742"/>
      <c r="E742"/>
      <c r="F742"/>
      <c r="G742"/>
      <c r="H742"/>
      <c r="I742"/>
      <c r="J742"/>
      <c r="K742"/>
      <c r="L742"/>
      <c r="M742"/>
      <c r="N742"/>
      <c r="O742"/>
      <c r="P742"/>
      <c r="Q742"/>
      <c r="R742"/>
      <c r="S742"/>
    </row>
    <row r="743" spans="1:19" ht="15" x14ac:dyDescent="0.2">
      <c r="A743"/>
      <c r="B743"/>
      <c r="C743"/>
      <c r="D743"/>
      <c r="E743"/>
      <c r="F743"/>
      <c r="G743"/>
      <c r="H743"/>
      <c r="I743"/>
      <c r="J743"/>
      <c r="K743"/>
      <c r="L743"/>
      <c r="M743"/>
      <c r="N743"/>
      <c r="O743"/>
      <c r="P743"/>
      <c r="Q743"/>
      <c r="R743"/>
      <c r="S743"/>
    </row>
    <row r="744" spans="1:19" ht="15" x14ac:dyDescent="0.2">
      <c r="A744"/>
      <c r="B744"/>
      <c r="C744"/>
      <c r="D744"/>
      <c r="E744"/>
      <c r="F744"/>
      <c r="G744"/>
      <c r="H744"/>
      <c r="I744"/>
      <c r="J744"/>
      <c r="K744"/>
      <c r="L744"/>
      <c r="M744"/>
      <c r="N744"/>
      <c r="O744"/>
      <c r="P744"/>
      <c r="Q744"/>
      <c r="R744"/>
      <c r="S744"/>
    </row>
    <row r="745" spans="1:19" ht="15" x14ac:dyDescent="0.2">
      <c r="A745"/>
      <c r="B745"/>
      <c r="C745"/>
      <c r="D745"/>
      <c r="E745"/>
      <c r="F745"/>
      <c r="G745"/>
      <c r="H745"/>
      <c r="I745"/>
      <c r="J745"/>
      <c r="K745"/>
      <c r="L745"/>
      <c r="M745"/>
      <c r="N745"/>
      <c r="O745"/>
      <c r="P745"/>
      <c r="Q745"/>
      <c r="R745"/>
      <c r="S745"/>
    </row>
    <row r="746" spans="1:19" ht="15" x14ac:dyDescent="0.2">
      <c r="A746"/>
      <c r="B746"/>
      <c r="C746"/>
      <c r="D746"/>
      <c r="E746"/>
      <c r="F746"/>
      <c r="G746"/>
      <c r="H746"/>
      <c r="I746"/>
      <c r="J746"/>
      <c r="K746"/>
      <c r="L746"/>
      <c r="M746"/>
      <c r="N746"/>
      <c r="O746"/>
      <c r="P746"/>
      <c r="Q746"/>
      <c r="R746"/>
      <c r="S746"/>
    </row>
    <row r="747" spans="1:19" ht="15" x14ac:dyDescent="0.2">
      <c r="A747"/>
      <c r="B747"/>
      <c r="C747"/>
      <c r="D747"/>
      <c r="E747"/>
      <c r="F747"/>
      <c r="G747"/>
      <c r="H747"/>
      <c r="I747"/>
      <c r="J747"/>
      <c r="K747"/>
      <c r="L747"/>
      <c r="M747"/>
      <c r="N747"/>
      <c r="O747"/>
      <c r="P747"/>
      <c r="Q747"/>
      <c r="R747"/>
      <c r="S747"/>
    </row>
    <row r="748" spans="1:19" ht="15" x14ac:dyDescent="0.2">
      <c r="A748"/>
      <c r="B748"/>
      <c r="C748"/>
      <c r="D748"/>
      <c r="E748"/>
      <c r="F748"/>
      <c r="G748"/>
      <c r="H748"/>
      <c r="I748"/>
      <c r="J748"/>
      <c r="K748"/>
      <c r="L748"/>
      <c r="M748"/>
      <c r="N748"/>
      <c r="O748"/>
      <c r="P748"/>
      <c r="Q748"/>
      <c r="R748"/>
      <c r="S748"/>
    </row>
    <row r="749" spans="1:19" ht="15" x14ac:dyDescent="0.2">
      <c r="A749"/>
      <c r="B749"/>
      <c r="C749"/>
      <c r="D749"/>
      <c r="E749"/>
      <c r="F749"/>
      <c r="G749"/>
      <c r="H749"/>
      <c r="I749"/>
      <c r="J749"/>
      <c r="K749"/>
      <c r="L749"/>
      <c r="M749"/>
      <c r="N749"/>
      <c r="O749"/>
      <c r="P749"/>
      <c r="Q749"/>
      <c r="R749"/>
      <c r="S749"/>
    </row>
    <row r="750" spans="1:19" ht="15" x14ac:dyDescent="0.2">
      <c r="A750"/>
      <c r="B750"/>
      <c r="C750"/>
      <c r="D750"/>
      <c r="E750"/>
      <c r="F750"/>
      <c r="G750"/>
      <c r="H750"/>
      <c r="I750"/>
      <c r="J750"/>
      <c r="K750"/>
      <c r="L750"/>
      <c r="M750"/>
      <c r="N750"/>
      <c r="O750"/>
      <c r="P750"/>
      <c r="Q750"/>
      <c r="R750"/>
      <c r="S750"/>
    </row>
    <row r="751" spans="1:19" ht="15" x14ac:dyDescent="0.2">
      <c r="A751"/>
      <c r="B751"/>
      <c r="C751"/>
      <c r="D751"/>
      <c r="E751"/>
      <c r="F751"/>
      <c r="G751"/>
      <c r="H751"/>
      <c r="I751"/>
      <c r="J751"/>
      <c r="K751"/>
      <c r="L751"/>
      <c r="M751"/>
      <c r="N751"/>
      <c r="O751"/>
      <c r="P751"/>
      <c r="Q751"/>
      <c r="R751"/>
      <c r="S751"/>
    </row>
    <row r="752" spans="1:19" ht="15" x14ac:dyDescent="0.2">
      <c r="A752"/>
      <c r="B752"/>
      <c r="C752"/>
      <c r="D752"/>
      <c r="E752"/>
      <c r="F752"/>
      <c r="G752"/>
      <c r="H752"/>
      <c r="I752"/>
      <c r="J752"/>
      <c r="K752"/>
      <c r="L752"/>
      <c r="M752"/>
      <c r="N752"/>
      <c r="O752"/>
      <c r="P752"/>
      <c r="Q752"/>
      <c r="R752"/>
      <c r="S752"/>
    </row>
    <row r="753" spans="1:19" ht="15" x14ac:dyDescent="0.2">
      <c r="A753"/>
      <c r="B753"/>
      <c r="C753"/>
      <c r="D753"/>
      <c r="E753"/>
      <c r="F753"/>
      <c r="G753"/>
      <c r="H753"/>
      <c r="I753"/>
      <c r="J753"/>
      <c r="K753"/>
      <c r="L753"/>
      <c r="M753"/>
      <c r="N753"/>
      <c r="O753"/>
      <c r="P753"/>
      <c r="Q753"/>
      <c r="R753"/>
      <c r="S753"/>
    </row>
    <row r="754" spans="1:19" ht="15" x14ac:dyDescent="0.2">
      <c r="A754"/>
      <c r="B754"/>
      <c r="C754"/>
      <c r="D754"/>
      <c r="E754"/>
      <c r="F754"/>
      <c r="G754"/>
      <c r="H754"/>
      <c r="I754"/>
      <c r="J754"/>
      <c r="K754"/>
      <c r="L754"/>
      <c r="M754"/>
      <c r="N754"/>
      <c r="O754"/>
      <c r="P754"/>
      <c r="Q754"/>
      <c r="R754"/>
      <c r="S754"/>
    </row>
    <row r="755" spans="1:19" ht="15" x14ac:dyDescent="0.2">
      <c r="A755"/>
      <c r="B755"/>
      <c r="C755"/>
      <c r="D755"/>
      <c r="E755"/>
      <c r="F755"/>
      <c r="G755"/>
      <c r="H755"/>
      <c r="I755"/>
      <c r="J755"/>
      <c r="K755"/>
      <c r="L755"/>
      <c r="M755"/>
      <c r="N755"/>
      <c r="O755"/>
      <c r="P755"/>
      <c r="Q755"/>
      <c r="R755"/>
      <c r="S755"/>
    </row>
    <row r="756" spans="1:19" ht="15" x14ac:dyDescent="0.2">
      <c r="A756"/>
      <c r="B756"/>
      <c r="C756"/>
      <c r="D756"/>
      <c r="E756"/>
      <c r="F756"/>
      <c r="G756"/>
      <c r="H756"/>
      <c r="I756"/>
      <c r="J756"/>
      <c r="K756"/>
      <c r="L756"/>
      <c r="M756"/>
      <c r="N756"/>
      <c r="O756"/>
      <c r="P756"/>
      <c r="Q756"/>
      <c r="R756"/>
      <c r="S756"/>
    </row>
    <row r="757" spans="1:19" ht="15" x14ac:dyDescent="0.2">
      <c r="A757"/>
      <c r="B757"/>
      <c r="C757"/>
      <c r="D757"/>
      <c r="E757"/>
      <c r="F757"/>
      <c r="G757"/>
      <c r="H757"/>
      <c r="I757"/>
      <c r="J757"/>
      <c r="K757"/>
      <c r="L757"/>
      <c r="M757"/>
      <c r="N757"/>
      <c r="O757"/>
      <c r="P757"/>
      <c r="Q757"/>
      <c r="R757"/>
      <c r="S757"/>
    </row>
    <row r="758" spans="1:19" ht="15" x14ac:dyDescent="0.2">
      <c r="A758"/>
      <c r="B758"/>
      <c r="C758"/>
      <c r="D758"/>
      <c r="E758"/>
      <c r="F758"/>
      <c r="G758"/>
      <c r="H758"/>
      <c r="I758"/>
      <c r="J758"/>
      <c r="K758"/>
      <c r="L758"/>
      <c r="M758"/>
      <c r="N758"/>
      <c r="O758"/>
      <c r="P758"/>
      <c r="Q758"/>
      <c r="R758"/>
      <c r="S758"/>
    </row>
    <row r="759" spans="1:19" ht="15" x14ac:dyDescent="0.2">
      <c r="A759"/>
      <c r="B759"/>
      <c r="C759"/>
      <c r="D759"/>
      <c r="E759"/>
      <c r="F759"/>
      <c r="G759"/>
      <c r="H759"/>
      <c r="I759"/>
      <c r="J759"/>
      <c r="K759"/>
      <c r="L759"/>
      <c r="M759"/>
      <c r="N759"/>
      <c r="O759"/>
      <c r="P759"/>
      <c r="Q759"/>
      <c r="R759"/>
      <c r="S759"/>
    </row>
    <row r="760" spans="1:19" ht="15" x14ac:dyDescent="0.2">
      <c r="A760"/>
      <c r="B760"/>
      <c r="C760"/>
      <c r="D760"/>
      <c r="E760"/>
      <c r="F760"/>
      <c r="G760"/>
      <c r="H760"/>
      <c r="I760"/>
      <c r="J760"/>
      <c r="K760"/>
      <c r="L760"/>
      <c r="M760"/>
      <c r="N760"/>
      <c r="O760"/>
      <c r="P760"/>
      <c r="Q760"/>
      <c r="R760"/>
      <c r="S760"/>
    </row>
    <row r="761" spans="1:19" ht="15" x14ac:dyDescent="0.2">
      <c r="A761"/>
      <c r="B761"/>
      <c r="C761"/>
      <c r="D761"/>
      <c r="E761"/>
      <c r="F761"/>
      <c r="G761"/>
      <c r="H761"/>
      <c r="I761"/>
      <c r="J761"/>
      <c r="K761"/>
      <c r="L761"/>
      <c r="M761"/>
      <c r="N761"/>
      <c r="O761"/>
      <c r="P761"/>
      <c r="Q761"/>
      <c r="R761"/>
      <c r="S761"/>
    </row>
    <row r="762" spans="1:19" ht="15" x14ac:dyDescent="0.2">
      <c r="A762"/>
      <c r="B762"/>
      <c r="C762"/>
      <c r="D762"/>
      <c r="E762"/>
      <c r="F762"/>
      <c r="G762"/>
      <c r="H762"/>
      <c r="I762"/>
      <c r="J762"/>
      <c r="K762"/>
      <c r="L762"/>
      <c r="M762"/>
      <c r="N762"/>
      <c r="O762"/>
      <c r="P762"/>
      <c r="Q762"/>
      <c r="R762"/>
      <c r="S762"/>
    </row>
    <row r="763" spans="1:19" ht="15" x14ac:dyDescent="0.2">
      <c r="A763"/>
      <c r="B763"/>
      <c r="C763"/>
      <c r="D763"/>
      <c r="E763"/>
      <c r="F763"/>
      <c r="G763"/>
      <c r="H763"/>
      <c r="I763"/>
      <c r="J763"/>
      <c r="K763"/>
      <c r="L763"/>
      <c r="M763"/>
      <c r="N763"/>
      <c r="O763"/>
      <c r="P763"/>
      <c r="Q763"/>
      <c r="R763"/>
      <c r="S763"/>
    </row>
    <row r="764" spans="1:19" ht="15" x14ac:dyDescent="0.2">
      <c r="A764"/>
      <c r="B764"/>
      <c r="C764"/>
      <c r="D764"/>
      <c r="E764"/>
      <c r="F764"/>
      <c r="G764"/>
      <c r="H764"/>
      <c r="I764"/>
      <c r="J764"/>
      <c r="K764"/>
      <c r="L764"/>
      <c r="M764"/>
      <c r="N764"/>
      <c r="O764"/>
      <c r="P764"/>
      <c r="Q764"/>
      <c r="R764"/>
      <c r="S764"/>
    </row>
    <row r="765" spans="1:19" ht="15" x14ac:dyDescent="0.2">
      <c r="A765"/>
      <c r="B765"/>
      <c r="C765"/>
      <c r="D765"/>
      <c r="E765"/>
      <c r="F765"/>
      <c r="G765"/>
      <c r="H765"/>
      <c r="I765"/>
      <c r="J765"/>
      <c r="K765"/>
      <c r="L765"/>
      <c r="M765"/>
      <c r="N765"/>
      <c r="O765"/>
      <c r="P765"/>
      <c r="Q765"/>
      <c r="R765"/>
      <c r="S765"/>
    </row>
    <row r="766" spans="1:19" ht="15" x14ac:dyDescent="0.2">
      <c r="A766"/>
      <c r="B766"/>
      <c r="C766"/>
      <c r="D766"/>
      <c r="E766"/>
      <c r="F766"/>
      <c r="G766"/>
      <c r="H766"/>
      <c r="I766"/>
      <c r="J766"/>
      <c r="K766"/>
      <c r="L766"/>
      <c r="M766"/>
      <c r="N766"/>
      <c r="O766"/>
      <c r="P766"/>
      <c r="Q766"/>
      <c r="R766"/>
      <c r="S766"/>
    </row>
    <row r="767" spans="1:19" ht="15" x14ac:dyDescent="0.2">
      <c r="A767"/>
      <c r="B767"/>
      <c r="C767"/>
      <c r="D767"/>
      <c r="E767"/>
      <c r="F767"/>
      <c r="G767"/>
      <c r="H767"/>
      <c r="I767"/>
      <c r="J767"/>
      <c r="K767"/>
      <c r="L767"/>
      <c r="M767"/>
      <c r="N767"/>
      <c r="O767"/>
      <c r="P767"/>
      <c r="Q767"/>
      <c r="R767"/>
      <c r="S767"/>
    </row>
    <row r="768" spans="1:19" ht="15" x14ac:dyDescent="0.2">
      <c r="A768"/>
      <c r="B768"/>
      <c r="C768"/>
      <c r="D768"/>
      <c r="E768"/>
      <c r="F768"/>
      <c r="G768"/>
      <c r="H768"/>
      <c r="I768"/>
      <c r="J768"/>
      <c r="K768"/>
      <c r="L768"/>
      <c r="M768"/>
      <c r="N768"/>
      <c r="O768"/>
      <c r="P768"/>
      <c r="Q768"/>
      <c r="R768"/>
      <c r="S768"/>
    </row>
    <row r="769" spans="1:19" ht="15" x14ac:dyDescent="0.2">
      <c r="A769"/>
      <c r="B769"/>
      <c r="C769"/>
      <c r="D769"/>
      <c r="E769"/>
      <c r="F769"/>
      <c r="G769"/>
      <c r="H769"/>
      <c r="I769"/>
      <c r="J769"/>
      <c r="K769"/>
      <c r="L769"/>
      <c r="M769"/>
      <c r="N769"/>
      <c r="O769"/>
      <c r="P769"/>
      <c r="Q769"/>
      <c r="R769"/>
      <c r="S769"/>
    </row>
    <row r="770" spans="1:19" ht="15" x14ac:dyDescent="0.2">
      <c r="A770"/>
      <c r="B770"/>
      <c r="C770"/>
      <c r="D770"/>
      <c r="E770"/>
      <c r="F770"/>
      <c r="G770"/>
      <c r="H770"/>
      <c r="I770"/>
      <c r="J770"/>
      <c r="K770"/>
      <c r="L770"/>
      <c r="M770"/>
      <c r="N770"/>
      <c r="O770"/>
      <c r="P770"/>
      <c r="Q770"/>
      <c r="R770"/>
      <c r="S770"/>
    </row>
    <row r="771" spans="1:19" ht="15" x14ac:dyDescent="0.2">
      <c r="A771"/>
      <c r="B771"/>
      <c r="C771"/>
      <c r="D771"/>
      <c r="E771"/>
      <c r="F771"/>
      <c r="G771"/>
      <c r="H771"/>
      <c r="I771"/>
      <c r="J771"/>
      <c r="K771"/>
      <c r="L771"/>
      <c r="M771"/>
      <c r="N771"/>
      <c r="O771"/>
      <c r="P771"/>
      <c r="Q771"/>
      <c r="R771"/>
      <c r="S771"/>
    </row>
    <row r="772" spans="1:19" ht="15" x14ac:dyDescent="0.2">
      <c r="A772"/>
      <c r="B772"/>
      <c r="C772"/>
      <c r="D772"/>
      <c r="E772"/>
      <c r="F772"/>
      <c r="G772"/>
      <c r="H772"/>
      <c r="I772"/>
      <c r="J772"/>
      <c r="K772"/>
      <c r="L772"/>
      <c r="M772"/>
      <c r="N772"/>
      <c r="O772"/>
      <c r="P772"/>
      <c r="Q772"/>
      <c r="R772"/>
      <c r="S772"/>
    </row>
    <row r="773" spans="1:19" ht="15" x14ac:dyDescent="0.2">
      <c r="A773"/>
      <c r="B773"/>
      <c r="C773"/>
      <c r="D773"/>
      <c r="E773"/>
      <c r="F773"/>
      <c r="G773"/>
      <c r="H773"/>
      <c r="I773"/>
      <c r="J773"/>
      <c r="K773"/>
      <c r="L773"/>
      <c r="M773"/>
      <c r="N773"/>
      <c r="O773"/>
      <c r="P773"/>
      <c r="Q773"/>
      <c r="R773"/>
      <c r="S773"/>
    </row>
    <row r="774" spans="1:19" ht="15" x14ac:dyDescent="0.2">
      <c r="A774"/>
      <c r="B774"/>
      <c r="C774"/>
      <c r="D774"/>
      <c r="E774"/>
      <c r="F774"/>
      <c r="G774"/>
      <c r="H774"/>
      <c r="I774"/>
      <c r="J774"/>
      <c r="K774"/>
      <c r="L774"/>
      <c r="M774"/>
      <c r="N774"/>
      <c r="O774"/>
      <c r="P774"/>
      <c r="Q774"/>
      <c r="R774"/>
      <c r="S774"/>
    </row>
    <row r="775" spans="1:19" ht="15" x14ac:dyDescent="0.2">
      <c r="A775"/>
      <c r="B775"/>
      <c r="C775"/>
      <c r="D775"/>
      <c r="E775"/>
      <c r="F775"/>
      <c r="G775"/>
      <c r="H775"/>
      <c r="I775"/>
      <c r="J775"/>
      <c r="K775"/>
      <c r="L775"/>
      <c r="M775"/>
      <c r="N775"/>
      <c r="O775"/>
      <c r="P775"/>
      <c r="Q775"/>
      <c r="R775"/>
      <c r="S775"/>
    </row>
    <row r="776" spans="1:19" ht="15" x14ac:dyDescent="0.2">
      <c r="A776"/>
      <c r="B776"/>
      <c r="C776"/>
      <c r="D776"/>
      <c r="E776"/>
      <c r="F776"/>
      <c r="G776"/>
      <c r="H776"/>
      <c r="I776"/>
      <c r="J776"/>
      <c r="K776"/>
      <c r="L776"/>
      <c r="M776"/>
      <c r="N776"/>
      <c r="O776"/>
      <c r="P776"/>
      <c r="Q776"/>
      <c r="R776"/>
      <c r="S776"/>
    </row>
    <row r="777" spans="1:19" ht="15" x14ac:dyDescent="0.2">
      <c r="A777"/>
      <c r="B777"/>
      <c r="C777"/>
      <c r="D777"/>
      <c r="E777"/>
      <c r="F777"/>
      <c r="G777"/>
      <c r="H777"/>
      <c r="I777"/>
      <c r="J777"/>
      <c r="K777"/>
      <c r="L777"/>
      <c r="M777"/>
      <c r="N777"/>
      <c r="O777"/>
      <c r="P777"/>
      <c r="Q777"/>
      <c r="R777"/>
      <c r="S777"/>
    </row>
    <row r="778" spans="1:19" ht="15" x14ac:dyDescent="0.2">
      <c r="A778"/>
      <c r="B778"/>
      <c r="C778"/>
      <c r="D778"/>
      <c r="E778"/>
      <c r="F778"/>
      <c r="G778"/>
      <c r="H778"/>
      <c r="I778"/>
      <c r="J778"/>
      <c r="K778"/>
      <c r="L778"/>
      <c r="M778"/>
      <c r="N778"/>
      <c r="O778"/>
      <c r="P778"/>
      <c r="Q778"/>
      <c r="R778"/>
      <c r="S778"/>
    </row>
    <row r="779" spans="1:19" ht="15" x14ac:dyDescent="0.2">
      <c r="A779"/>
      <c r="B779"/>
      <c r="C779"/>
      <c r="D779"/>
      <c r="E779"/>
      <c r="F779"/>
      <c r="G779"/>
      <c r="H779"/>
      <c r="I779"/>
      <c r="J779"/>
      <c r="K779"/>
      <c r="L779"/>
      <c r="M779"/>
      <c r="N779"/>
      <c r="O779"/>
      <c r="P779"/>
      <c r="Q779"/>
      <c r="R779"/>
      <c r="S779"/>
    </row>
    <row r="780" spans="1:19" ht="15" x14ac:dyDescent="0.2">
      <c r="A780"/>
      <c r="B780"/>
      <c r="C780"/>
      <c r="D780"/>
      <c r="E780"/>
      <c r="F780"/>
      <c r="G780"/>
      <c r="H780"/>
      <c r="I780"/>
      <c r="J780"/>
      <c r="K780"/>
      <c r="L780"/>
      <c r="M780"/>
      <c r="N780"/>
      <c r="O780"/>
      <c r="P780"/>
      <c r="Q780"/>
      <c r="R780"/>
      <c r="S780"/>
    </row>
    <row r="781" spans="1:19" ht="15" x14ac:dyDescent="0.2">
      <c r="A781"/>
      <c r="B781"/>
      <c r="C781"/>
      <c r="D781"/>
      <c r="E781"/>
      <c r="F781"/>
      <c r="G781"/>
      <c r="H781"/>
      <c r="I781"/>
      <c r="J781"/>
      <c r="K781"/>
      <c r="L781"/>
      <c r="M781"/>
      <c r="N781"/>
      <c r="O781"/>
      <c r="P781"/>
      <c r="Q781"/>
      <c r="R781"/>
      <c r="S781"/>
    </row>
    <row r="782" spans="1:19" ht="15" x14ac:dyDescent="0.2">
      <c r="A782"/>
      <c r="B782"/>
      <c r="C782"/>
      <c r="D782"/>
      <c r="E782"/>
      <c r="F782"/>
      <c r="G782"/>
      <c r="H782"/>
      <c r="I782"/>
      <c r="J782"/>
      <c r="K782"/>
      <c r="L782"/>
      <c r="M782"/>
      <c r="N782"/>
      <c r="O782"/>
      <c r="P782"/>
      <c r="Q782"/>
      <c r="R782"/>
      <c r="S782"/>
    </row>
    <row r="783" spans="1:19" ht="15" x14ac:dyDescent="0.2">
      <c r="A783"/>
      <c r="B783"/>
      <c r="C783"/>
      <c r="D783"/>
      <c r="E783"/>
      <c r="F783"/>
      <c r="G783"/>
      <c r="H783"/>
      <c r="I783"/>
      <c r="J783"/>
      <c r="K783"/>
      <c r="L783"/>
      <c r="M783"/>
      <c r="N783"/>
      <c r="O783"/>
      <c r="P783"/>
      <c r="Q783"/>
      <c r="R783"/>
      <c r="S783"/>
    </row>
    <row r="784" spans="1:19" ht="15" x14ac:dyDescent="0.2">
      <c r="A784"/>
      <c r="B784"/>
      <c r="C784"/>
      <c r="D784"/>
      <c r="E784"/>
      <c r="F784"/>
      <c r="G784"/>
      <c r="H784"/>
      <c r="I784"/>
      <c r="J784"/>
      <c r="K784"/>
      <c r="L784"/>
      <c r="M784"/>
      <c r="N784"/>
      <c r="O784"/>
      <c r="P784"/>
      <c r="Q784"/>
      <c r="R784"/>
      <c r="S784"/>
    </row>
    <row r="785" spans="1:19" ht="15" x14ac:dyDescent="0.2">
      <c r="A785"/>
      <c r="B785"/>
      <c r="C785"/>
      <c r="D785"/>
      <c r="E785"/>
      <c r="F785"/>
      <c r="G785"/>
      <c r="H785"/>
      <c r="I785"/>
      <c r="J785"/>
      <c r="K785"/>
      <c r="L785"/>
      <c r="M785"/>
      <c r="N785"/>
      <c r="O785"/>
      <c r="P785"/>
      <c r="Q785"/>
      <c r="R785"/>
      <c r="S785"/>
    </row>
    <row r="786" spans="1:19" ht="15" x14ac:dyDescent="0.2">
      <c r="A786"/>
      <c r="B786"/>
      <c r="C786"/>
      <c r="D786"/>
      <c r="E786"/>
      <c r="F786"/>
      <c r="G786"/>
      <c r="H786"/>
      <c r="I786"/>
      <c r="J786"/>
      <c r="K786"/>
      <c r="L786"/>
      <c r="M786"/>
      <c r="N786"/>
      <c r="O786"/>
      <c r="P786"/>
      <c r="Q786"/>
      <c r="R786"/>
      <c r="S786"/>
    </row>
    <row r="787" spans="1:19" ht="15" x14ac:dyDescent="0.2">
      <c r="A787"/>
      <c r="B787"/>
      <c r="C787"/>
      <c r="D787"/>
      <c r="E787"/>
      <c r="F787"/>
      <c r="G787"/>
      <c r="H787"/>
      <c r="I787"/>
      <c r="J787"/>
      <c r="K787"/>
      <c r="L787"/>
      <c r="M787"/>
      <c r="N787"/>
      <c r="O787"/>
      <c r="P787"/>
      <c r="Q787"/>
      <c r="R787"/>
      <c r="S787"/>
    </row>
    <row r="788" spans="1:19" ht="15" x14ac:dyDescent="0.2">
      <c r="A788"/>
      <c r="B788"/>
      <c r="C788"/>
      <c r="D788"/>
      <c r="E788"/>
      <c r="F788"/>
      <c r="G788"/>
      <c r="H788"/>
      <c r="I788"/>
      <c r="J788"/>
      <c r="K788"/>
      <c r="L788"/>
      <c r="M788"/>
      <c r="N788"/>
      <c r="O788"/>
      <c r="P788"/>
      <c r="Q788"/>
      <c r="R788"/>
      <c r="S788"/>
    </row>
    <row r="789" spans="1:19" ht="15" x14ac:dyDescent="0.2">
      <c r="A789"/>
      <c r="B789"/>
      <c r="C789"/>
      <c r="D789"/>
      <c r="E789"/>
      <c r="F789"/>
      <c r="G789"/>
      <c r="H789"/>
      <c r="I789"/>
      <c r="J789"/>
      <c r="K789"/>
      <c r="L789"/>
      <c r="M789"/>
      <c r="N789"/>
      <c r="O789"/>
      <c r="P789"/>
      <c r="Q789"/>
      <c r="R789"/>
      <c r="S789"/>
    </row>
    <row r="790" spans="1:19" ht="15" x14ac:dyDescent="0.2">
      <c r="A790"/>
      <c r="B790"/>
      <c r="C790"/>
      <c r="D790"/>
      <c r="E790"/>
      <c r="F790"/>
      <c r="G790"/>
      <c r="H790"/>
      <c r="I790"/>
      <c r="J790"/>
      <c r="K790"/>
      <c r="L790"/>
      <c r="M790"/>
      <c r="N790"/>
      <c r="O790"/>
      <c r="P790"/>
      <c r="Q790"/>
      <c r="R790"/>
      <c r="S790"/>
    </row>
    <row r="791" spans="1:19" ht="15" x14ac:dyDescent="0.2">
      <c r="A791"/>
      <c r="B791"/>
      <c r="C791"/>
      <c r="D791"/>
      <c r="E791"/>
      <c r="F791"/>
      <c r="G791"/>
      <c r="H791"/>
      <c r="I791"/>
      <c r="J791"/>
      <c r="K791"/>
      <c r="L791"/>
      <c r="M791"/>
      <c r="N791"/>
      <c r="O791"/>
      <c r="P791"/>
      <c r="Q791"/>
      <c r="R791"/>
      <c r="S791"/>
    </row>
    <row r="792" spans="1:19" ht="15" x14ac:dyDescent="0.2">
      <c r="A792"/>
      <c r="B792"/>
      <c r="C792"/>
      <c r="D792"/>
      <c r="E792"/>
      <c r="F792"/>
      <c r="G792"/>
      <c r="H792"/>
      <c r="I792"/>
      <c r="J792"/>
      <c r="K792"/>
      <c r="L792"/>
      <c r="M792"/>
      <c r="N792"/>
      <c r="O792"/>
      <c r="P792"/>
      <c r="Q792"/>
      <c r="R792"/>
      <c r="S792"/>
    </row>
    <row r="793" spans="1:19" ht="15" x14ac:dyDescent="0.2">
      <c r="A793"/>
      <c r="B793"/>
      <c r="C793"/>
      <c r="D793"/>
      <c r="E793"/>
      <c r="F793"/>
      <c r="G793"/>
      <c r="H793"/>
      <c r="I793"/>
      <c r="J793"/>
      <c r="K793"/>
      <c r="L793"/>
      <c r="M793"/>
      <c r="N793"/>
      <c r="O793"/>
      <c r="P793"/>
      <c r="Q793"/>
      <c r="R793"/>
      <c r="S793"/>
    </row>
    <row r="794" spans="1:19" ht="15" x14ac:dyDescent="0.2">
      <c r="A794"/>
      <c r="B794"/>
      <c r="C794"/>
      <c r="D794"/>
      <c r="E794"/>
      <c r="F794"/>
      <c r="G794"/>
      <c r="H794"/>
      <c r="I794"/>
      <c r="J794"/>
      <c r="K794"/>
      <c r="L794"/>
      <c r="M794"/>
      <c r="N794"/>
      <c r="O794"/>
      <c r="P794"/>
      <c r="Q794"/>
      <c r="R794"/>
      <c r="S794"/>
    </row>
    <row r="795" spans="1:19" ht="15" x14ac:dyDescent="0.2">
      <c r="A795"/>
      <c r="B795"/>
      <c r="C795"/>
      <c r="D795"/>
      <c r="E795"/>
      <c r="F795"/>
      <c r="G795"/>
      <c r="H795"/>
      <c r="I795"/>
      <c r="J795"/>
      <c r="K795"/>
      <c r="L795"/>
      <c r="M795"/>
      <c r="N795"/>
      <c r="O795"/>
      <c r="P795"/>
      <c r="Q795"/>
      <c r="R795"/>
      <c r="S795"/>
    </row>
    <row r="796" spans="1:19" ht="15" x14ac:dyDescent="0.2">
      <c r="A796"/>
      <c r="B796"/>
      <c r="C796"/>
      <c r="D796"/>
      <c r="E796"/>
      <c r="F796"/>
      <c r="G796"/>
      <c r="H796"/>
      <c r="I796"/>
      <c r="J796"/>
      <c r="K796"/>
      <c r="L796"/>
      <c r="M796"/>
      <c r="N796"/>
      <c r="O796"/>
      <c r="P796"/>
      <c r="Q796"/>
      <c r="R796"/>
      <c r="S796"/>
    </row>
    <row r="797" spans="1:19" ht="15" x14ac:dyDescent="0.2">
      <c r="A797"/>
      <c r="B797"/>
      <c r="C797"/>
      <c r="D797"/>
      <c r="E797"/>
      <c r="F797"/>
      <c r="G797"/>
      <c r="H797"/>
      <c r="I797"/>
      <c r="J797"/>
      <c r="K797"/>
      <c r="L797"/>
      <c r="M797"/>
      <c r="N797"/>
      <c r="O797"/>
      <c r="P797"/>
      <c r="Q797"/>
      <c r="R797"/>
      <c r="S797"/>
    </row>
    <row r="798" spans="1:19" ht="15" x14ac:dyDescent="0.2">
      <c r="A798"/>
      <c r="B798"/>
      <c r="C798"/>
      <c r="D798"/>
      <c r="E798"/>
      <c r="F798"/>
      <c r="G798"/>
      <c r="H798"/>
      <c r="I798"/>
      <c r="J798"/>
      <c r="K798"/>
      <c r="L798"/>
      <c r="M798"/>
      <c r="N798"/>
      <c r="O798"/>
      <c r="P798"/>
      <c r="Q798"/>
      <c r="R798"/>
      <c r="S798"/>
    </row>
    <row r="799" spans="1:19" ht="15" x14ac:dyDescent="0.2">
      <c r="A799"/>
      <c r="B799"/>
      <c r="C799"/>
      <c r="D799"/>
      <c r="E799"/>
      <c r="F799"/>
      <c r="G799"/>
      <c r="H799"/>
      <c r="I799"/>
      <c r="J799"/>
      <c r="K799"/>
      <c r="L799"/>
      <c r="M799"/>
      <c r="N799"/>
      <c r="O799"/>
      <c r="P799"/>
      <c r="Q799"/>
      <c r="R799"/>
      <c r="S799"/>
    </row>
    <row r="800" spans="1:19" ht="15" x14ac:dyDescent="0.2">
      <c r="A800"/>
      <c r="B800"/>
      <c r="C800"/>
      <c r="D800"/>
      <c r="E800"/>
      <c r="F800"/>
      <c r="G800"/>
      <c r="H800"/>
      <c r="I800"/>
      <c r="J800"/>
      <c r="K800"/>
      <c r="L800"/>
      <c r="M800"/>
      <c r="N800"/>
      <c r="O800"/>
      <c r="P800"/>
      <c r="Q800"/>
      <c r="R800"/>
      <c r="S800"/>
    </row>
    <row r="801" spans="1:19" ht="15" x14ac:dyDescent="0.2">
      <c r="A801"/>
      <c r="B801"/>
      <c r="C801"/>
      <c r="D801"/>
      <c r="E801"/>
      <c r="F801"/>
      <c r="G801"/>
      <c r="H801"/>
      <c r="I801"/>
      <c r="J801"/>
      <c r="K801"/>
      <c r="L801"/>
      <c r="M801"/>
      <c r="N801"/>
      <c r="O801"/>
      <c r="P801"/>
      <c r="Q801"/>
      <c r="R801"/>
      <c r="S801"/>
    </row>
    <row r="802" spans="1:19" ht="15" x14ac:dyDescent="0.2">
      <c r="A802"/>
      <c r="B802"/>
      <c r="C802"/>
      <c r="D802"/>
      <c r="E802"/>
      <c r="F802"/>
      <c r="G802"/>
      <c r="H802"/>
      <c r="I802"/>
      <c r="J802"/>
      <c r="K802"/>
      <c r="L802"/>
      <c r="M802"/>
      <c r="N802"/>
      <c r="O802"/>
      <c r="P802"/>
      <c r="Q802"/>
      <c r="R802"/>
      <c r="S802"/>
    </row>
    <row r="803" spans="1:19" ht="15" x14ac:dyDescent="0.2">
      <c r="A803"/>
      <c r="B803"/>
      <c r="C803"/>
      <c r="D803"/>
      <c r="E803"/>
      <c r="F803"/>
      <c r="G803"/>
      <c r="H803"/>
      <c r="I803"/>
      <c r="J803"/>
      <c r="K803"/>
      <c r="L803"/>
      <c r="M803"/>
      <c r="N803"/>
      <c r="O803"/>
      <c r="P803"/>
      <c r="Q803"/>
      <c r="R803"/>
      <c r="S803"/>
    </row>
    <row r="804" spans="1:19" ht="15" x14ac:dyDescent="0.2">
      <c r="A804"/>
      <c r="B804"/>
      <c r="C804"/>
      <c r="D804"/>
      <c r="E804"/>
      <c r="F804"/>
      <c r="G804"/>
      <c r="H804"/>
      <c r="I804"/>
      <c r="J804"/>
      <c r="K804"/>
      <c r="L804"/>
      <c r="M804"/>
      <c r="N804"/>
      <c r="O804"/>
      <c r="P804"/>
      <c r="Q804"/>
      <c r="R804"/>
      <c r="S804"/>
    </row>
    <row r="805" spans="1:19" ht="15" x14ac:dyDescent="0.2">
      <c r="A805"/>
      <c r="B805"/>
      <c r="C805"/>
      <c r="D805"/>
      <c r="E805"/>
      <c r="F805"/>
      <c r="G805"/>
      <c r="H805"/>
      <c r="I805"/>
      <c r="J805"/>
      <c r="K805"/>
      <c r="L805"/>
      <c r="M805"/>
      <c r="N805"/>
      <c r="O805"/>
      <c r="P805"/>
      <c r="Q805"/>
      <c r="R805"/>
      <c r="S805"/>
    </row>
    <row r="806" spans="1:19" ht="15" x14ac:dyDescent="0.2">
      <c r="A806"/>
      <c r="B806"/>
      <c r="C806"/>
      <c r="D806"/>
      <c r="E806"/>
      <c r="F806"/>
      <c r="G806"/>
      <c r="H806"/>
      <c r="I806"/>
      <c r="J806"/>
      <c r="K806"/>
      <c r="L806"/>
      <c r="M806"/>
      <c r="N806"/>
      <c r="O806"/>
      <c r="P806"/>
      <c r="Q806"/>
      <c r="R806"/>
      <c r="S806"/>
    </row>
    <row r="807" spans="1:19" ht="15" x14ac:dyDescent="0.2">
      <c r="A807"/>
      <c r="B807"/>
      <c r="C807"/>
      <c r="D807"/>
      <c r="E807"/>
      <c r="F807"/>
      <c r="G807"/>
      <c r="H807"/>
      <c r="I807"/>
      <c r="J807"/>
      <c r="K807"/>
      <c r="L807"/>
      <c r="M807"/>
      <c r="N807"/>
      <c r="O807"/>
      <c r="P807"/>
      <c r="Q807"/>
      <c r="R807"/>
      <c r="S807"/>
    </row>
    <row r="808" spans="1:19" ht="15" x14ac:dyDescent="0.2">
      <c r="A808"/>
      <c r="B808"/>
      <c r="C808"/>
      <c r="D808"/>
      <c r="E808"/>
      <c r="F808"/>
      <c r="G808"/>
      <c r="H808"/>
      <c r="I808"/>
      <c r="J808"/>
      <c r="K808"/>
      <c r="L808"/>
      <c r="M808"/>
      <c r="N808"/>
      <c r="O808"/>
      <c r="P808"/>
      <c r="Q808"/>
      <c r="R808"/>
      <c r="S808"/>
    </row>
    <row r="809" spans="1:19" ht="15" x14ac:dyDescent="0.2">
      <c r="A809"/>
      <c r="B809"/>
      <c r="C809"/>
      <c r="D809"/>
      <c r="E809"/>
      <c r="F809"/>
      <c r="G809"/>
      <c r="H809"/>
      <c r="I809"/>
      <c r="J809"/>
      <c r="K809"/>
      <c r="L809"/>
      <c r="M809"/>
      <c r="N809"/>
      <c r="O809"/>
      <c r="P809"/>
      <c r="Q809"/>
      <c r="R809"/>
      <c r="S809"/>
    </row>
    <row r="810" spans="1:19" ht="15" x14ac:dyDescent="0.2">
      <c r="A810"/>
      <c r="B810"/>
      <c r="C810"/>
      <c r="D810"/>
      <c r="E810"/>
      <c r="F810"/>
      <c r="G810"/>
      <c r="H810"/>
      <c r="I810"/>
      <c r="J810"/>
      <c r="K810"/>
      <c r="L810"/>
      <c r="M810"/>
      <c r="N810"/>
      <c r="O810"/>
      <c r="P810"/>
      <c r="Q810"/>
      <c r="R810"/>
      <c r="S810"/>
    </row>
    <row r="811" spans="1:19" ht="15" x14ac:dyDescent="0.2">
      <c r="A811"/>
      <c r="B811"/>
      <c r="C811"/>
      <c r="D811"/>
      <c r="E811"/>
      <c r="F811"/>
      <c r="G811"/>
      <c r="H811"/>
      <c r="I811"/>
      <c r="J811"/>
      <c r="K811"/>
      <c r="L811"/>
      <c r="M811"/>
      <c r="N811"/>
      <c r="O811"/>
      <c r="P811"/>
      <c r="Q811"/>
      <c r="R811"/>
      <c r="S811"/>
    </row>
    <row r="812" spans="1:19" ht="15" x14ac:dyDescent="0.2">
      <c r="A812"/>
      <c r="B812"/>
      <c r="C812"/>
      <c r="D812"/>
      <c r="E812"/>
      <c r="F812"/>
      <c r="G812"/>
      <c r="H812"/>
      <c r="I812"/>
      <c r="J812"/>
      <c r="K812"/>
      <c r="L812"/>
      <c r="M812"/>
      <c r="N812"/>
      <c r="O812"/>
      <c r="P812"/>
      <c r="Q812"/>
      <c r="R812"/>
      <c r="S812"/>
    </row>
    <row r="813" spans="1:19" ht="15" x14ac:dyDescent="0.2">
      <c r="A813"/>
      <c r="B813"/>
      <c r="C813"/>
      <c r="D813"/>
      <c r="E813"/>
      <c r="F813"/>
      <c r="G813"/>
      <c r="H813"/>
      <c r="I813"/>
      <c r="J813"/>
      <c r="K813"/>
      <c r="L813"/>
      <c r="M813"/>
      <c r="N813"/>
      <c r="O813"/>
      <c r="P813"/>
      <c r="Q813"/>
      <c r="R813"/>
      <c r="S813"/>
    </row>
    <row r="814" spans="1:19" ht="15" x14ac:dyDescent="0.2">
      <c r="A814"/>
      <c r="B814"/>
      <c r="C814"/>
      <c r="D814"/>
      <c r="E814"/>
      <c r="F814"/>
      <c r="G814"/>
      <c r="H814"/>
      <c r="I814"/>
      <c r="J814"/>
      <c r="K814"/>
      <c r="L814"/>
      <c r="M814"/>
      <c r="N814"/>
      <c r="O814"/>
      <c r="P814"/>
      <c r="Q814"/>
      <c r="R814"/>
      <c r="S814"/>
    </row>
    <row r="815" spans="1:19" ht="15" x14ac:dyDescent="0.2">
      <c r="A815"/>
      <c r="B815"/>
      <c r="C815"/>
      <c r="D815"/>
      <c r="E815"/>
      <c r="F815"/>
      <c r="G815"/>
      <c r="H815"/>
      <c r="I815"/>
      <c r="J815"/>
      <c r="K815"/>
      <c r="L815"/>
      <c r="M815"/>
      <c r="N815"/>
      <c r="O815"/>
      <c r="P815"/>
      <c r="Q815"/>
      <c r="R815"/>
      <c r="S815"/>
    </row>
    <row r="816" spans="1:19" ht="15" x14ac:dyDescent="0.2">
      <c r="A816"/>
      <c r="B816"/>
      <c r="C816"/>
      <c r="D816"/>
      <c r="E816"/>
      <c r="F816"/>
      <c r="G816"/>
      <c r="H816"/>
      <c r="I816"/>
      <c r="J816"/>
      <c r="K816"/>
      <c r="L816"/>
      <c r="M816"/>
      <c r="N816"/>
      <c r="O816"/>
      <c r="P816"/>
      <c r="Q816"/>
      <c r="R816"/>
      <c r="S816"/>
    </row>
    <row r="817" spans="1:19" ht="15" x14ac:dyDescent="0.2">
      <c r="A817"/>
      <c r="B817"/>
      <c r="C817"/>
      <c r="D817"/>
      <c r="E817"/>
      <c r="F817"/>
      <c r="G817"/>
      <c r="H817"/>
      <c r="I817"/>
      <c r="J817"/>
      <c r="K817"/>
      <c r="L817"/>
      <c r="M817"/>
      <c r="N817"/>
      <c r="O817"/>
      <c r="P817"/>
      <c r="Q817"/>
      <c r="R817"/>
      <c r="S817"/>
    </row>
    <row r="818" spans="1:19" ht="15" x14ac:dyDescent="0.2">
      <c r="A818"/>
      <c r="B818"/>
      <c r="C818"/>
      <c r="D818"/>
      <c r="E818"/>
      <c r="F818"/>
      <c r="G818"/>
      <c r="H818"/>
      <c r="I818"/>
      <c r="J818"/>
      <c r="K818"/>
      <c r="L818"/>
      <c r="M818"/>
      <c r="N818"/>
      <c r="O818"/>
      <c r="P818"/>
      <c r="Q818"/>
      <c r="R818"/>
      <c r="S818"/>
    </row>
    <row r="819" spans="1:19" ht="15" x14ac:dyDescent="0.2">
      <c r="A819"/>
      <c r="B819"/>
      <c r="C819"/>
      <c r="D819"/>
      <c r="E819"/>
      <c r="F819"/>
      <c r="G819"/>
      <c r="H819"/>
      <c r="I819"/>
      <c r="J819"/>
      <c r="K819"/>
      <c r="L819"/>
      <c r="M819"/>
      <c r="N819"/>
      <c r="O819"/>
      <c r="P819"/>
      <c r="Q819"/>
      <c r="R819"/>
      <c r="S819"/>
    </row>
    <row r="820" spans="1:19" ht="15" x14ac:dyDescent="0.2">
      <c r="A820"/>
      <c r="B820"/>
      <c r="C820"/>
      <c r="D820"/>
      <c r="E820"/>
      <c r="F820"/>
      <c r="G820"/>
      <c r="H820"/>
      <c r="I820"/>
      <c r="J820"/>
      <c r="K820"/>
      <c r="L820"/>
      <c r="M820"/>
      <c r="N820"/>
      <c r="O820"/>
      <c r="P820"/>
      <c r="Q820"/>
      <c r="R820"/>
      <c r="S820"/>
    </row>
    <row r="821" spans="1:19" ht="15" x14ac:dyDescent="0.2">
      <c r="A821"/>
      <c r="B821"/>
      <c r="C821"/>
      <c r="D821"/>
      <c r="E821"/>
      <c r="F821"/>
      <c r="G821"/>
      <c r="H821"/>
      <c r="I821"/>
      <c r="J821"/>
      <c r="K821"/>
      <c r="L821"/>
      <c r="M821"/>
      <c r="N821"/>
      <c r="O821"/>
      <c r="P821"/>
      <c r="Q821"/>
      <c r="R821"/>
      <c r="S821"/>
    </row>
    <row r="822" spans="1:19" ht="15" x14ac:dyDescent="0.2">
      <c r="A822"/>
      <c r="B822"/>
      <c r="C822"/>
      <c r="D822"/>
      <c r="E822"/>
      <c r="F822"/>
      <c r="G822"/>
      <c r="H822"/>
      <c r="I822"/>
      <c r="J822"/>
      <c r="K822"/>
      <c r="L822"/>
      <c r="M822"/>
      <c r="N822"/>
      <c r="O822"/>
      <c r="P822"/>
      <c r="Q822"/>
      <c r="R822"/>
      <c r="S822"/>
    </row>
    <row r="823" spans="1:19" ht="15" x14ac:dyDescent="0.2">
      <c r="A823"/>
      <c r="B823"/>
      <c r="C823"/>
      <c r="D823"/>
      <c r="E823"/>
      <c r="F823"/>
      <c r="G823"/>
      <c r="H823"/>
      <c r="I823"/>
      <c r="J823"/>
      <c r="K823"/>
      <c r="L823"/>
      <c r="M823"/>
      <c r="N823"/>
      <c r="O823"/>
      <c r="P823"/>
      <c r="Q823"/>
      <c r="R823"/>
      <c r="S823"/>
    </row>
    <row r="824" spans="1:19" ht="15" x14ac:dyDescent="0.2">
      <c r="A824"/>
      <c r="B824"/>
      <c r="C824"/>
      <c r="D824"/>
      <c r="E824"/>
      <c r="F824"/>
      <c r="G824"/>
      <c r="H824"/>
      <c r="I824"/>
      <c r="J824"/>
      <c r="K824"/>
      <c r="L824"/>
      <c r="M824"/>
      <c r="N824"/>
      <c r="O824"/>
      <c r="P824"/>
      <c r="Q824"/>
      <c r="R824"/>
      <c r="S824"/>
    </row>
    <row r="825" spans="1:19" ht="15" x14ac:dyDescent="0.2">
      <c r="A825"/>
      <c r="B825"/>
      <c r="C825"/>
      <c r="D825"/>
      <c r="E825"/>
      <c r="F825"/>
      <c r="G825"/>
      <c r="H825"/>
      <c r="I825"/>
      <c r="J825"/>
      <c r="K825"/>
      <c r="L825"/>
      <c r="M825"/>
      <c r="N825"/>
      <c r="O825"/>
      <c r="P825"/>
      <c r="Q825"/>
      <c r="R825"/>
      <c r="S825"/>
    </row>
    <row r="826" spans="1:19" ht="15" x14ac:dyDescent="0.2">
      <c r="A826"/>
      <c r="B826"/>
      <c r="C826"/>
      <c r="D826"/>
      <c r="E826"/>
      <c r="F826"/>
      <c r="G826"/>
      <c r="H826"/>
      <c r="I826"/>
      <c r="J826"/>
      <c r="K826"/>
      <c r="L826"/>
      <c r="M826"/>
      <c r="N826"/>
      <c r="O826"/>
      <c r="P826"/>
      <c r="Q826"/>
      <c r="R826"/>
      <c r="S826"/>
    </row>
    <row r="827" spans="1:19" ht="15" x14ac:dyDescent="0.2">
      <c r="A827"/>
      <c r="B827"/>
      <c r="C827"/>
      <c r="D827"/>
      <c r="E827"/>
      <c r="F827"/>
      <c r="G827"/>
      <c r="H827"/>
      <c r="I827"/>
      <c r="J827"/>
      <c r="K827"/>
      <c r="L827"/>
      <c r="M827"/>
      <c r="N827"/>
      <c r="O827"/>
      <c r="P827"/>
      <c r="Q827"/>
      <c r="R827"/>
      <c r="S827"/>
    </row>
    <row r="828" spans="1:19" ht="15" x14ac:dyDescent="0.2">
      <c r="A828"/>
      <c r="B828"/>
      <c r="C828"/>
      <c r="D828"/>
      <c r="E828"/>
      <c r="F828"/>
      <c r="G828"/>
      <c r="H828"/>
      <c r="I828"/>
      <c r="J828"/>
      <c r="K828"/>
      <c r="L828"/>
      <c r="M828"/>
      <c r="N828"/>
      <c r="O828"/>
      <c r="P828"/>
      <c r="Q828"/>
      <c r="R828"/>
      <c r="S828"/>
    </row>
    <row r="829" spans="1:19" ht="15" x14ac:dyDescent="0.2">
      <c r="A829"/>
      <c r="B829"/>
      <c r="C829"/>
      <c r="D829"/>
      <c r="E829"/>
      <c r="F829"/>
      <c r="G829"/>
      <c r="H829"/>
      <c r="I829"/>
      <c r="J829"/>
      <c r="K829"/>
      <c r="L829"/>
      <c r="M829"/>
      <c r="N829"/>
      <c r="O829"/>
      <c r="P829"/>
      <c r="Q829"/>
      <c r="R829"/>
      <c r="S829"/>
    </row>
    <row r="830" spans="1:19" ht="15" x14ac:dyDescent="0.2">
      <c r="A830"/>
      <c r="B830"/>
      <c r="C830"/>
      <c r="D830"/>
      <c r="E830"/>
      <c r="F830"/>
      <c r="G830"/>
      <c r="H830"/>
      <c r="I830"/>
      <c r="J830"/>
      <c r="K830"/>
      <c r="L830"/>
      <c r="M830"/>
      <c r="N830"/>
      <c r="O830"/>
      <c r="P830"/>
      <c r="Q830"/>
      <c r="R830"/>
      <c r="S830"/>
    </row>
    <row r="831" spans="1:19" ht="15" x14ac:dyDescent="0.2">
      <c r="A831"/>
      <c r="B831"/>
      <c r="C831"/>
      <c r="D831"/>
      <c r="E831"/>
      <c r="F831"/>
      <c r="G831"/>
      <c r="H831"/>
      <c r="I831"/>
      <c r="J831"/>
      <c r="K831"/>
      <c r="L831"/>
      <c r="M831"/>
      <c r="N831"/>
      <c r="O831"/>
      <c r="P831"/>
      <c r="Q831"/>
      <c r="R831"/>
      <c r="S831"/>
    </row>
    <row r="832" spans="1:19" ht="15" x14ac:dyDescent="0.2">
      <c r="A832"/>
      <c r="B832"/>
      <c r="C832"/>
      <c r="D832"/>
      <c r="E832"/>
      <c r="F832"/>
      <c r="G832"/>
      <c r="H832"/>
      <c r="I832"/>
      <c r="J832"/>
      <c r="K832"/>
      <c r="L832"/>
      <c r="M832"/>
      <c r="N832"/>
      <c r="O832"/>
      <c r="P832"/>
      <c r="Q832"/>
      <c r="R832"/>
      <c r="S832"/>
    </row>
    <row r="833" spans="1:19" ht="15" x14ac:dyDescent="0.2">
      <c r="A833"/>
      <c r="B833"/>
      <c r="C833"/>
      <c r="D833"/>
      <c r="E833"/>
      <c r="F833"/>
      <c r="G833"/>
      <c r="H833"/>
      <c r="I833"/>
      <c r="J833"/>
      <c r="K833"/>
      <c r="L833"/>
      <c r="M833"/>
      <c r="N833"/>
      <c r="O833"/>
      <c r="P833"/>
      <c r="Q833"/>
      <c r="R833"/>
      <c r="S833"/>
    </row>
    <row r="834" spans="1:19" ht="15" x14ac:dyDescent="0.2">
      <c r="A834"/>
      <c r="B834"/>
      <c r="C834"/>
      <c r="D834"/>
      <c r="E834"/>
      <c r="F834"/>
      <c r="G834"/>
      <c r="H834"/>
      <c r="I834"/>
      <c r="J834"/>
      <c r="K834"/>
      <c r="L834"/>
      <c r="M834"/>
      <c r="N834"/>
      <c r="O834"/>
      <c r="P834"/>
      <c r="Q834"/>
      <c r="R834"/>
      <c r="S834"/>
    </row>
    <row r="835" spans="1:19" ht="15" x14ac:dyDescent="0.2">
      <c r="A835"/>
      <c r="B835"/>
      <c r="C835"/>
      <c r="D835"/>
      <c r="E835"/>
      <c r="F835"/>
      <c r="G835"/>
      <c r="H835"/>
      <c r="I835"/>
      <c r="J835"/>
      <c r="K835"/>
      <c r="L835"/>
      <c r="M835"/>
      <c r="N835"/>
      <c r="O835"/>
      <c r="P835"/>
      <c r="Q835"/>
      <c r="R835"/>
      <c r="S835"/>
    </row>
    <row r="836" spans="1:19" ht="15" x14ac:dyDescent="0.2">
      <c r="A836"/>
      <c r="B836"/>
      <c r="C836"/>
      <c r="D836"/>
      <c r="E836"/>
      <c r="F836"/>
      <c r="G836"/>
      <c r="H836"/>
      <c r="I836"/>
      <c r="J836"/>
      <c r="K836"/>
      <c r="L836"/>
      <c r="M836"/>
      <c r="N836"/>
      <c r="O836"/>
      <c r="P836"/>
      <c r="Q836"/>
      <c r="R836"/>
      <c r="S836"/>
    </row>
    <row r="837" spans="1:19" ht="15" x14ac:dyDescent="0.2">
      <c r="A837"/>
      <c r="B837"/>
      <c r="C837"/>
      <c r="D837"/>
      <c r="E837"/>
      <c r="F837"/>
      <c r="G837"/>
      <c r="H837"/>
      <c r="I837"/>
      <c r="J837"/>
      <c r="K837"/>
      <c r="L837"/>
      <c r="M837"/>
      <c r="N837"/>
      <c r="O837"/>
      <c r="P837"/>
      <c r="Q837"/>
      <c r="R837"/>
      <c r="S837"/>
    </row>
    <row r="838" spans="1:19" ht="15" x14ac:dyDescent="0.2">
      <c r="A838"/>
      <c r="B838"/>
      <c r="C838"/>
      <c r="D838"/>
      <c r="E838"/>
      <c r="F838"/>
      <c r="G838"/>
      <c r="H838"/>
      <c r="I838"/>
      <c r="J838"/>
      <c r="K838"/>
      <c r="L838"/>
      <c r="M838"/>
      <c r="N838"/>
      <c r="O838"/>
      <c r="P838"/>
      <c r="Q838"/>
      <c r="R838"/>
      <c r="S838"/>
    </row>
    <row r="839" spans="1:19" ht="15" x14ac:dyDescent="0.2">
      <c r="A839"/>
      <c r="B839"/>
      <c r="C839"/>
      <c r="D839"/>
      <c r="E839"/>
      <c r="F839"/>
      <c r="G839"/>
      <c r="H839"/>
      <c r="I839"/>
      <c r="J839"/>
      <c r="K839"/>
      <c r="L839"/>
      <c r="M839"/>
      <c r="N839"/>
      <c r="O839"/>
      <c r="P839"/>
      <c r="Q839"/>
      <c r="R839"/>
      <c r="S839"/>
    </row>
    <row r="840" spans="1:19" ht="15" x14ac:dyDescent="0.2">
      <c r="A840"/>
      <c r="B840"/>
      <c r="C840"/>
      <c r="D840"/>
      <c r="E840"/>
      <c r="F840"/>
      <c r="G840"/>
      <c r="H840"/>
      <c r="I840"/>
      <c r="J840"/>
      <c r="K840"/>
      <c r="L840"/>
      <c r="M840"/>
      <c r="N840"/>
      <c r="O840"/>
      <c r="P840"/>
      <c r="Q840"/>
      <c r="R840"/>
      <c r="S840"/>
    </row>
    <row r="841" spans="1:19" ht="15" x14ac:dyDescent="0.2">
      <c r="A841"/>
      <c r="B841"/>
      <c r="C841"/>
      <c r="D841"/>
      <c r="E841"/>
      <c r="F841"/>
      <c r="G841"/>
      <c r="H841"/>
      <c r="I841"/>
      <c r="J841"/>
      <c r="K841"/>
      <c r="L841"/>
      <c r="M841"/>
      <c r="N841"/>
      <c r="O841"/>
      <c r="P841"/>
      <c r="Q841"/>
      <c r="R841"/>
      <c r="S841"/>
    </row>
    <row r="842" spans="1:19" ht="15" x14ac:dyDescent="0.2">
      <c r="A842"/>
      <c r="B842"/>
      <c r="C842"/>
      <c r="D842"/>
      <c r="E842"/>
      <c r="F842"/>
      <c r="G842"/>
      <c r="H842"/>
      <c r="I842"/>
      <c r="J842"/>
      <c r="K842"/>
      <c r="L842"/>
      <c r="M842"/>
      <c r="N842"/>
      <c r="O842"/>
      <c r="P842"/>
      <c r="Q842"/>
      <c r="R842"/>
      <c r="S842"/>
    </row>
    <row r="843" spans="1:19" ht="15" x14ac:dyDescent="0.2">
      <c r="A843"/>
      <c r="B843"/>
      <c r="C843"/>
      <c r="D843"/>
      <c r="E843"/>
      <c r="F843"/>
      <c r="G843"/>
      <c r="H843"/>
      <c r="I843"/>
      <c r="J843"/>
      <c r="K843"/>
      <c r="L843"/>
      <c r="M843"/>
      <c r="N843"/>
      <c r="O843"/>
      <c r="P843"/>
      <c r="Q843"/>
      <c r="R843"/>
      <c r="S843"/>
    </row>
    <row r="844" spans="1:19" ht="15" x14ac:dyDescent="0.2">
      <c r="A844"/>
      <c r="B844"/>
      <c r="C844"/>
      <c r="D844"/>
      <c r="E844"/>
      <c r="F844"/>
      <c r="G844"/>
      <c r="H844"/>
      <c r="I844"/>
      <c r="J844"/>
      <c r="K844"/>
      <c r="L844"/>
      <c r="M844"/>
      <c r="N844"/>
      <c r="O844"/>
      <c r="P844"/>
      <c r="Q844"/>
      <c r="R844"/>
      <c r="S844"/>
    </row>
    <row r="845" spans="1:19" ht="15" x14ac:dyDescent="0.2">
      <c r="A845"/>
      <c r="B845"/>
      <c r="C845"/>
      <c r="D845"/>
      <c r="E845"/>
      <c r="F845"/>
      <c r="G845"/>
      <c r="H845"/>
      <c r="I845"/>
      <c r="J845"/>
      <c r="K845"/>
      <c r="L845"/>
      <c r="M845"/>
      <c r="N845"/>
      <c r="O845"/>
      <c r="P845"/>
      <c r="Q845"/>
      <c r="R845"/>
      <c r="S845"/>
    </row>
    <row r="846" spans="1:19" ht="15" x14ac:dyDescent="0.2">
      <c r="A846"/>
      <c r="B846"/>
      <c r="C846"/>
      <c r="D846"/>
      <c r="E846"/>
      <c r="F846"/>
      <c r="G846"/>
      <c r="H846"/>
      <c r="I846"/>
      <c r="J846"/>
      <c r="K846"/>
      <c r="L846"/>
      <c r="M846"/>
      <c r="N846"/>
      <c r="O846"/>
      <c r="P846"/>
      <c r="Q846"/>
      <c r="R846"/>
      <c r="S846"/>
    </row>
    <row r="847" spans="1:19" ht="15" x14ac:dyDescent="0.2">
      <c r="A847"/>
      <c r="B847"/>
      <c r="C847"/>
      <c r="D847"/>
      <c r="E847"/>
      <c r="F847"/>
      <c r="G847"/>
      <c r="H847"/>
      <c r="I847"/>
      <c r="J847"/>
      <c r="K847"/>
      <c r="L847"/>
      <c r="M847"/>
      <c r="N847"/>
      <c r="O847"/>
      <c r="P847"/>
      <c r="Q847"/>
      <c r="R847"/>
      <c r="S847"/>
    </row>
    <row r="848" spans="1:19" ht="15" x14ac:dyDescent="0.2">
      <c r="A848"/>
      <c r="B848"/>
      <c r="C848"/>
      <c r="D848"/>
      <c r="E848"/>
      <c r="F848"/>
      <c r="G848"/>
      <c r="H848"/>
      <c r="I848"/>
      <c r="J848"/>
      <c r="K848"/>
      <c r="L848"/>
      <c r="M848"/>
      <c r="N848"/>
      <c r="O848"/>
      <c r="P848"/>
      <c r="Q848"/>
      <c r="R848"/>
      <c r="S848"/>
    </row>
    <row r="849" spans="1:19" ht="15" x14ac:dyDescent="0.2">
      <c r="A849"/>
      <c r="B849"/>
      <c r="C849"/>
      <c r="D849"/>
      <c r="E849"/>
      <c r="F849"/>
      <c r="G849"/>
      <c r="H849"/>
      <c r="I849"/>
      <c r="J849"/>
      <c r="K849"/>
      <c r="L849"/>
      <c r="M849"/>
      <c r="N849"/>
      <c r="O849"/>
      <c r="P849"/>
      <c r="Q849"/>
      <c r="R849"/>
      <c r="S849"/>
    </row>
    <row r="850" spans="1:19" ht="15" x14ac:dyDescent="0.2">
      <c r="A850"/>
      <c r="B850"/>
      <c r="C850"/>
      <c r="D850"/>
      <c r="E850"/>
      <c r="F850"/>
      <c r="G850"/>
      <c r="H850"/>
      <c r="I850"/>
      <c r="J850"/>
      <c r="K850"/>
      <c r="L850"/>
      <c r="M850"/>
      <c r="N850"/>
      <c r="O850"/>
      <c r="P850"/>
      <c r="Q850"/>
      <c r="R850"/>
      <c r="S850"/>
    </row>
    <row r="851" spans="1:19" ht="15" x14ac:dyDescent="0.2">
      <c r="A851"/>
      <c r="B851"/>
      <c r="C851"/>
      <c r="D851"/>
      <c r="E851"/>
      <c r="F851"/>
      <c r="G851"/>
      <c r="H851"/>
      <c r="I851"/>
      <c r="J851"/>
      <c r="K851"/>
      <c r="L851"/>
      <c r="M851"/>
      <c r="N851"/>
      <c r="O851"/>
      <c r="P851"/>
      <c r="Q851"/>
      <c r="R851"/>
      <c r="S851"/>
    </row>
    <row r="852" spans="1:19" ht="15" x14ac:dyDescent="0.2">
      <c r="A852"/>
      <c r="B852"/>
      <c r="C852"/>
      <c r="D852"/>
      <c r="E852"/>
      <c r="F852"/>
      <c r="G852"/>
      <c r="H852"/>
      <c r="I852"/>
      <c r="J852"/>
      <c r="K852"/>
      <c r="L852"/>
      <c r="M852"/>
      <c r="N852"/>
      <c r="O852"/>
      <c r="P852"/>
      <c r="Q852"/>
      <c r="R852"/>
      <c r="S852"/>
    </row>
    <row r="853" spans="1:19" ht="15" x14ac:dyDescent="0.2">
      <c r="A853"/>
      <c r="B853"/>
      <c r="C853"/>
      <c r="D853"/>
      <c r="E853"/>
      <c r="F853"/>
      <c r="G853"/>
      <c r="H853"/>
      <c r="I853"/>
      <c r="J853"/>
      <c r="K853"/>
      <c r="L853"/>
      <c r="M853"/>
      <c r="N853"/>
      <c r="O853"/>
      <c r="P853"/>
      <c r="Q853"/>
      <c r="R853"/>
      <c r="S853"/>
    </row>
    <row r="854" spans="1:19" ht="15" x14ac:dyDescent="0.2">
      <c r="A854"/>
      <c r="B854"/>
      <c r="C854"/>
      <c r="D854"/>
      <c r="E854"/>
      <c r="F854"/>
      <c r="G854"/>
      <c r="H854"/>
      <c r="I854"/>
      <c r="J854"/>
      <c r="K854"/>
      <c r="L854"/>
      <c r="M854"/>
      <c r="N854"/>
      <c r="O854"/>
      <c r="P854"/>
      <c r="Q854"/>
      <c r="R854"/>
      <c r="S854"/>
    </row>
    <row r="855" spans="1:19" ht="15" x14ac:dyDescent="0.2">
      <c r="A855"/>
      <c r="B855"/>
      <c r="C855"/>
      <c r="D855"/>
      <c r="E855"/>
      <c r="F855"/>
      <c r="G855"/>
      <c r="H855"/>
      <c r="I855"/>
      <c r="J855"/>
      <c r="K855"/>
      <c r="L855"/>
      <c r="M855"/>
      <c r="N855"/>
      <c r="O855"/>
      <c r="P855"/>
      <c r="Q855"/>
      <c r="R855"/>
      <c r="S855"/>
    </row>
    <row r="856" spans="1:19" ht="15" x14ac:dyDescent="0.2">
      <c r="A856"/>
      <c r="B856"/>
      <c r="C856"/>
      <c r="D856"/>
      <c r="E856"/>
      <c r="F856"/>
      <c r="G856"/>
      <c r="H856"/>
      <c r="I856"/>
      <c r="J856"/>
      <c r="K856"/>
      <c r="L856"/>
      <c r="M856"/>
      <c r="N856"/>
      <c r="O856"/>
      <c r="P856"/>
      <c r="Q856"/>
      <c r="R856"/>
      <c r="S856"/>
    </row>
    <row r="857" spans="1:19" ht="15" x14ac:dyDescent="0.2">
      <c r="A857"/>
      <c r="B857"/>
      <c r="C857"/>
      <c r="D857"/>
      <c r="E857"/>
      <c r="F857"/>
      <c r="G857"/>
      <c r="H857"/>
      <c r="I857"/>
      <c r="J857"/>
      <c r="K857"/>
      <c r="L857"/>
      <c r="M857"/>
      <c r="N857"/>
      <c r="O857"/>
      <c r="P857"/>
      <c r="Q857"/>
      <c r="R857"/>
      <c r="S857"/>
    </row>
    <row r="858" spans="1:19" ht="15" x14ac:dyDescent="0.2">
      <c r="A858"/>
      <c r="B858"/>
      <c r="C858"/>
      <c r="D858"/>
      <c r="E858"/>
      <c r="F858"/>
      <c r="G858"/>
      <c r="H858"/>
      <c r="I858"/>
      <c r="J858"/>
      <c r="K858"/>
      <c r="L858"/>
      <c r="M858"/>
      <c r="N858"/>
      <c r="O858"/>
      <c r="P858"/>
      <c r="Q858"/>
      <c r="R858"/>
      <c r="S858"/>
    </row>
    <row r="859" spans="1:19" ht="15" x14ac:dyDescent="0.2">
      <c r="A859"/>
      <c r="B859"/>
      <c r="C859"/>
      <c r="D859"/>
      <c r="E859"/>
      <c r="F859"/>
      <c r="G859"/>
      <c r="H859"/>
      <c r="I859"/>
      <c r="J859"/>
      <c r="K859"/>
      <c r="L859"/>
      <c r="M859"/>
      <c r="N859"/>
      <c r="O859"/>
      <c r="P859"/>
      <c r="Q859"/>
      <c r="R859"/>
      <c r="S859"/>
    </row>
    <row r="860" spans="1:19" ht="15" x14ac:dyDescent="0.2">
      <c r="A860"/>
      <c r="B860"/>
      <c r="C860"/>
      <c r="D860"/>
      <c r="E860"/>
      <c r="F860"/>
      <c r="G860"/>
      <c r="H860"/>
      <c r="I860"/>
      <c r="J860"/>
      <c r="K860"/>
      <c r="L860"/>
      <c r="M860"/>
      <c r="N860"/>
      <c r="O860"/>
      <c r="P860"/>
      <c r="Q860"/>
      <c r="R860"/>
      <c r="S860"/>
    </row>
    <row r="861" spans="1:19" ht="15" x14ac:dyDescent="0.2">
      <c r="A861"/>
      <c r="B861"/>
      <c r="C861"/>
      <c r="D861"/>
      <c r="E861"/>
      <c r="F861"/>
      <c r="G861"/>
      <c r="H861"/>
      <c r="I861"/>
      <c r="J861"/>
      <c r="K861"/>
      <c r="L861"/>
      <c r="M861"/>
      <c r="N861"/>
      <c r="O861"/>
      <c r="P861"/>
      <c r="Q861"/>
      <c r="R861"/>
      <c r="S861"/>
    </row>
    <row r="862" spans="1:19" ht="15" x14ac:dyDescent="0.2">
      <c r="A862"/>
      <c r="B862"/>
      <c r="C862"/>
      <c r="D862"/>
      <c r="E862"/>
      <c r="F862"/>
      <c r="G862"/>
      <c r="H862"/>
      <c r="I862"/>
      <c r="J862"/>
      <c r="K862"/>
      <c r="L862"/>
      <c r="M862"/>
      <c r="N862"/>
      <c r="O862"/>
      <c r="P862"/>
      <c r="Q862"/>
      <c r="R862"/>
      <c r="S862"/>
    </row>
    <row r="863" spans="1:19" ht="15" x14ac:dyDescent="0.2">
      <c r="A863"/>
      <c r="B863"/>
      <c r="C863"/>
      <c r="D863"/>
      <c r="E863"/>
      <c r="F863"/>
      <c r="G863"/>
      <c r="H863"/>
      <c r="I863"/>
      <c r="J863"/>
      <c r="K863"/>
      <c r="L863"/>
      <c r="M863"/>
      <c r="N863"/>
      <c r="O863"/>
      <c r="P863"/>
      <c r="Q863"/>
      <c r="R863"/>
      <c r="S863"/>
    </row>
    <row r="864" spans="1:19" ht="15" x14ac:dyDescent="0.2">
      <c r="A864"/>
      <c r="B864"/>
      <c r="C864"/>
      <c r="D864"/>
      <c r="E864"/>
      <c r="F864"/>
      <c r="G864"/>
      <c r="H864"/>
      <c r="I864"/>
      <c r="J864"/>
      <c r="K864"/>
      <c r="L864"/>
      <c r="M864"/>
      <c r="N864"/>
      <c r="O864"/>
      <c r="P864"/>
      <c r="Q864"/>
      <c r="R864"/>
      <c r="S864"/>
    </row>
    <row r="865" spans="1:19" ht="15" x14ac:dyDescent="0.2">
      <c r="A865"/>
      <c r="B865"/>
      <c r="C865"/>
      <c r="D865"/>
      <c r="E865"/>
      <c r="F865"/>
      <c r="G865"/>
      <c r="H865"/>
      <c r="I865"/>
      <c r="J865"/>
      <c r="K865"/>
      <c r="L865"/>
      <c r="M865"/>
      <c r="N865"/>
      <c r="O865"/>
      <c r="P865"/>
      <c r="Q865"/>
      <c r="R865"/>
      <c r="S865"/>
    </row>
    <row r="866" spans="1:19" ht="15" x14ac:dyDescent="0.2">
      <c r="A866"/>
      <c r="B866"/>
      <c r="C866"/>
      <c r="D866"/>
      <c r="E866"/>
      <c r="F866"/>
      <c r="G866"/>
      <c r="H866"/>
      <c r="I866"/>
      <c r="J866"/>
      <c r="K866"/>
      <c r="L866"/>
      <c r="M866"/>
      <c r="N866"/>
      <c r="O866"/>
      <c r="P866"/>
      <c r="Q866"/>
      <c r="R866"/>
      <c r="S866"/>
    </row>
    <row r="867" spans="1:19" ht="15" x14ac:dyDescent="0.2">
      <c r="A867"/>
      <c r="B867"/>
      <c r="C867"/>
      <c r="D867"/>
      <c r="E867"/>
      <c r="F867"/>
      <c r="G867"/>
      <c r="H867"/>
      <c r="I867"/>
      <c r="J867"/>
      <c r="K867"/>
      <c r="L867"/>
      <c r="M867"/>
      <c r="N867"/>
      <c r="O867"/>
      <c r="P867"/>
      <c r="Q867"/>
      <c r="R867"/>
      <c r="S867"/>
    </row>
    <row r="868" spans="1:19" ht="15" x14ac:dyDescent="0.2">
      <c r="A868"/>
      <c r="B868"/>
      <c r="C868"/>
      <c r="D868"/>
      <c r="E868"/>
      <c r="F868"/>
      <c r="G868"/>
      <c r="H868"/>
      <c r="I868"/>
      <c r="J868"/>
      <c r="K868"/>
      <c r="L868"/>
      <c r="M868"/>
      <c r="N868"/>
      <c r="O868"/>
      <c r="P868"/>
      <c r="Q868"/>
      <c r="R868"/>
      <c r="S868"/>
    </row>
    <row r="869" spans="1:19" ht="15" x14ac:dyDescent="0.2">
      <c r="A869"/>
      <c r="B869"/>
      <c r="C869"/>
      <c r="D869"/>
      <c r="E869"/>
      <c r="F869"/>
      <c r="G869"/>
      <c r="H869"/>
      <c r="I869"/>
      <c r="J869"/>
      <c r="K869"/>
      <c r="L869"/>
      <c r="M869"/>
      <c r="N869"/>
      <c r="O869"/>
      <c r="P869"/>
      <c r="Q869"/>
      <c r="R869"/>
      <c r="S869"/>
    </row>
    <row r="870" spans="1:19" ht="15" x14ac:dyDescent="0.2">
      <c r="A870"/>
      <c r="B870"/>
      <c r="C870"/>
      <c r="D870"/>
      <c r="E870"/>
      <c r="F870"/>
      <c r="G870"/>
      <c r="H870"/>
      <c r="I870"/>
      <c r="J870"/>
      <c r="K870"/>
      <c r="L870"/>
      <c r="M870"/>
      <c r="N870"/>
      <c r="O870"/>
      <c r="P870"/>
      <c r="Q870"/>
      <c r="R870"/>
      <c r="S870"/>
    </row>
    <row r="871" spans="1:19" ht="15" x14ac:dyDescent="0.2">
      <c r="A871"/>
      <c r="B871"/>
      <c r="C871"/>
      <c r="D871"/>
      <c r="E871"/>
      <c r="F871"/>
      <c r="G871"/>
      <c r="H871"/>
      <c r="I871"/>
      <c r="J871"/>
      <c r="K871"/>
      <c r="L871"/>
      <c r="M871"/>
      <c r="N871"/>
      <c r="O871"/>
      <c r="P871"/>
      <c r="Q871"/>
      <c r="R871"/>
      <c r="S871"/>
    </row>
    <row r="872" spans="1:19" ht="15" x14ac:dyDescent="0.2">
      <c r="A872"/>
      <c r="B872"/>
      <c r="C872"/>
      <c r="D872"/>
      <c r="E872"/>
      <c r="F872"/>
      <c r="G872"/>
      <c r="H872"/>
      <c r="I872"/>
      <c r="J872"/>
      <c r="K872"/>
      <c r="L872"/>
      <c r="M872"/>
      <c r="N872"/>
      <c r="O872"/>
      <c r="P872"/>
      <c r="Q872"/>
      <c r="R872"/>
      <c r="S872"/>
    </row>
    <row r="873" spans="1:19" ht="15" x14ac:dyDescent="0.2">
      <c r="A873"/>
      <c r="B873"/>
      <c r="C873"/>
      <c r="D873"/>
      <c r="E873"/>
      <c r="F873"/>
      <c r="G873"/>
      <c r="H873"/>
      <c r="I873"/>
      <c r="J873"/>
      <c r="K873"/>
      <c r="L873"/>
      <c r="M873"/>
      <c r="N873"/>
      <c r="O873"/>
      <c r="P873"/>
      <c r="Q873"/>
      <c r="R873"/>
      <c r="S873"/>
    </row>
    <row r="874" spans="1:19" ht="15" x14ac:dyDescent="0.2">
      <c r="A874"/>
      <c r="B874"/>
      <c r="C874"/>
      <c r="D874"/>
      <c r="E874"/>
      <c r="F874"/>
      <c r="G874"/>
      <c r="H874"/>
      <c r="I874"/>
      <c r="J874"/>
      <c r="K874"/>
      <c r="L874"/>
      <c r="M874"/>
      <c r="N874"/>
      <c r="O874"/>
      <c r="P874"/>
      <c r="Q874"/>
      <c r="R874"/>
      <c r="S874"/>
    </row>
    <row r="875" spans="1:19" ht="15" x14ac:dyDescent="0.2">
      <c r="A875"/>
      <c r="B875"/>
      <c r="C875"/>
      <c r="D875"/>
      <c r="E875"/>
      <c r="F875"/>
      <c r="G875"/>
      <c r="H875"/>
      <c r="I875"/>
      <c r="J875"/>
      <c r="K875"/>
      <c r="L875"/>
      <c r="M875"/>
      <c r="N875"/>
      <c r="O875"/>
      <c r="P875"/>
      <c r="Q875"/>
      <c r="R875"/>
      <c r="S875"/>
    </row>
    <row r="876" spans="1:19" ht="15" x14ac:dyDescent="0.2">
      <c r="A876"/>
      <c r="B876"/>
      <c r="C876"/>
      <c r="D876"/>
      <c r="E876"/>
      <c r="F876"/>
      <c r="G876"/>
      <c r="H876"/>
      <c r="I876"/>
      <c r="J876"/>
      <c r="K876"/>
      <c r="L876"/>
      <c r="M876"/>
      <c r="N876"/>
      <c r="O876"/>
      <c r="P876"/>
      <c r="Q876"/>
      <c r="R876"/>
      <c r="S876"/>
    </row>
    <row r="877" spans="1:19" ht="15" x14ac:dyDescent="0.2">
      <c r="A877"/>
      <c r="B877"/>
      <c r="C877"/>
      <c r="D877"/>
      <c r="E877"/>
      <c r="F877"/>
      <c r="G877"/>
      <c r="H877"/>
      <c r="I877"/>
      <c r="J877"/>
      <c r="K877"/>
      <c r="L877"/>
      <c r="M877"/>
      <c r="N877"/>
      <c r="O877"/>
      <c r="P877"/>
      <c r="Q877"/>
      <c r="R877"/>
      <c r="S877"/>
    </row>
    <row r="878" spans="1:19" ht="15" x14ac:dyDescent="0.2">
      <c r="A878"/>
      <c r="B878"/>
      <c r="C878"/>
      <c r="D878"/>
      <c r="E878"/>
      <c r="F878"/>
      <c r="G878"/>
      <c r="H878"/>
      <c r="I878"/>
      <c r="J878"/>
      <c r="K878"/>
      <c r="L878"/>
      <c r="M878"/>
      <c r="N878"/>
      <c r="O878"/>
      <c r="P878"/>
      <c r="Q878"/>
      <c r="R878"/>
      <c r="S878"/>
    </row>
    <row r="879" spans="1:19" ht="15" x14ac:dyDescent="0.2">
      <c r="A879"/>
      <c r="B879"/>
      <c r="C879"/>
      <c r="D879"/>
      <c r="E879"/>
      <c r="F879"/>
      <c r="G879"/>
      <c r="H879"/>
      <c r="I879"/>
      <c r="J879"/>
      <c r="K879"/>
      <c r="L879"/>
      <c r="M879"/>
      <c r="N879"/>
      <c r="O879"/>
      <c r="P879"/>
      <c r="Q879"/>
      <c r="R879"/>
      <c r="S879"/>
    </row>
    <row r="880" spans="1:19" ht="15" x14ac:dyDescent="0.2">
      <c r="A880"/>
      <c r="B880"/>
      <c r="C880"/>
      <c r="D880"/>
      <c r="E880"/>
      <c r="F880"/>
      <c r="G880"/>
      <c r="H880"/>
      <c r="I880"/>
      <c r="J880"/>
      <c r="K880"/>
      <c r="L880"/>
      <c r="M880"/>
      <c r="N880"/>
      <c r="O880"/>
      <c r="P880"/>
      <c r="Q880"/>
      <c r="R880"/>
      <c r="S880"/>
    </row>
    <row r="881" spans="1:19" ht="15" x14ac:dyDescent="0.2">
      <c r="A881"/>
      <c r="B881"/>
      <c r="C881"/>
      <c r="D881"/>
      <c r="E881"/>
      <c r="F881"/>
      <c r="G881"/>
      <c r="H881"/>
      <c r="I881"/>
      <c r="J881"/>
      <c r="K881"/>
      <c r="L881"/>
      <c r="M881"/>
      <c r="N881"/>
      <c r="O881"/>
      <c r="P881"/>
      <c r="Q881"/>
      <c r="R881"/>
      <c r="S881"/>
    </row>
    <row r="882" spans="1:19" ht="15" x14ac:dyDescent="0.2">
      <c r="A882"/>
      <c r="B882"/>
      <c r="C882"/>
      <c r="D882"/>
      <c r="E882"/>
      <c r="F882"/>
      <c r="G882"/>
      <c r="H882"/>
      <c r="I882"/>
      <c r="J882"/>
      <c r="K882"/>
      <c r="L882"/>
      <c r="M882"/>
      <c r="N882"/>
      <c r="O882"/>
      <c r="P882"/>
      <c r="Q882"/>
      <c r="R882"/>
      <c r="S882"/>
    </row>
    <row r="883" spans="1:19" ht="15" x14ac:dyDescent="0.2">
      <c r="A883"/>
      <c r="B883"/>
      <c r="C883"/>
      <c r="D883"/>
      <c r="E883"/>
      <c r="F883"/>
      <c r="G883"/>
      <c r="H883"/>
      <c r="I883"/>
      <c r="J883"/>
      <c r="K883"/>
      <c r="L883"/>
      <c r="M883"/>
      <c r="N883"/>
      <c r="O883"/>
      <c r="P883"/>
      <c r="Q883"/>
      <c r="R883"/>
      <c r="S883"/>
    </row>
    <row r="884" spans="1:19" ht="15" x14ac:dyDescent="0.2">
      <c r="A884"/>
      <c r="B884"/>
      <c r="C884"/>
      <c r="D884"/>
      <c r="E884"/>
      <c r="F884"/>
      <c r="G884"/>
      <c r="H884"/>
      <c r="I884"/>
      <c r="J884"/>
      <c r="K884"/>
      <c r="L884"/>
      <c r="M884"/>
      <c r="N884"/>
      <c r="O884"/>
      <c r="P884"/>
      <c r="Q884"/>
      <c r="R884"/>
      <c r="S884"/>
    </row>
    <row r="885" spans="1:19" ht="15" x14ac:dyDescent="0.2">
      <c r="A885"/>
      <c r="B885"/>
      <c r="C885"/>
      <c r="D885"/>
      <c r="E885"/>
      <c r="F885"/>
      <c r="G885"/>
      <c r="H885"/>
      <c r="I885"/>
      <c r="J885"/>
      <c r="K885"/>
      <c r="L885"/>
      <c r="M885"/>
      <c r="N885"/>
      <c r="O885"/>
      <c r="P885"/>
      <c r="Q885"/>
      <c r="R885"/>
      <c r="S885"/>
    </row>
    <row r="886" spans="1:19" ht="15" x14ac:dyDescent="0.2">
      <c r="A886"/>
      <c r="B886"/>
      <c r="C886"/>
      <c r="D886"/>
      <c r="E886"/>
      <c r="F886"/>
      <c r="G886"/>
      <c r="H886"/>
      <c r="I886"/>
      <c r="J886"/>
      <c r="K886"/>
      <c r="L886"/>
      <c r="M886"/>
      <c r="N886"/>
      <c r="O886"/>
      <c r="P886"/>
      <c r="Q886"/>
      <c r="R886"/>
      <c r="S886"/>
    </row>
    <row r="887" spans="1:19" ht="15" x14ac:dyDescent="0.2">
      <c r="A887"/>
      <c r="B887"/>
      <c r="C887"/>
      <c r="D887"/>
      <c r="E887"/>
      <c r="F887"/>
      <c r="G887"/>
      <c r="H887"/>
      <c r="I887"/>
      <c r="J887"/>
      <c r="K887"/>
      <c r="L887"/>
      <c r="M887"/>
      <c r="N887"/>
      <c r="O887"/>
      <c r="P887"/>
      <c r="Q887"/>
      <c r="R887"/>
      <c r="S887"/>
    </row>
    <row r="888" spans="1:19" ht="15" x14ac:dyDescent="0.2">
      <c r="A888"/>
      <c r="B888"/>
      <c r="C888"/>
      <c r="D888"/>
      <c r="E888"/>
      <c r="F888"/>
      <c r="G888"/>
      <c r="H888"/>
      <c r="I888"/>
      <c r="J888"/>
      <c r="K888"/>
      <c r="L888"/>
      <c r="M888"/>
      <c r="N888"/>
      <c r="O888"/>
      <c r="P888"/>
      <c r="Q888"/>
      <c r="R888"/>
      <c r="S888"/>
    </row>
    <row r="889" spans="1:19" ht="15" x14ac:dyDescent="0.2">
      <c r="A889"/>
      <c r="B889"/>
      <c r="C889"/>
      <c r="D889"/>
      <c r="E889"/>
      <c r="F889"/>
      <c r="G889"/>
      <c r="H889"/>
      <c r="I889"/>
      <c r="J889"/>
      <c r="K889"/>
      <c r="L889"/>
      <c r="M889"/>
      <c r="N889"/>
      <c r="O889"/>
      <c r="P889"/>
      <c r="Q889"/>
      <c r="R889"/>
      <c r="S889"/>
    </row>
    <row r="890" spans="1:19" ht="15" x14ac:dyDescent="0.2">
      <c r="A890"/>
      <c r="B890"/>
      <c r="C890"/>
      <c r="D890"/>
      <c r="E890"/>
      <c r="F890"/>
      <c r="G890"/>
      <c r="H890"/>
      <c r="I890"/>
      <c r="J890"/>
      <c r="K890"/>
      <c r="L890"/>
      <c r="M890"/>
      <c r="N890"/>
      <c r="O890"/>
      <c r="P890"/>
      <c r="Q890"/>
      <c r="R890"/>
      <c r="S890"/>
    </row>
    <row r="891" spans="1:19" ht="15" x14ac:dyDescent="0.2">
      <c r="A891"/>
      <c r="B891"/>
      <c r="C891"/>
      <c r="D891"/>
      <c r="E891"/>
      <c r="F891"/>
      <c r="G891"/>
      <c r="H891"/>
      <c r="I891"/>
      <c r="J891"/>
      <c r="K891"/>
      <c r="L891"/>
      <c r="M891"/>
      <c r="N891"/>
      <c r="O891"/>
      <c r="P891"/>
      <c r="Q891"/>
      <c r="R891"/>
      <c r="S891"/>
    </row>
    <row r="892" spans="1:19" ht="15" x14ac:dyDescent="0.2">
      <c r="A892"/>
      <c r="B892"/>
      <c r="C892"/>
      <c r="D892"/>
      <c r="E892"/>
      <c r="F892"/>
      <c r="G892"/>
      <c r="H892"/>
      <c r="I892"/>
      <c r="J892"/>
      <c r="K892"/>
      <c r="L892"/>
      <c r="M892"/>
      <c r="N892"/>
      <c r="O892"/>
      <c r="P892"/>
      <c r="Q892"/>
      <c r="R892"/>
      <c r="S892"/>
    </row>
    <row r="893" spans="1:19" ht="15" x14ac:dyDescent="0.2">
      <c r="A893"/>
      <c r="B893"/>
      <c r="C893"/>
      <c r="D893"/>
      <c r="E893"/>
      <c r="F893"/>
      <c r="G893"/>
      <c r="H893"/>
      <c r="I893"/>
      <c r="J893"/>
      <c r="K893"/>
      <c r="L893"/>
      <c r="M893"/>
      <c r="N893"/>
      <c r="O893"/>
      <c r="P893"/>
      <c r="Q893"/>
      <c r="R893"/>
      <c r="S893"/>
    </row>
    <row r="894" spans="1:19" ht="15" x14ac:dyDescent="0.2">
      <c r="A894"/>
      <c r="B894"/>
      <c r="C894"/>
      <c r="D894"/>
      <c r="E894"/>
      <c r="F894"/>
      <c r="G894"/>
      <c r="H894"/>
      <c r="I894"/>
      <c r="J894"/>
      <c r="K894"/>
      <c r="L894"/>
      <c r="M894"/>
      <c r="N894"/>
      <c r="O894"/>
      <c r="P894"/>
      <c r="Q894"/>
      <c r="R894"/>
      <c r="S894"/>
    </row>
    <row r="895" spans="1:19" ht="15" x14ac:dyDescent="0.2">
      <c r="A895"/>
      <c r="B895"/>
      <c r="C895"/>
      <c r="D895"/>
      <c r="E895"/>
      <c r="F895"/>
      <c r="G895"/>
      <c r="H895"/>
      <c r="I895"/>
      <c r="J895"/>
      <c r="K895"/>
      <c r="L895"/>
      <c r="M895"/>
      <c r="N895"/>
      <c r="O895"/>
      <c r="P895"/>
      <c r="Q895"/>
      <c r="R895"/>
      <c r="S895"/>
    </row>
    <row r="896" spans="1:19" ht="15" x14ac:dyDescent="0.2">
      <c r="A896"/>
      <c r="B896"/>
      <c r="C896"/>
      <c r="D896"/>
      <c r="E896"/>
      <c r="F896"/>
      <c r="G896"/>
      <c r="H896"/>
      <c r="I896"/>
      <c r="J896"/>
      <c r="K896"/>
      <c r="L896"/>
      <c r="M896"/>
      <c r="N896"/>
      <c r="O896"/>
      <c r="P896"/>
      <c r="Q896"/>
      <c r="R896"/>
      <c r="S896"/>
    </row>
    <row r="897" spans="1:19" ht="15" x14ac:dyDescent="0.2">
      <c r="A897"/>
      <c r="B897"/>
      <c r="C897"/>
      <c r="D897"/>
      <c r="E897"/>
      <c r="F897"/>
      <c r="G897"/>
      <c r="H897"/>
      <c r="I897"/>
      <c r="J897"/>
      <c r="K897"/>
      <c r="L897"/>
      <c r="M897"/>
      <c r="N897"/>
      <c r="O897"/>
      <c r="P897"/>
      <c r="Q897"/>
      <c r="R897"/>
      <c r="S897"/>
    </row>
    <row r="898" spans="1:19" ht="15" x14ac:dyDescent="0.2">
      <c r="A898"/>
      <c r="B898"/>
      <c r="C898"/>
      <c r="D898"/>
      <c r="E898"/>
      <c r="F898"/>
      <c r="G898"/>
      <c r="H898"/>
      <c r="I898"/>
      <c r="J898"/>
      <c r="K898"/>
      <c r="L898"/>
      <c r="M898"/>
      <c r="N898"/>
      <c r="O898"/>
      <c r="P898"/>
      <c r="Q898"/>
      <c r="R898"/>
      <c r="S898"/>
    </row>
    <row r="899" spans="1:19" ht="15" x14ac:dyDescent="0.2">
      <c r="A899"/>
      <c r="B899"/>
      <c r="C899"/>
      <c r="D899"/>
      <c r="E899"/>
      <c r="F899"/>
      <c r="G899"/>
      <c r="H899"/>
      <c r="I899"/>
      <c r="J899"/>
      <c r="K899"/>
      <c r="L899"/>
      <c r="M899"/>
      <c r="N899"/>
      <c r="O899"/>
      <c r="P899"/>
      <c r="Q899"/>
      <c r="R899"/>
      <c r="S899"/>
    </row>
    <row r="900" spans="1:19" ht="15" x14ac:dyDescent="0.2">
      <c r="A900"/>
      <c r="B900"/>
      <c r="C900"/>
      <c r="D900"/>
      <c r="E900"/>
      <c r="F900"/>
      <c r="G900"/>
      <c r="H900"/>
      <c r="I900"/>
      <c r="J900"/>
      <c r="K900"/>
      <c r="L900"/>
      <c r="M900"/>
      <c r="N900"/>
      <c r="O900"/>
      <c r="P900"/>
      <c r="Q900"/>
      <c r="R900"/>
      <c r="S900"/>
    </row>
    <row r="901" spans="1:19" ht="15" x14ac:dyDescent="0.2">
      <c r="A901"/>
      <c r="B901"/>
      <c r="C901"/>
      <c r="D901"/>
      <c r="E901"/>
      <c r="F901"/>
      <c r="G901"/>
      <c r="H901"/>
      <c r="I901"/>
      <c r="J901"/>
      <c r="K901"/>
      <c r="L901"/>
      <c r="M901"/>
      <c r="N901"/>
      <c r="O901"/>
      <c r="P901"/>
      <c r="Q901"/>
      <c r="R901"/>
      <c r="S901"/>
    </row>
    <row r="902" spans="1:19" ht="15" x14ac:dyDescent="0.2">
      <c r="A902"/>
      <c r="B902"/>
      <c r="C902"/>
      <c r="D902"/>
      <c r="E902"/>
      <c r="F902"/>
      <c r="G902"/>
      <c r="H902"/>
      <c r="I902"/>
      <c r="J902"/>
      <c r="K902"/>
      <c r="L902"/>
      <c r="M902"/>
      <c r="N902"/>
      <c r="O902"/>
      <c r="P902"/>
      <c r="Q902"/>
      <c r="R902"/>
      <c r="S902"/>
    </row>
    <row r="903" spans="1:19" ht="15" x14ac:dyDescent="0.2">
      <c r="A903"/>
      <c r="B903"/>
      <c r="C903"/>
      <c r="D903"/>
      <c r="E903"/>
      <c r="F903"/>
      <c r="G903"/>
      <c r="H903"/>
      <c r="I903"/>
      <c r="J903"/>
      <c r="K903"/>
      <c r="L903"/>
      <c r="M903"/>
      <c r="N903"/>
      <c r="O903"/>
      <c r="P903"/>
      <c r="Q903"/>
      <c r="R903"/>
      <c r="S903"/>
    </row>
    <row r="904" spans="1:19" ht="15" x14ac:dyDescent="0.2">
      <c r="A904"/>
      <c r="B904"/>
      <c r="C904"/>
      <c r="D904"/>
      <c r="E904"/>
      <c r="F904"/>
      <c r="G904"/>
      <c r="H904"/>
      <c r="I904"/>
      <c r="J904"/>
      <c r="K904"/>
      <c r="L904"/>
      <c r="M904"/>
      <c r="N904"/>
      <c r="O904"/>
      <c r="P904"/>
      <c r="Q904"/>
      <c r="R904"/>
      <c r="S904"/>
    </row>
    <row r="905" spans="1:19" ht="15" x14ac:dyDescent="0.2">
      <c r="A905"/>
      <c r="B905"/>
      <c r="C905"/>
      <c r="D905"/>
      <c r="E905"/>
      <c r="F905"/>
      <c r="G905"/>
      <c r="H905"/>
      <c r="I905"/>
      <c r="J905"/>
      <c r="K905"/>
      <c r="L905"/>
      <c r="M905"/>
      <c r="N905"/>
      <c r="O905"/>
      <c r="P905"/>
      <c r="Q905"/>
      <c r="R905"/>
      <c r="S905"/>
    </row>
    <row r="906" spans="1:19" ht="15" x14ac:dyDescent="0.2">
      <c r="A906"/>
      <c r="B906"/>
      <c r="C906"/>
      <c r="D906"/>
      <c r="E906"/>
      <c r="F906"/>
      <c r="G906"/>
      <c r="H906"/>
      <c r="I906"/>
      <c r="J906"/>
      <c r="K906"/>
      <c r="L906"/>
      <c r="M906"/>
      <c r="N906"/>
      <c r="O906"/>
      <c r="P906"/>
      <c r="Q906"/>
      <c r="R906"/>
      <c r="S906"/>
    </row>
    <row r="907" spans="1:19" ht="15" x14ac:dyDescent="0.2">
      <c r="A907"/>
      <c r="B907"/>
      <c r="C907"/>
      <c r="D907"/>
      <c r="E907"/>
      <c r="F907"/>
      <c r="G907"/>
      <c r="H907"/>
      <c r="I907"/>
      <c r="J907"/>
      <c r="K907"/>
      <c r="L907"/>
      <c r="M907"/>
      <c r="N907"/>
      <c r="O907"/>
      <c r="P907"/>
      <c r="Q907"/>
      <c r="R907"/>
      <c r="S907"/>
    </row>
    <row r="908" spans="1:19" ht="15" x14ac:dyDescent="0.2">
      <c r="A908"/>
      <c r="B908"/>
      <c r="C908"/>
      <c r="D908"/>
      <c r="E908"/>
      <c r="F908"/>
      <c r="G908"/>
      <c r="H908"/>
      <c r="I908"/>
      <c r="J908"/>
      <c r="K908"/>
      <c r="L908"/>
      <c r="M908"/>
      <c r="N908"/>
      <c r="O908"/>
      <c r="P908"/>
      <c r="Q908"/>
      <c r="R908"/>
      <c r="S908"/>
    </row>
    <row r="909" spans="1:19" ht="15" x14ac:dyDescent="0.2">
      <c r="A909"/>
      <c r="B909"/>
      <c r="C909"/>
      <c r="D909"/>
      <c r="E909"/>
      <c r="F909"/>
      <c r="G909"/>
      <c r="H909"/>
      <c r="I909"/>
      <c r="J909"/>
      <c r="K909"/>
      <c r="L909"/>
      <c r="M909"/>
      <c r="N909"/>
      <c r="O909"/>
      <c r="P909"/>
      <c r="Q909"/>
      <c r="R909"/>
      <c r="S909"/>
    </row>
    <row r="910" spans="1:19" ht="15" x14ac:dyDescent="0.2">
      <c r="A910"/>
      <c r="B910"/>
      <c r="C910"/>
      <c r="D910"/>
      <c r="E910"/>
      <c r="F910"/>
      <c r="G910"/>
      <c r="H910"/>
      <c r="I910"/>
      <c r="J910"/>
      <c r="K910"/>
      <c r="L910"/>
      <c r="M910"/>
      <c r="N910"/>
      <c r="O910"/>
      <c r="P910"/>
      <c r="Q910"/>
      <c r="R910"/>
      <c r="S910"/>
    </row>
    <row r="911" spans="1:19" ht="15" x14ac:dyDescent="0.2">
      <c r="A911"/>
      <c r="B911"/>
      <c r="C911"/>
      <c r="D911"/>
      <c r="E911"/>
      <c r="F911"/>
      <c r="G911"/>
      <c r="H911"/>
      <c r="I911"/>
      <c r="J911"/>
      <c r="K911"/>
      <c r="L911"/>
      <c r="M911"/>
      <c r="N911"/>
      <c r="O911"/>
      <c r="P911"/>
      <c r="Q911"/>
      <c r="R911"/>
      <c r="S911"/>
    </row>
    <row r="912" spans="1:19" ht="15" x14ac:dyDescent="0.2">
      <c r="A912"/>
      <c r="B912"/>
      <c r="C912"/>
      <c r="D912"/>
      <c r="E912"/>
      <c r="F912"/>
      <c r="G912"/>
      <c r="H912"/>
      <c r="I912"/>
      <c r="J912"/>
      <c r="K912"/>
      <c r="L912"/>
      <c r="M912"/>
      <c r="N912"/>
      <c r="O912"/>
      <c r="P912"/>
      <c r="Q912"/>
      <c r="R912"/>
      <c r="S912"/>
    </row>
    <row r="913" spans="1:19" ht="15" x14ac:dyDescent="0.2">
      <c r="A913"/>
      <c r="B913"/>
      <c r="C913"/>
      <c r="D913"/>
      <c r="E913"/>
      <c r="F913"/>
      <c r="G913"/>
      <c r="H913"/>
      <c r="I913"/>
      <c r="J913"/>
      <c r="K913"/>
      <c r="L913"/>
      <c r="M913"/>
      <c r="N913"/>
      <c r="O913"/>
      <c r="P913"/>
      <c r="Q913"/>
      <c r="R913"/>
      <c r="S913"/>
    </row>
    <row r="914" spans="1:19" ht="15" x14ac:dyDescent="0.2">
      <c r="A914"/>
      <c r="B914"/>
      <c r="C914"/>
      <c r="D914"/>
      <c r="E914"/>
      <c r="F914"/>
      <c r="G914"/>
      <c r="H914"/>
      <c r="I914"/>
      <c r="J914"/>
      <c r="K914"/>
      <c r="L914"/>
      <c r="M914"/>
      <c r="N914"/>
      <c r="O914"/>
      <c r="P914"/>
      <c r="Q914"/>
      <c r="R914"/>
      <c r="S914"/>
    </row>
    <row r="915" spans="1:19" ht="15" x14ac:dyDescent="0.2">
      <c r="A915"/>
      <c r="B915"/>
      <c r="C915"/>
      <c r="D915"/>
      <c r="E915"/>
      <c r="F915"/>
      <c r="G915"/>
      <c r="H915"/>
      <c r="I915"/>
      <c r="J915"/>
      <c r="K915"/>
      <c r="L915"/>
      <c r="M915"/>
      <c r="N915"/>
      <c r="O915"/>
      <c r="P915"/>
      <c r="Q915"/>
      <c r="R915"/>
      <c r="S915"/>
    </row>
    <row r="916" spans="1:19" ht="15" x14ac:dyDescent="0.2">
      <c r="A916"/>
      <c r="B916"/>
      <c r="C916"/>
      <c r="D916"/>
      <c r="E916"/>
      <c r="F916"/>
      <c r="G916"/>
      <c r="H916"/>
      <c r="I916"/>
      <c r="J916"/>
      <c r="K916"/>
      <c r="L916"/>
      <c r="M916"/>
      <c r="N916"/>
      <c r="O916"/>
      <c r="P916"/>
      <c r="Q916"/>
      <c r="R916"/>
      <c r="S916"/>
    </row>
    <row r="917" spans="1:19" ht="15" x14ac:dyDescent="0.2">
      <c r="A917"/>
      <c r="B917"/>
      <c r="C917"/>
      <c r="D917"/>
      <c r="E917"/>
      <c r="F917"/>
      <c r="G917"/>
      <c r="H917"/>
      <c r="I917"/>
      <c r="J917"/>
      <c r="K917"/>
      <c r="L917"/>
      <c r="M917"/>
      <c r="N917"/>
      <c r="O917"/>
      <c r="P917"/>
      <c r="Q917"/>
      <c r="R917"/>
      <c r="S917"/>
    </row>
    <row r="918" spans="1:19" ht="15" x14ac:dyDescent="0.2">
      <c r="A918"/>
      <c r="B918"/>
      <c r="C918"/>
      <c r="D918"/>
      <c r="E918"/>
      <c r="F918"/>
      <c r="G918"/>
      <c r="H918"/>
      <c r="I918"/>
      <c r="J918"/>
      <c r="K918"/>
      <c r="L918"/>
      <c r="M918"/>
      <c r="N918"/>
      <c r="O918"/>
      <c r="P918"/>
      <c r="Q918"/>
      <c r="R918"/>
      <c r="S918"/>
    </row>
    <row r="919" spans="1:19" ht="15" x14ac:dyDescent="0.2">
      <c r="A919"/>
      <c r="B919"/>
      <c r="C919"/>
      <c r="D919"/>
      <c r="E919"/>
      <c r="F919"/>
      <c r="G919"/>
      <c r="H919"/>
      <c r="I919"/>
      <c r="J919"/>
      <c r="K919"/>
      <c r="L919"/>
      <c r="M919"/>
      <c r="N919"/>
      <c r="O919"/>
      <c r="P919"/>
      <c r="Q919"/>
      <c r="R919"/>
      <c r="S919"/>
    </row>
    <row r="920" spans="1:19" ht="15" x14ac:dyDescent="0.2">
      <c r="A920"/>
      <c r="B920"/>
      <c r="C920"/>
      <c r="D920"/>
      <c r="E920"/>
      <c r="F920"/>
      <c r="G920"/>
      <c r="H920"/>
      <c r="I920"/>
      <c r="J920"/>
      <c r="K920"/>
      <c r="L920"/>
      <c r="M920"/>
      <c r="N920"/>
      <c r="O920"/>
      <c r="P920"/>
      <c r="Q920"/>
      <c r="R920"/>
      <c r="S920"/>
    </row>
    <row r="921" spans="1:19" ht="15" x14ac:dyDescent="0.2">
      <c r="A921"/>
      <c r="B921"/>
      <c r="C921"/>
      <c r="D921"/>
      <c r="E921"/>
      <c r="F921"/>
      <c r="G921"/>
      <c r="H921"/>
      <c r="I921"/>
      <c r="J921"/>
      <c r="K921"/>
      <c r="L921"/>
      <c r="M921"/>
      <c r="N921"/>
      <c r="O921"/>
      <c r="P921"/>
      <c r="Q921"/>
      <c r="R921"/>
      <c r="S921"/>
    </row>
    <row r="922" spans="1:19" ht="15" x14ac:dyDescent="0.2">
      <c r="A922"/>
      <c r="B922"/>
      <c r="C922"/>
      <c r="D922"/>
      <c r="E922"/>
      <c r="F922"/>
      <c r="G922"/>
      <c r="H922"/>
      <c r="I922"/>
      <c r="J922"/>
      <c r="K922"/>
      <c r="L922"/>
      <c r="M922"/>
      <c r="N922"/>
      <c r="O922"/>
      <c r="P922"/>
      <c r="Q922"/>
      <c r="R922"/>
      <c r="S922"/>
    </row>
    <row r="923" spans="1:19" ht="15" x14ac:dyDescent="0.2">
      <c r="A923"/>
      <c r="B923"/>
      <c r="C923"/>
      <c r="D923"/>
      <c r="E923"/>
      <c r="F923"/>
      <c r="G923"/>
      <c r="H923"/>
      <c r="I923"/>
      <c r="J923"/>
      <c r="K923"/>
      <c r="L923"/>
      <c r="M923"/>
      <c r="N923"/>
      <c r="O923"/>
      <c r="P923"/>
      <c r="Q923"/>
      <c r="R923"/>
      <c r="S923"/>
    </row>
    <row r="924" spans="1:19" ht="15" x14ac:dyDescent="0.2">
      <c r="A924"/>
      <c r="B924"/>
      <c r="C924"/>
      <c r="D924"/>
      <c r="E924"/>
      <c r="F924"/>
      <c r="G924"/>
      <c r="H924"/>
      <c r="I924"/>
      <c r="J924"/>
      <c r="K924"/>
      <c r="L924"/>
      <c r="M924"/>
      <c r="N924"/>
      <c r="O924"/>
      <c r="P924"/>
      <c r="Q924"/>
      <c r="R924"/>
      <c r="S924"/>
    </row>
    <row r="925" spans="1:19" ht="15" x14ac:dyDescent="0.2">
      <c r="A925"/>
      <c r="B925"/>
      <c r="C925"/>
      <c r="D925"/>
      <c r="E925"/>
      <c r="F925"/>
      <c r="G925"/>
      <c r="H925"/>
      <c r="I925"/>
      <c r="J925"/>
      <c r="K925"/>
      <c r="L925"/>
      <c r="M925"/>
      <c r="N925"/>
      <c r="O925"/>
      <c r="P925"/>
      <c r="Q925"/>
      <c r="R925"/>
      <c r="S925"/>
    </row>
    <row r="926" spans="1:19" ht="15" x14ac:dyDescent="0.2">
      <c r="A926"/>
      <c r="B926"/>
      <c r="C926"/>
      <c r="D926"/>
      <c r="E926"/>
      <c r="F926"/>
      <c r="G926"/>
      <c r="H926"/>
      <c r="I926"/>
      <c r="J926"/>
      <c r="K926"/>
      <c r="L926"/>
      <c r="M926"/>
      <c r="N926"/>
      <c r="O926"/>
      <c r="P926"/>
      <c r="Q926"/>
      <c r="R926"/>
      <c r="S926"/>
    </row>
    <row r="927" spans="1:19" ht="15" x14ac:dyDescent="0.2">
      <c r="A927"/>
      <c r="B927"/>
      <c r="C927"/>
      <c r="D927"/>
      <c r="E927"/>
      <c r="F927"/>
      <c r="G927"/>
      <c r="H927"/>
      <c r="I927"/>
      <c r="J927"/>
      <c r="K927"/>
      <c r="L927"/>
      <c r="M927"/>
      <c r="N927"/>
      <c r="O927"/>
      <c r="P927"/>
      <c r="Q927"/>
      <c r="R927"/>
      <c r="S927"/>
    </row>
    <row r="928" spans="1:19" ht="15" x14ac:dyDescent="0.2">
      <c r="A928"/>
      <c r="B928"/>
      <c r="C928"/>
      <c r="D928"/>
      <c r="E928"/>
      <c r="F928"/>
      <c r="G928"/>
      <c r="H928"/>
      <c r="I928"/>
      <c r="J928"/>
      <c r="K928"/>
      <c r="L928"/>
      <c r="M928"/>
      <c r="N928"/>
      <c r="O928"/>
      <c r="P928"/>
      <c r="Q928"/>
      <c r="R928"/>
      <c r="S928"/>
    </row>
    <row r="929" spans="1:19" ht="15" x14ac:dyDescent="0.2">
      <c r="A929"/>
      <c r="B929"/>
      <c r="C929"/>
      <c r="D929"/>
      <c r="E929"/>
      <c r="F929"/>
      <c r="G929"/>
      <c r="H929"/>
      <c r="I929"/>
      <c r="J929"/>
      <c r="K929"/>
      <c r="L929"/>
      <c r="M929"/>
      <c r="N929"/>
      <c r="O929"/>
      <c r="P929"/>
      <c r="Q929"/>
      <c r="R929"/>
      <c r="S929"/>
    </row>
    <row r="930" spans="1:19" ht="15" x14ac:dyDescent="0.2">
      <c r="A930"/>
      <c r="B930"/>
      <c r="C930"/>
      <c r="D930"/>
      <c r="E930"/>
      <c r="F930"/>
      <c r="G930"/>
      <c r="H930"/>
      <c r="I930"/>
      <c r="J930"/>
      <c r="K930"/>
      <c r="L930"/>
      <c r="M930"/>
      <c r="N930"/>
      <c r="O930"/>
      <c r="P930"/>
      <c r="Q930"/>
      <c r="R930"/>
      <c r="S930"/>
    </row>
    <row r="931" spans="1:19" ht="15" x14ac:dyDescent="0.2">
      <c r="A931"/>
      <c r="B931"/>
      <c r="C931"/>
      <c r="D931"/>
      <c r="E931"/>
      <c r="F931"/>
      <c r="G931"/>
      <c r="H931"/>
      <c r="I931"/>
      <c r="J931"/>
      <c r="K931"/>
      <c r="L931"/>
      <c r="M931"/>
      <c r="N931"/>
      <c r="O931"/>
      <c r="P931"/>
      <c r="Q931"/>
      <c r="R931"/>
      <c r="S931"/>
    </row>
    <row r="932" spans="1:19" ht="15" x14ac:dyDescent="0.2">
      <c r="A932"/>
      <c r="B932"/>
      <c r="C932"/>
      <c r="D932"/>
      <c r="E932"/>
      <c r="F932"/>
      <c r="G932"/>
      <c r="H932"/>
      <c r="I932"/>
      <c r="J932"/>
      <c r="K932"/>
      <c r="L932"/>
      <c r="M932"/>
      <c r="N932"/>
      <c r="O932"/>
      <c r="P932"/>
      <c r="Q932"/>
      <c r="R932"/>
      <c r="S932"/>
    </row>
    <row r="933" spans="1:19" ht="15" x14ac:dyDescent="0.2">
      <c r="A933"/>
      <c r="B933"/>
      <c r="C933"/>
      <c r="D933"/>
      <c r="E933"/>
      <c r="F933"/>
      <c r="G933"/>
      <c r="H933"/>
      <c r="I933"/>
      <c r="J933"/>
      <c r="K933"/>
      <c r="L933"/>
      <c r="M933"/>
      <c r="N933"/>
      <c r="O933"/>
      <c r="P933"/>
      <c r="Q933"/>
      <c r="R933"/>
      <c r="S933"/>
    </row>
    <row r="934" spans="1:19" ht="15" x14ac:dyDescent="0.2">
      <c r="A934"/>
      <c r="B934"/>
      <c r="C934"/>
      <c r="D934"/>
      <c r="E934"/>
      <c r="F934"/>
      <c r="G934"/>
      <c r="H934"/>
      <c r="I934"/>
      <c r="J934"/>
      <c r="K934"/>
      <c r="L934"/>
      <c r="M934"/>
      <c r="N934"/>
      <c r="O934"/>
      <c r="P934"/>
      <c r="Q934"/>
      <c r="R934"/>
      <c r="S934"/>
    </row>
    <row r="935" spans="1:19" ht="15" x14ac:dyDescent="0.2">
      <c r="A935"/>
      <c r="B935"/>
      <c r="C935"/>
      <c r="D935"/>
      <c r="E935"/>
      <c r="F935"/>
      <c r="G935"/>
      <c r="H935"/>
      <c r="I935"/>
      <c r="J935"/>
      <c r="K935"/>
      <c r="L935"/>
      <c r="M935"/>
      <c r="N935"/>
      <c r="O935"/>
      <c r="P935"/>
      <c r="Q935"/>
      <c r="R935"/>
      <c r="S935"/>
    </row>
    <row r="936" spans="1:19" ht="15" x14ac:dyDescent="0.2">
      <c r="A936"/>
      <c r="B936"/>
      <c r="C936"/>
      <c r="D936"/>
      <c r="E936"/>
      <c r="F936"/>
      <c r="G936"/>
      <c r="H936"/>
      <c r="I936"/>
      <c r="J936"/>
      <c r="K936"/>
      <c r="L936"/>
      <c r="M936"/>
      <c r="N936"/>
      <c r="O936"/>
      <c r="P936"/>
      <c r="Q936"/>
      <c r="R936"/>
      <c r="S936"/>
    </row>
    <row r="937" spans="1:19" ht="15" x14ac:dyDescent="0.2">
      <c r="A937"/>
      <c r="B937"/>
      <c r="C937"/>
      <c r="D937"/>
      <c r="E937"/>
      <c r="F937"/>
      <c r="G937"/>
      <c r="H937"/>
      <c r="I937"/>
      <c r="J937"/>
      <c r="K937"/>
      <c r="L937"/>
      <c r="M937"/>
      <c r="N937"/>
      <c r="O937"/>
      <c r="P937"/>
      <c r="Q937"/>
      <c r="R937"/>
      <c r="S937"/>
    </row>
    <row r="938" spans="1:19" ht="15" x14ac:dyDescent="0.2">
      <c r="A938"/>
      <c r="B938"/>
      <c r="C938"/>
      <c r="D938"/>
      <c r="E938"/>
      <c r="F938"/>
      <c r="G938"/>
      <c r="H938"/>
      <c r="I938"/>
      <c r="J938"/>
      <c r="K938"/>
      <c r="L938"/>
      <c r="M938"/>
      <c r="N938"/>
      <c r="O938"/>
      <c r="P938"/>
      <c r="Q938"/>
      <c r="R938"/>
      <c r="S938"/>
    </row>
    <row r="939" spans="1:19" ht="15" x14ac:dyDescent="0.2">
      <c r="A939"/>
      <c r="B939"/>
      <c r="C939"/>
      <c r="D939"/>
      <c r="E939"/>
      <c r="F939"/>
      <c r="G939"/>
      <c r="H939"/>
      <c r="I939"/>
      <c r="J939"/>
      <c r="K939"/>
      <c r="L939"/>
      <c r="M939"/>
      <c r="N939"/>
      <c r="O939"/>
      <c r="P939"/>
      <c r="Q939"/>
      <c r="R939"/>
      <c r="S939"/>
    </row>
    <row r="940" spans="1:19" ht="15" x14ac:dyDescent="0.2">
      <c r="A940"/>
      <c r="B940"/>
      <c r="C940"/>
      <c r="D940"/>
      <c r="E940"/>
      <c r="F940"/>
      <c r="G940"/>
      <c r="H940"/>
      <c r="I940"/>
      <c r="J940"/>
      <c r="K940"/>
      <c r="L940"/>
      <c r="M940"/>
      <c r="N940"/>
      <c r="O940"/>
      <c r="P940"/>
      <c r="Q940"/>
      <c r="R940"/>
      <c r="S940"/>
    </row>
    <row r="941" spans="1:19" ht="15" x14ac:dyDescent="0.2">
      <c r="A941"/>
      <c r="B941"/>
      <c r="C941"/>
      <c r="D941"/>
      <c r="E941"/>
      <c r="F941"/>
      <c r="G941"/>
      <c r="H941"/>
      <c r="I941"/>
      <c r="J941"/>
      <c r="K941"/>
      <c r="L941"/>
      <c r="M941"/>
      <c r="N941"/>
      <c r="O941"/>
      <c r="P941"/>
      <c r="Q941"/>
      <c r="R941"/>
      <c r="S941"/>
    </row>
    <row r="942" spans="1:19" ht="15" x14ac:dyDescent="0.2">
      <c r="A942"/>
      <c r="B942"/>
      <c r="C942"/>
      <c r="D942"/>
      <c r="E942"/>
      <c r="F942"/>
      <c r="G942"/>
      <c r="H942"/>
      <c r="I942"/>
      <c r="J942"/>
      <c r="K942"/>
      <c r="L942"/>
      <c r="M942"/>
      <c r="N942"/>
      <c r="O942"/>
      <c r="P942"/>
      <c r="Q942"/>
      <c r="R942"/>
      <c r="S942"/>
    </row>
    <row r="943" spans="1:19" ht="15" x14ac:dyDescent="0.2">
      <c r="A943"/>
      <c r="B943"/>
      <c r="C943"/>
      <c r="D943"/>
      <c r="E943"/>
      <c r="F943"/>
      <c r="G943"/>
      <c r="H943"/>
      <c r="I943"/>
      <c r="J943"/>
      <c r="K943"/>
      <c r="L943"/>
      <c r="M943"/>
      <c r="N943"/>
      <c r="O943"/>
      <c r="P943"/>
      <c r="Q943"/>
      <c r="R943"/>
      <c r="S943"/>
    </row>
    <row r="944" spans="1:19" ht="15" x14ac:dyDescent="0.2">
      <c r="A944"/>
      <c r="B944"/>
      <c r="C944"/>
      <c r="D944"/>
      <c r="E944"/>
      <c r="F944"/>
      <c r="G944"/>
      <c r="H944"/>
      <c r="I944"/>
      <c r="J944"/>
      <c r="K944"/>
      <c r="L944"/>
      <c r="M944"/>
      <c r="N944"/>
      <c r="O944"/>
      <c r="P944"/>
      <c r="Q944"/>
      <c r="R944"/>
      <c r="S944"/>
    </row>
    <row r="945" spans="1:19" ht="15" x14ac:dyDescent="0.2">
      <c r="A945"/>
      <c r="B945"/>
      <c r="C945"/>
      <c r="D945"/>
      <c r="E945"/>
      <c r="F945"/>
      <c r="G945"/>
      <c r="H945"/>
      <c r="I945"/>
      <c r="J945"/>
      <c r="K945"/>
      <c r="L945"/>
      <c r="M945"/>
      <c r="N945"/>
      <c r="O945"/>
      <c r="P945"/>
      <c r="Q945"/>
      <c r="R945"/>
      <c r="S945"/>
    </row>
    <row r="946" spans="1:19" ht="15" x14ac:dyDescent="0.2">
      <c r="A946"/>
      <c r="B946"/>
      <c r="C946"/>
      <c r="D946"/>
      <c r="E946"/>
      <c r="F946"/>
      <c r="G946"/>
      <c r="H946"/>
      <c r="I946"/>
      <c r="J946"/>
      <c r="K946"/>
      <c r="L946"/>
      <c r="M946"/>
      <c r="N946"/>
      <c r="O946"/>
      <c r="P946"/>
      <c r="Q946"/>
      <c r="R946"/>
      <c r="S946"/>
    </row>
    <row r="947" spans="1:19" ht="15" x14ac:dyDescent="0.2">
      <c r="A947"/>
      <c r="B947"/>
      <c r="C947"/>
      <c r="D947"/>
      <c r="E947"/>
      <c r="F947"/>
      <c r="G947"/>
      <c r="H947"/>
      <c r="I947"/>
      <c r="J947"/>
      <c r="K947"/>
      <c r="L947"/>
      <c r="M947"/>
      <c r="N947"/>
      <c r="O947"/>
      <c r="P947"/>
      <c r="Q947"/>
      <c r="R947"/>
      <c r="S947"/>
    </row>
    <row r="948" spans="1:19" ht="15" x14ac:dyDescent="0.2">
      <c r="A948"/>
      <c r="B948"/>
      <c r="C948"/>
      <c r="D948"/>
      <c r="E948"/>
      <c r="F948"/>
      <c r="G948"/>
      <c r="H948"/>
      <c r="I948"/>
      <c r="J948"/>
      <c r="K948"/>
      <c r="L948"/>
      <c r="M948"/>
      <c r="N948"/>
      <c r="O948"/>
      <c r="P948"/>
      <c r="Q948"/>
      <c r="R948"/>
      <c r="S948"/>
    </row>
    <row r="949" spans="1:19" ht="15" x14ac:dyDescent="0.2">
      <c r="A949"/>
      <c r="B949"/>
      <c r="C949"/>
      <c r="D949"/>
      <c r="E949"/>
      <c r="F949"/>
      <c r="G949"/>
      <c r="H949"/>
      <c r="I949"/>
      <c r="J949"/>
      <c r="K949"/>
      <c r="L949"/>
      <c r="M949"/>
      <c r="N949"/>
      <c r="O949"/>
      <c r="P949"/>
      <c r="Q949"/>
      <c r="R949"/>
      <c r="S949"/>
    </row>
    <row r="950" spans="1:19" ht="15" x14ac:dyDescent="0.2">
      <c r="A950"/>
      <c r="B950"/>
      <c r="C950"/>
      <c r="D950"/>
      <c r="E950"/>
      <c r="F950"/>
      <c r="G950"/>
      <c r="H950"/>
      <c r="I950"/>
      <c r="J950"/>
      <c r="K950"/>
      <c r="L950"/>
      <c r="M950"/>
      <c r="N950"/>
      <c r="O950"/>
      <c r="P950"/>
      <c r="Q950"/>
      <c r="R950"/>
      <c r="S950"/>
    </row>
    <row r="951" spans="1:19" ht="15" x14ac:dyDescent="0.2">
      <c r="A951"/>
      <c r="B951"/>
      <c r="C951"/>
      <c r="D951"/>
      <c r="E951"/>
      <c r="F951"/>
      <c r="G951"/>
      <c r="H951"/>
      <c r="I951"/>
      <c r="J951"/>
      <c r="K951"/>
      <c r="L951"/>
      <c r="M951"/>
      <c r="N951"/>
      <c r="O951"/>
      <c r="P951"/>
      <c r="Q951"/>
      <c r="R951"/>
      <c r="S951"/>
    </row>
    <row r="952" spans="1:19" ht="15" x14ac:dyDescent="0.2">
      <c r="A952"/>
      <c r="B952"/>
      <c r="C952"/>
      <c r="D952"/>
      <c r="E952"/>
      <c r="F952"/>
      <c r="G952"/>
      <c r="H952"/>
      <c r="I952"/>
      <c r="J952"/>
      <c r="K952"/>
      <c r="L952"/>
      <c r="M952"/>
      <c r="N952"/>
      <c r="O952"/>
      <c r="P952"/>
      <c r="Q952"/>
      <c r="R952"/>
      <c r="S952"/>
    </row>
    <row r="953" spans="1:19" ht="15" x14ac:dyDescent="0.2">
      <c r="A953"/>
      <c r="B953"/>
      <c r="C953"/>
      <c r="D953"/>
      <c r="E953"/>
      <c r="F953"/>
      <c r="G953"/>
      <c r="H953"/>
      <c r="I953"/>
      <c r="J953"/>
      <c r="K953"/>
      <c r="L953"/>
      <c r="M953"/>
      <c r="N953"/>
      <c r="O953"/>
      <c r="P953"/>
      <c r="Q953"/>
      <c r="R953"/>
      <c r="S953"/>
    </row>
    <row r="954" spans="1:19" ht="15" x14ac:dyDescent="0.2">
      <c r="A954"/>
      <c r="B954"/>
      <c r="C954"/>
      <c r="D954"/>
      <c r="E954"/>
      <c r="F954"/>
      <c r="G954"/>
      <c r="H954"/>
      <c r="I954"/>
      <c r="J954"/>
      <c r="K954"/>
      <c r="L954"/>
      <c r="M954"/>
      <c r="N954"/>
      <c r="O954"/>
      <c r="P954"/>
      <c r="Q954"/>
      <c r="R954"/>
      <c r="S954"/>
    </row>
    <row r="955" spans="1:19" ht="15" x14ac:dyDescent="0.2">
      <c r="A955"/>
      <c r="B955"/>
      <c r="C955"/>
      <c r="D955"/>
      <c r="E955"/>
      <c r="F955"/>
      <c r="G955"/>
      <c r="H955"/>
      <c r="I955"/>
      <c r="J955"/>
      <c r="K955"/>
      <c r="L955"/>
      <c r="M955"/>
      <c r="N955"/>
      <c r="O955"/>
      <c r="P955"/>
      <c r="Q955"/>
      <c r="R955"/>
      <c r="S955"/>
    </row>
    <row r="956" spans="1:19" ht="15" x14ac:dyDescent="0.2">
      <c r="A956"/>
      <c r="B956"/>
      <c r="C956"/>
      <c r="D956"/>
      <c r="E956"/>
      <c r="F956"/>
      <c r="G956"/>
      <c r="H956"/>
      <c r="I956"/>
      <c r="J956"/>
      <c r="K956"/>
      <c r="L956"/>
      <c r="M956"/>
      <c r="N956"/>
      <c r="O956"/>
      <c r="P956"/>
      <c r="Q956"/>
      <c r="R956"/>
      <c r="S956"/>
    </row>
    <row r="957" spans="1:19" ht="15" x14ac:dyDescent="0.2">
      <c r="A957"/>
      <c r="B957"/>
      <c r="C957"/>
      <c r="D957"/>
      <c r="E957"/>
      <c r="F957"/>
      <c r="G957"/>
      <c r="H957"/>
      <c r="I957"/>
      <c r="J957"/>
      <c r="K957"/>
      <c r="L957"/>
      <c r="M957"/>
      <c r="N957"/>
      <c r="O957"/>
      <c r="P957"/>
      <c r="Q957"/>
      <c r="R957"/>
      <c r="S957"/>
    </row>
    <row r="958" spans="1:19" ht="15" x14ac:dyDescent="0.2">
      <c r="A958"/>
      <c r="B958"/>
      <c r="C958"/>
      <c r="D958"/>
      <c r="E958"/>
      <c r="F958"/>
      <c r="G958"/>
      <c r="H958"/>
      <c r="I958"/>
      <c r="J958"/>
      <c r="K958"/>
      <c r="L958"/>
      <c r="M958"/>
      <c r="N958"/>
      <c r="O958"/>
      <c r="P958"/>
      <c r="Q958"/>
      <c r="R958"/>
      <c r="S958"/>
    </row>
    <row r="959" spans="1:19" ht="15" x14ac:dyDescent="0.2">
      <c r="A959"/>
      <c r="B959"/>
      <c r="C959"/>
      <c r="D959"/>
      <c r="E959"/>
      <c r="F959"/>
      <c r="G959"/>
      <c r="H959"/>
      <c r="I959"/>
      <c r="J959"/>
      <c r="K959"/>
      <c r="L959"/>
      <c r="M959"/>
      <c r="N959"/>
      <c r="O959"/>
      <c r="P959"/>
      <c r="Q959"/>
      <c r="R959"/>
      <c r="S959"/>
    </row>
    <row r="960" spans="1:19" ht="15" x14ac:dyDescent="0.2">
      <c r="A960"/>
      <c r="B960"/>
      <c r="C960"/>
      <c r="D960"/>
      <c r="E960"/>
      <c r="F960"/>
      <c r="G960"/>
      <c r="H960"/>
      <c r="I960"/>
      <c r="J960"/>
      <c r="K960"/>
      <c r="L960"/>
      <c r="M960"/>
      <c r="N960"/>
      <c r="O960"/>
      <c r="P960"/>
      <c r="Q960"/>
      <c r="R960"/>
      <c r="S960"/>
    </row>
    <row r="961" spans="1:19" ht="15" x14ac:dyDescent="0.2">
      <c r="A961"/>
      <c r="B961"/>
      <c r="C961"/>
      <c r="D961"/>
      <c r="E961"/>
      <c r="F961"/>
      <c r="G961"/>
      <c r="H961"/>
      <c r="I961"/>
      <c r="J961"/>
      <c r="K961"/>
      <c r="L961"/>
      <c r="M961"/>
      <c r="N961"/>
      <c r="O961"/>
      <c r="P961"/>
      <c r="Q961"/>
      <c r="R961"/>
      <c r="S961"/>
    </row>
    <row r="962" spans="1:19" ht="15" x14ac:dyDescent="0.2">
      <c r="A962"/>
      <c r="B962"/>
      <c r="C962"/>
      <c r="D962"/>
      <c r="E962"/>
      <c r="F962"/>
      <c r="G962"/>
      <c r="H962"/>
      <c r="I962"/>
      <c r="J962"/>
      <c r="K962"/>
      <c r="L962"/>
      <c r="M962"/>
      <c r="N962"/>
      <c r="O962"/>
      <c r="P962"/>
      <c r="Q962"/>
      <c r="R962"/>
      <c r="S962"/>
    </row>
    <row r="963" spans="1:19" ht="15" x14ac:dyDescent="0.2">
      <c r="A963"/>
      <c r="B963"/>
      <c r="C963"/>
      <c r="D963"/>
      <c r="E963"/>
      <c r="F963"/>
      <c r="G963"/>
      <c r="H963"/>
      <c r="I963"/>
      <c r="J963"/>
      <c r="K963"/>
      <c r="L963"/>
      <c r="M963"/>
      <c r="N963"/>
      <c r="O963"/>
      <c r="P963"/>
      <c r="Q963"/>
      <c r="R963"/>
      <c r="S963"/>
    </row>
    <row r="964" spans="1:19" ht="15" x14ac:dyDescent="0.2">
      <c r="A964"/>
      <c r="B964"/>
      <c r="C964"/>
      <c r="D964"/>
      <c r="E964"/>
      <c r="F964"/>
      <c r="G964"/>
      <c r="H964"/>
      <c r="I964"/>
      <c r="J964"/>
      <c r="K964"/>
      <c r="L964"/>
      <c r="M964"/>
      <c r="N964"/>
      <c r="O964"/>
      <c r="P964"/>
      <c r="Q964"/>
      <c r="R964"/>
      <c r="S964"/>
    </row>
    <row r="965" spans="1:19" ht="15" x14ac:dyDescent="0.2">
      <c r="A965"/>
      <c r="B965"/>
      <c r="C965"/>
      <c r="D965"/>
      <c r="E965"/>
      <c r="F965"/>
      <c r="G965"/>
      <c r="H965"/>
      <c r="I965"/>
      <c r="J965"/>
      <c r="K965"/>
      <c r="L965"/>
      <c r="M965"/>
      <c r="N965"/>
      <c r="O965"/>
      <c r="P965"/>
      <c r="Q965"/>
      <c r="R965"/>
      <c r="S965"/>
    </row>
    <row r="966" spans="1:19" ht="15" x14ac:dyDescent="0.2">
      <c r="A966"/>
      <c r="B966"/>
      <c r="C966"/>
      <c r="D966"/>
      <c r="E966"/>
      <c r="F966"/>
      <c r="G966"/>
      <c r="H966"/>
      <c r="I966"/>
      <c r="J966"/>
      <c r="K966"/>
      <c r="L966"/>
      <c r="M966"/>
      <c r="N966"/>
      <c r="O966"/>
      <c r="P966"/>
      <c r="Q966"/>
      <c r="R966"/>
      <c r="S966"/>
    </row>
    <row r="967" spans="1:19" ht="15" x14ac:dyDescent="0.2">
      <c r="A967"/>
      <c r="B967"/>
      <c r="C967"/>
      <c r="D967"/>
      <c r="E967"/>
      <c r="F967"/>
      <c r="G967"/>
      <c r="H967"/>
      <c r="I967"/>
      <c r="J967"/>
      <c r="K967"/>
      <c r="L967"/>
      <c r="M967"/>
      <c r="N967"/>
      <c r="O967"/>
      <c r="P967"/>
      <c r="Q967"/>
      <c r="R967"/>
      <c r="S967"/>
    </row>
    <row r="968" spans="1:19" ht="15" x14ac:dyDescent="0.2">
      <c r="A968"/>
      <c r="B968"/>
      <c r="C968"/>
      <c r="D968"/>
      <c r="E968"/>
      <c r="F968"/>
      <c r="G968"/>
      <c r="H968"/>
      <c r="I968"/>
      <c r="J968"/>
      <c r="K968"/>
      <c r="L968"/>
      <c r="M968"/>
      <c r="N968"/>
      <c r="O968"/>
      <c r="P968"/>
      <c r="Q968"/>
      <c r="R968"/>
      <c r="S968"/>
    </row>
    <row r="969" spans="1:19" ht="15" x14ac:dyDescent="0.2">
      <c r="A969"/>
      <c r="B969"/>
      <c r="C969"/>
      <c r="D969"/>
      <c r="E969"/>
      <c r="F969"/>
      <c r="G969"/>
      <c r="H969"/>
      <c r="I969"/>
      <c r="J969"/>
      <c r="K969"/>
      <c r="L969"/>
      <c r="M969"/>
      <c r="N969"/>
      <c r="O969"/>
      <c r="P969"/>
      <c r="Q969"/>
      <c r="R969"/>
      <c r="S969"/>
    </row>
    <row r="970" spans="1:19" ht="15" x14ac:dyDescent="0.2">
      <c r="A970"/>
      <c r="B970"/>
      <c r="C970"/>
      <c r="D970"/>
      <c r="E970"/>
      <c r="F970"/>
      <c r="G970"/>
      <c r="H970"/>
      <c r="I970"/>
      <c r="J970"/>
      <c r="K970"/>
      <c r="L970"/>
      <c r="M970"/>
      <c r="N970"/>
      <c r="O970"/>
      <c r="P970"/>
      <c r="Q970"/>
      <c r="R970"/>
      <c r="S970"/>
    </row>
    <row r="971" spans="1:19" ht="15" x14ac:dyDescent="0.2">
      <c r="A971"/>
      <c r="B971"/>
      <c r="C971"/>
      <c r="D971"/>
      <c r="E971"/>
      <c r="F971"/>
      <c r="G971"/>
      <c r="H971"/>
      <c r="I971"/>
      <c r="J971"/>
      <c r="K971"/>
      <c r="L971"/>
      <c r="M971"/>
      <c r="N971"/>
      <c r="O971"/>
      <c r="P971"/>
      <c r="Q971"/>
      <c r="R971"/>
      <c r="S971"/>
    </row>
    <row r="972" spans="1:19" ht="15" x14ac:dyDescent="0.2">
      <c r="A972"/>
      <c r="B972"/>
      <c r="C972"/>
      <c r="D972"/>
      <c r="E972"/>
      <c r="F972"/>
      <c r="G972"/>
      <c r="H972"/>
      <c r="I972"/>
      <c r="J972"/>
      <c r="K972"/>
      <c r="L972"/>
      <c r="M972"/>
      <c r="N972"/>
      <c r="O972"/>
      <c r="P972"/>
      <c r="Q972"/>
      <c r="R972"/>
      <c r="S972"/>
    </row>
    <row r="973" spans="1:19" ht="15" x14ac:dyDescent="0.2">
      <c r="A973"/>
      <c r="B973"/>
      <c r="C973"/>
      <c r="D973"/>
      <c r="E973"/>
      <c r="F973"/>
      <c r="G973"/>
      <c r="H973"/>
      <c r="I973"/>
      <c r="J973"/>
      <c r="K973"/>
      <c r="L973"/>
      <c r="M973"/>
      <c r="N973"/>
      <c r="O973"/>
      <c r="P973"/>
      <c r="Q973"/>
      <c r="R973"/>
      <c r="S973"/>
    </row>
    <row r="974" spans="1:19" ht="15" x14ac:dyDescent="0.2">
      <c r="A974"/>
      <c r="B974"/>
      <c r="C974"/>
      <c r="D974"/>
      <c r="E974"/>
      <c r="F974"/>
      <c r="G974"/>
      <c r="H974"/>
      <c r="I974"/>
      <c r="J974"/>
      <c r="K974"/>
      <c r="L974"/>
      <c r="M974"/>
      <c r="N974"/>
      <c r="O974"/>
      <c r="P974"/>
      <c r="Q974"/>
      <c r="R974"/>
      <c r="S974"/>
    </row>
    <row r="975" spans="1:19" ht="15" x14ac:dyDescent="0.2">
      <c r="A975"/>
      <c r="B975"/>
      <c r="C975"/>
      <c r="D975"/>
      <c r="E975"/>
      <c r="F975"/>
      <c r="G975"/>
      <c r="H975"/>
      <c r="I975"/>
      <c r="J975"/>
      <c r="K975"/>
      <c r="L975"/>
      <c r="M975"/>
      <c r="N975"/>
      <c r="O975"/>
      <c r="P975"/>
      <c r="Q975"/>
      <c r="R975"/>
      <c r="S975"/>
    </row>
    <row r="976" spans="1:19" ht="15" x14ac:dyDescent="0.2">
      <c r="A976"/>
      <c r="B976"/>
      <c r="C976"/>
      <c r="D976"/>
      <c r="E976"/>
      <c r="F976"/>
      <c r="G976"/>
      <c r="H976"/>
      <c r="I976"/>
      <c r="J976"/>
      <c r="K976"/>
      <c r="L976"/>
      <c r="M976"/>
      <c r="N976"/>
      <c r="O976"/>
      <c r="P976"/>
      <c r="Q976"/>
      <c r="R976"/>
      <c r="S976"/>
    </row>
    <row r="977" spans="1:19" ht="15" x14ac:dyDescent="0.2">
      <c r="A977"/>
      <c r="B977"/>
      <c r="C977"/>
      <c r="D977"/>
      <c r="E977"/>
      <c r="F977"/>
      <c r="G977"/>
      <c r="H977"/>
      <c r="I977"/>
      <c r="J977"/>
      <c r="K977"/>
      <c r="L977"/>
      <c r="M977"/>
      <c r="N977"/>
      <c r="O977"/>
      <c r="P977"/>
      <c r="Q977"/>
      <c r="R977"/>
      <c r="S977"/>
    </row>
    <row r="978" spans="1:19" ht="15" x14ac:dyDescent="0.2">
      <c r="A978"/>
      <c r="B978"/>
      <c r="C978"/>
      <c r="D978"/>
      <c r="E978"/>
      <c r="F978"/>
      <c r="G978"/>
      <c r="H978"/>
      <c r="I978"/>
      <c r="J978"/>
      <c r="K978"/>
      <c r="L978"/>
      <c r="M978"/>
      <c r="N978"/>
      <c r="O978"/>
      <c r="P978"/>
      <c r="Q978"/>
      <c r="R978"/>
      <c r="S978"/>
    </row>
    <row r="979" spans="1:19" ht="15" x14ac:dyDescent="0.2">
      <c r="A979"/>
      <c r="B979"/>
      <c r="C979"/>
      <c r="D979"/>
      <c r="E979"/>
      <c r="F979"/>
      <c r="G979"/>
      <c r="H979"/>
      <c r="I979"/>
      <c r="J979"/>
      <c r="K979"/>
      <c r="L979"/>
      <c r="M979"/>
      <c r="N979"/>
      <c r="O979"/>
      <c r="P979"/>
      <c r="Q979"/>
      <c r="R979"/>
      <c r="S979"/>
    </row>
    <row r="980" spans="1:19" ht="15" x14ac:dyDescent="0.2">
      <c r="A980"/>
      <c r="B980"/>
      <c r="C980"/>
      <c r="D980"/>
      <c r="E980"/>
      <c r="F980"/>
      <c r="G980"/>
      <c r="H980"/>
      <c r="I980"/>
      <c r="J980"/>
      <c r="K980"/>
      <c r="L980"/>
      <c r="M980"/>
      <c r="N980"/>
      <c r="O980"/>
      <c r="P980"/>
      <c r="Q980"/>
      <c r="R980"/>
      <c r="S980"/>
    </row>
    <row r="981" spans="1:19" ht="15" x14ac:dyDescent="0.2">
      <c r="A981"/>
      <c r="B981"/>
      <c r="C981"/>
      <c r="D981"/>
      <c r="E981"/>
      <c r="F981"/>
      <c r="G981"/>
      <c r="H981"/>
      <c r="I981"/>
      <c r="J981"/>
      <c r="K981"/>
      <c r="L981"/>
      <c r="M981"/>
      <c r="N981"/>
      <c r="O981"/>
      <c r="P981"/>
      <c r="Q981"/>
      <c r="R981"/>
      <c r="S981"/>
    </row>
    <row r="982" spans="1:19" ht="15" x14ac:dyDescent="0.2">
      <c r="A982"/>
      <c r="B982"/>
      <c r="C982"/>
      <c r="D982"/>
      <c r="E982"/>
      <c r="F982"/>
      <c r="G982"/>
      <c r="H982"/>
      <c r="I982"/>
      <c r="J982"/>
      <c r="K982"/>
      <c r="L982"/>
      <c r="M982"/>
      <c r="N982"/>
      <c r="O982"/>
      <c r="P982"/>
      <c r="Q982"/>
      <c r="R982"/>
      <c r="S982"/>
    </row>
    <row r="983" spans="1:19" ht="15" x14ac:dyDescent="0.2">
      <c r="A983"/>
      <c r="B983"/>
      <c r="C983"/>
      <c r="D983"/>
      <c r="E983"/>
      <c r="F983"/>
      <c r="G983"/>
      <c r="H983"/>
      <c r="I983"/>
      <c r="J983"/>
      <c r="K983"/>
      <c r="L983"/>
      <c r="M983"/>
      <c r="N983"/>
      <c r="O983"/>
      <c r="P983"/>
      <c r="Q983"/>
      <c r="R983"/>
      <c r="S983"/>
    </row>
    <row r="984" spans="1:19" ht="15" x14ac:dyDescent="0.2">
      <c r="A984"/>
      <c r="B984"/>
      <c r="C984"/>
      <c r="D984"/>
      <c r="E984"/>
      <c r="F984"/>
      <c r="G984"/>
      <c r="H984"/>
      <c r="I984"/>
      <c r="J984"/>
      <c r="K984"/>
      <c r="L984"/>
      <c r="M984"/>
      <c r="N984"/>
      <c r="O984"/>
      <c r="P984"/>
      <c r="Q984"/>
      <c r="R984"/>
      <c r="S984"/>
    </row>
    <row r="985" spans="1:19" ht="15" x14ac:dyDescent="0.2">
      <c r="A985"/>
      <c r="B985"/>
      <c r="C985"/>
      <c r="D985"/>
      <c r="E985"/>
      <c r="F985"/>
      <c r="G985"/>
      <c r="H985"/>
      <c r="I985"/>
      <c r="J985"/>
      <c r="K985"/>
      <c r="L985"/>
      <c r="M985"/>
      <c r="N985"/>
      <c r="O985"/>
      <c r="P985"/>
      <c r="Q985"/>
      <c r="R985"/>
      <c r="S985"/>
    </row>
    <row r="986" spans="1:19" ht="15" x14ac:dyDescent="0.2">
      <c r="A986"/>
      <c r="B986"/>
      <c r="C986"/>
      <c r="D986"/>
      <c r="E986"/>
      <c r="F986"/>
      <c r="G986"/>
      <c r="H986"/>
      <c r="I986"/>
      <c r="J986"/>
      <c r="K986"/>
      <c r="L986"/>
      <c r="M986"/>
      <c r="N986"/>
      <c r="O986"/>
      <c r="P986"/>
      <c r="Q986"/>
      <c r="R986"/>
      <c r="S986"/>
    </row>
    <row r="987" spans="1:19" ht="15" x14ac:dyDescent="0.2">
      <c r="A987"/>
      <c r="B987"/>
      <c r="C987"/>
      <c r="D987"/>
      <c r="E987"/>
      <c r="F987"/>
      <c r="G987"/>
      <c r="H987"/>
      <c r="I987"/>
      <c r="J987"/>
      <c r="K987"/>
      <c r="L987"/>
      <c r="M987"/>
      <c r="N987"/>
      <c r="O987"/>
      <c r="P987"/>
      <c r="Q987"/>
      <c r="R987"/>
      <c r="S987"/>
    </row>
    <row r="988" spans="1:19" ht="15" x14ac:dyDescent="0.2">
      <c r="A988"/>
      <c r="B988"/>
      <c r="C988"/>
      <c r="D988"/>
      <c r="E988"/>
      <c r="F988"/>
      <c r="G988"/>
      <c r="H988"/>
      <c r="I988"/>
      <c r="J988"/>
      <c r="K988"/>
      <c r="L988"/>
      <c r="M988"/>
      <c r="N988"/>
      <c r="O988"/>
      <c r="P988"/>
      <c r="Q988"/>
      <c r="R988"/>
      <c r="S988"/>
    </row>
    <row r="989" spans="1:19" ht="15" x14ac:dyDescent="0.2">
      <c r="A989"/>
      <c r="B989"/>
      <c r="C989"/>
      <c r="D989"/>
      <c r="E989"/>
      <c r="F989"/>
      <c r="G989"/>
      <c r="H989"/>
      <c r="I989"/>
      <c r="J989"/>
      <c r="K989"/>
      <c r="L989"/>
      <c r="M989"/>
      <c r="N989"/>
      <c r="O989"/>
      <c r="P989"/>
      <c r="Q989"/>
      <c r="R989"/>
      <c r="S989"/>
    </row>
    <row r="990" spans="1:19" ht="15" x14ac:dyDescent="0.2">
      <c r="A990"/>
      <c r="B990"/>
      <c r="C990"/>
      <c r="D990"/>
      <c r="E990"/>
      <c r="F990"/>
      <c r="G990"/>
      <c r="H990"/>
      <c r="I990"/>
      <c r="J990"/>
      <c r="K990"/>
      <c r="L990"/>
      <c r="M990"/>
      <c r="N990"/>
      <c r="O990"/>
      <c r="P990"/>
      <c r="Q990"/>
      <c r="R990"/>
      <c r="S990"/>
    </row>
    <row r="991" spans="1:19" ht="15" x14ac:dyDescent="0.2">
      <c r="A991"/>
      <c r="B991"/>
      <c r="C991"/>
      <c r="D991"/>
      <c r="E991"/>
      <c r="F991"/>
      <c r="G991"/>
      <c r="H991"/>
      <c r="I991"/>
      <c r="J991"/>
      <c r="K991"/>
      <c r="L991"/>
      <c r="M991"/>
      <c r="N991"/>
      <c r="O991"/>
      <c r="P991"/>
      <c r="Q991"/>
      <c r="R991"/>
      <c r="S991"/>
    </row>
    <row r="992" spans="1:19" ht="15" x14ac:dyDescent="0.2">
      <c r="A992"/>
      <c r="B992"/>
      <c r="C992"/>
      <c r="D992"/>
      <c r="E992"/>
      <c r="F992"/>
      <c r="G992"/>
      <c r="H992"/>
      <c r="I992"/>
      <c r="J992"/>
      <c r="K992"/>
      <c r="L992"/>
      <c r="M992"/>
      <c r="N992"/>
      <c r="O992"/>
      <c r="P992"/>
      <c r="Q992"/>
      <c r="R992"/>
      <c r="S992"/>
    </row>
    <row r="993" spans="1:19" ht="15" x14ac:dyDescent="0.2">
      <c r="A993"/>
      <c r="B993"/>
      <c r="C993"/>
      <c r="D993"/>
      <c r="E993"/>
      <c r="F993"/>
      <c r="G993"/>
      <c r="H993"/>
      <c r="I993"/>
      <c r="J993"/>
      <c r="K993"/>
      <c r="L993"/>
      <c r="M993"/>
      <c r="N993"/>
      <c r="O993"/>
      <c r="P993"/>
      <c r="Q993"/>
      <c r="R993"/>
      <c r="S993"/>
    </row>
    <row r="994" spans="1:19" ht="15" x14ac:dyDescent="0.2">
      <c r="A994"/>
      <c r="B994"/>
      <c r="C994"/>
      <c r="D994"/>
      <c r="E994"/>
      <c r="F994"/>
      <c r="G994"/>
      <c r="H994"/>
      <c r="I994"/>
      <c r="J994"/>
      <c r="K994"/>
      <c r="L994"/>
      <c r="M994"/>
      <c r="N994"/>
      <c r="O994"/>
      <c r="P994"/>
      <c r="Q994"/>
      <c r="R994"/>
      <c r="S994"/>
    </row>
    <row r="995" spans="1:19" ht="15" x14ac:dyDescent="0.2">
      <c r="A995"/>
      <c r="B995"/>
      <c r="C995"/>
      <c r="D995"/>
      <c r="E995"/>
      <c r="F995"/>
      <c r="G995"/>
      <c r="H995"/>
      <c r="I995"/>
      <c r="J995"/>
      <c r="K995"/>
      <c r="L995"/>
      <c r="M995"/>
      <c r="N995"/>
      <c r="O995"/>
      <c r="P995"/>
      <c r="Q995"/>
      <c r="R995"/>
      <c r="S995"/>
    </row>
    <row r="996" spans="1:19" ht="15" x14ac:dyDescent="0.2">
      <c r="A996"/>
      <c r="B996"/>
      <c r="C996"/>
      <c r="D996"/>
      <c r="E996"/>
      <c r="F996"/>
      <c r="G996"/>
      <c r="H996"/>
      <c r="I996"/>
      <c r="J996"/>
      <c r="K996"/>
      <c r="L996"/>
      <c r="M996"/>
      <c r="N996"/>
      <c r="O996"/>
      <c r="P996"/>
      <c r="Q996"/>
      <c r="R996"/>
      <c r="S996"/>
    </row>
    <row r="997" spans="1:19" ht="15" x14ac:dyDescent="0.2">
      <c r="A997"/>
      <c r="B997"/>
      <c r="C997"/>
      <c r="D997"/>
      <c r="E997"/>
      <c r="F997"/>
      <c r="G997"/>
      <c r="H997"/>
      <c r="I997"/>
      <c r="J997"/>
      <c r="K997"/>
      <c r="L997"/>
      <c r="M997"/>
      <c r="N997"/>
      <c r="O997"/>
      <c r="P997"/>
      <c r="Q997"/>
      <c r="R997"/>
      <c r="S997"/>
    </row>
    <row r="998" spans="1:19" ht="15" x14ac:dyDescent="0.2">
      <c r="A998"/>
      <c r="B998"/>
      <c r="C998"/>
      <c r="D998"/>
      <c r="E998"/>
      <c r="F998"/>
      <c r="G998"/>
      <c r="H998"/>
      <c r="I998"/>
      <c r="J998"/>
      <c r="K998"/>
      <c r="L998"/>
      <c r="M998"/>
      <c r="N998"/>
      <c r="O998"/>
      <c r="P998"/>
      <c r="Q998"/>
      <c r="R998"/>
      <c r="S998"/>
    </row>
    <row r="999" spans="1:19" ht="15" x14ac:dyDescent="0.2">
      <c r="A999"/>
      <c r="B999"/>
      <c r="C999"/>
      <c r="D999"/>
      <c r="E999"/>
      <c r="F999"/>
      <c r="G999"/>
      <c r="H999"/>
      <c r="I999"/>
      <c r="J999"/>
      <c r="K999"/>
      <c r="L999"/>
      <c r="M999"/>
      <c r="N999"/>
      <c r="O999"/>
      <c r="P999"/>
      <c r="Q999"/>
      <c r="R999"/>
      <c r="S999"/>
    </row>
    <row r="1000" spans="1:19" ht="15" x14ac:dyDescent="0.2">
      <c r="A1000"/>
      <c r="B1000"/>
      <c r="C1000"/>
      <c r="D1000"/>
      <c r="E1000"/>
      <c r="F1000"/>
      <c r="G1000"/>
      <c r="H1000"/>
      <c r="I1000"/>
      <c r="J1000"/>
      <c r="K1000"/>
      <c r="L1000"/>
      <c r="M1000"/>
      <c r="N1000"/>
      <c r="O1000"/>
      <c r="P1000"/>
      <c r="Q1000"/>
      <c r="R1000"/>
      <c r="S1000"/>
    </row>
    <row r="1001" spans="1:19" ht="15" x14ac:dyDescent="0.2">
      <c r="A1001"/>
      <c r="B1001"/>
      <c r="C1001"/>
      <c r="D1001"/>
      <c r="E1001"/>
      <c r="F1001"/>
      <c r="G1001"/>
      <c r="H1001"/>
      <c r="I1001"/>
      <c r="J1001"/>
      <c r="K1001"/>
      <c r="L1001"/>
      <c r="M1001"/>
      <c r="N1001"/>
      <c r="O1001"/>
      <c r="P1001"/>
      <c r="Q1001"/>
      <c r="R1001"/>
      <c r="S1001"/>
    </row>
    <row r="1002" spans="1:19" ht="15" x14ac:dyDescent="0.2">
      <c r="A1002"/>
      <c r="B1002"/>
      <c r="C1002"/>
      <c r="D1002"/>
      <c r="E1002"/>
      <c r="F1002"/>
      <c r="G1002"/>
      <c r="H1002"/>
      <c r="I1002"/>
      <c r="J1002"/>
      <c r="K1002"/>
      <c r="L1002"/>
      <c r="M1002"/>
      <c r="N1002"/>
      <c r="O1002"/>
      <c r="P1002"/>
      <c r="Q1002"/>
      <c r="R1002"/>
      <c r="S1002"/>
    </row>
    <row r="1003" spans="1:19" ht="15" x14ac:dyDescent="0.2">
      <c r="A1003"/>
      <c r="B1003"/>
      <c r="C1003"/>
      <c r="D1003"/>
      <c r="E1003"/>
      <c r="F1003"/>
      <c r="G1003"/>
      <c r="H1003"/>
      <c r="I1003"/>
      <c r="J1003"/>
      <c r="K1003"/>
      <c r="L1003"/>
      <c r="M1003"/>
      <c r="N1003"/>
      <c r="O1003"/>
      <c r="P1003"/>
      <c r="Q1003"/>
      <c r="R1003"/>
      <c r="S1003"/>
    </row>
    <row r="1004" spans="1:19" ht="15" x14ac:dyDescent="0.2">
      <c r="A1004"/>
      <c r="B1004"/>
      <c r="C1004"/>
      <c r="D1004"/>
      <c r="E1004"/>
      <c r="F1004"/>
      <c r="G1004"/>
      <c r="H1004"/>
      <c r="I1004"/>
      <c r="J1004"/>
      <c r="K1004"/>
      <c r="L1004"/>
      <c r="M1004"/>
      <c r="N1004"/>
      <c r="O1004"/>
      <c r="P1004"/>
      <c r="Q1004"/>
      <c r="R1004"/>
      <c r="S1004"/>
    </row>
    <row r="1005" spans="1:19" ht="15" x14ac:dyDescent="0.2">
      <c r="A1005"/>
      <c r="B1005"/>
      <c r="C1005"/>
      <c r="D1005"/>
      <c r="E1005"/>
      <c r="F1005"/>
      <c r="G1005"/>
      <c r="H1005"/>
      <c r="I1005"/>
      <c r="J1005"/>
      <c r="K1005"/>
      <c r="L1005"/>
      <c r="M1005"/>
      <c r="N1005"/>
      <c r="O1005"/>
      <c r="P1005"/>
      <c r="Q1005"/>
      <c r="R1005"/>
      <c r="S1005"/>
    </row>
    <row r="1006" spans="1:19" ht="15" x14ac:dyDescent="0.2">
      <c r="A1006"/>
      <c r="B1006"/>
      <c r="C1006"/>
      <c r="D1006"/>
      <c r="E1006"/>
      <c r="F1006"/>
      <c r="G1006"/>
      <c r="H1006"/>
      <c r="I1006"/>
      <c r="J1006"/>
      <c r="K1006"/>
      <c r="L1006"/>
      <c r="M1006"/>
      <c r="N1006"/>
      <c r="O1006"/>
      <c r="P1006"/>
      <c r="Q1006"/>
      <c r="R1006"/>
      <c r="S1006"/>
    </row>
    <row r="1007" spans="1:19" ht="15" x14ac:dyDescent="0.2">
      <c r="A1007"/>
      <c r="B1007"/>
      <c r="C1007"/>
      <c r="D1007"/>
      <c r="E1007"/>
      <c r="F1007"/>
      <c r="G1007"/>
      <c r="H1007"/>
      <c r="I1007"/>
      <c r="J1007"/>
      <c r="K1007"/>
      <c r="L1007"/>
      <c r="M1007"/>
      <c r="N1007"/>
      <c r="O1007"/>
      <c r="P1007"/>
      <c r="Q1007"/>
      <c r="R1007"/>
      <c r="S1007"/>
    </row>
    <row r="1008" spans="1:19" ht="15" x14ac:dyDescent="0.2">
      <c r="A1008"/>
      <c r="B1008"/>
      <c r="C1008"/>
      <c r="D1008"/>
      <c r="E1008"/>
      <c r="F1008"/>
      <c r="G1008"/>
      <c r="H1008"/>
      <c r="I1008"/>
      <c r="J1008"/>
      <c r="K1008"/>
      <c r="L1008"/>
      <c r="M1008"/>
      <c r="N1008"/>
      <c r="O1008"/>
      <c r="P1008"/>
      <c r="Q1008"/>
      <c r="R1008"/>
      <c r="S1008"/>
    </row>
    <row r="1009" spans="1:19" ht="15" x14ac:dyDescent="0.2">
      <c r="A1009"/>
      <c r="B1009"/>
      <c r="C1009"/>
      <c r="D1009"/>
      <c r="E1009"/>
      <c r="F1009"/>
      <c r="G1009"/>
      <c r="H1009"/>
      <c r="I1009"/>
      <c r="J1009"/>
      <c r="K1009"/>
      <c r="L1009"/>
      <c r="M1009"/>
      <c r="N1009"/>
      <c r="O1009"/>
      <c r="P1009"/>
      <c r="Q1009"/>
      <c r="R1009"/>
      <c r="S1009"/>
    </row>
    <row r="1010" spans="1:19" ht="15" x14ac:dyDescent="0.2">
      <c r="A1010"/>
      <c r="B1010"/>
      <c r="C1010"/>
      <c r="D1010"/>
      <c r="E1010"/>
      <c r="F1010"/>
      <c r="G1010"/>
      <c r="H1010"/>
      <c r="I1010"/>
      <c r="J1010"/>
      <c r="K1010"/>
      <c r="L1010"/>
      <c r="M1010"/>
      <c r="N1010"/>
      <c r="O1010"/>
      <c r="P1010"/>
      <c r="Q1010"/>
      <c r="R1010"/>
      <c r="S1010"/>
    </row>
    <row r="1011" spans="1:19" ht="15" x14ac:dyDescent="0.2">
      <c r="A1011"/>
      <c r="B1011"/>
      <c r="C1011"/>
      <c r="D1011"/>
      <c r="E1011"/>
      <c r="F1011"/>
      <c r="G1011"/>
      <c r="H1011"/>
      <c r="I1011"/>
      <c r="J1011"/>
      <c r="K1011"/>
      <c r="L1011"/>
      <c r="M1011"/>
      <c r="N1011"/>
      <c r="O1011"/>
      <c r="P1011"/>
      <c r="Q1011"/>
      <c r="R1011"/>
      <c r="S1011"/>
    </row>
    <row r="1012" spans="1:19" ht="15" x14ac:dyDescent="0.2">
      <c r="A1012"/>
      <c r="B1012"/>
      <c r="C1012"/>
      <c r="D1012"/>
      <c r="E1012"/>
      <c r="F1012"/>
      <c r="G1012"/>
      <c r="H1012"/>
      <c r="I1012"/>
      <c r="J1012"/>
      <c r="K1012"/>
      <c r="L1012"/>
      <c r="M1012"/>
      <c r="N1012"/>
      <c r="O1012"/>
      <c r="P1012"/>
      <c r="Q1012"/>
      <c r="R1012"/>
      <c r="S1012"/>
    </row>
    <row r="1013" spans="1:19" ht="15" x14ac:dyDescent="0.2">
      <c r="A1013"/>
      <c r="B1013"/>
      <c r="C1013"/>
      <c r="D1013"/>
      <c r="E1013"/>
      <c r="F1013"/>
      <c r="G1013"/>
      <c r="H1013"/>
      <c r="I1013"/>
      <c r="J1013"/>
      <c r="K1013"/>
      <c r="L1013"/>
      <c r="M1013"/>
      <c r="N1013"/>
      <c r="O1013"/>
      <c r="P1013"/>
      <c r="Q1013"/>
      <c r="R1013"/>
      <c r="S1013"/>
    </row>
    <row r="1014" spans="1:19" ht="15" x14ac:dyDescent="0.2">
      <c r="A1014"/>
      <c r="B1014"/>
      <c r="C1014"/>
      <c r="D1014"/>
      <c r="E1014"/>
      <c r="F1014"/>
      <c r="G1014"/>
      <c r="H1014"/>
      <c r="I1014"/>
      <c r="J1014"/>
      <c r="K1014"/>
      <c r="L1014"/>
      <c r="M1014"/>
      <c r="N1014"/>
      <c r="O1014"/>
      <c r="P1014"/>
      <c r="Q1014"/>
      <c r="R1014"/>
      <c r="S1014"/>
    </row>
    <row r="1015" spans="1:19" ht="15" x14ac:dyDescent="0.2">
      <c r="A1015"/>
      <c r="B1015"/>
      <c r="C1015"/>
      <c r="D1015"/>
      <c r="E1015"/>
      <c r="F1015"/>
      <c r="G1015"/>
      <c r="H1015"/>
      <c r="I1015"/>
      <c r="J1015"/>
      <c r="K1015"/>
      <c r="L1015"/>
      <c r="M1015"/>
      <c r="N1015"/>
      <c r="O1015"/>
      <c r="P1015"/>
      <c r="Q1015"/>
      <c r="R1015"/>
      <c r="S1015"/>
    </row>
    <row r="1016" spans="1:19" ht="15" x14ac:dyDescent="0.2">
      <c r="A1016"/>
      <c r="B1016"/>
      <c r="C1016"/>
      <c r="D1016"/>
      <c r="E1016"/>
      <c r="F1016"/>
      <c r="G1016"/>
      <c r="H1016"/>
      <c r="I1016"/>
      <c r="J1016"/>
      <c r="K1016"/>
      <c r="L1016"/>
      <c r="M1016"/>
      <c r="N1016"/>
      <c r="O1016"/>
      <c r="P1016"/>
      <c r="Q1016"/>
      <c r="R1016"/>
      <c r="S1016"/>
    </row>
    <row r="1017" spans="1:19" ht="15" x14ac:dyDescent="0.2">
      <c r="A1017"/>
      <c r="B1017"/>
      <c r="C1017"/>
      <c r="D1017"/>
      <c r="E1017"/>
      <c r="F1017"/>
      <c r="G1017"/>
      <c r="H1017"/>
      <c r="I1017"/>
      <c r="J1017"/>
      <c r="K1017"/>
      <c r="L1017"/>
      <c r="M1017"/>
      <c r="N1017"/>
      <c r="O1017"/>
      <c r="P1017"/>
      <c r="Q1017"/>
      <c r="R1017"/>
      <c r="S1017"/>
    </row>
    <row r="1018" spans="1:19" ht="15" x14ac:dyDescent="0.2">
      <c r="A1018"/>
      <c r="B1018"/>
      <c r="C1018"/>
      <c r="D1018"/>
      <c r="E1018"/>
      <c r="F1018"/>
      <c r="G1018"/>
      <c r="H1018"/>
      <c r="I1018"/>
      <c r="J1018"/>
      <c r="K1018"/>
      <c r="L1018"/>
      <c r="M1018"/>
      <c r="N1018"/>
      <c r="O1018"/>
      <c r="P1018"/>
      <c r="Q1018"/>
      <c r="R1018"/>
      <c r="S1018"/>
    </row>
    <row r="1019" spans="1:19" ht="15" x14ac:dyDescent="0.2">
      <c r="A1019"/>
      <c r="B1019"/>
      <c r="C1019"/>
      <c r="D1019"/>
      <c r="E1019"/>
      <c r="F1019"/>
      <c r="G1019"/>
      <c r="H1019"/>
      <c r="I1019"/>
      <c r="J1019"/>
      <c r="K1019"/>
      <c r="L1019"/>
      <c r="M1019"/>
      <c r="N1019"/>
      <c r="O1019"/>
      <c r="P1019"/>
      <c r="Q1019"/>
      <c r="R1019"/>
      <c r="S1019"/>
    </row>
    <row r="1020" spans="1:19" ht="15" x14ac:dyDescent="0.2">
      <c r="A1020"/>
      <c r="B1020"/>
      <c r="C1020"/>
      <c r="D1020"/>
      <c r="E1020"/>
      <c r="F1020"/>
      <c r="G1020"/>
      <c r="H1020"/>
      <c r="I1020"/>
      <c r="J1020"/>
      <c r="K1020"/>
      <c r="L1020"/>
      <c r="M1020"/>
      <c r="N1020"/>
      <c r="O1020"/>
      <c r="P1020"/>
      <c r="Q1020"/>
      <c r="R1020"/>
      <c r="S1020"/>
    </row>
    <row r="1021" spans="1:19" ht="15" x14ac:dyDescent="0.2">
      <c r="A1021"/>
      <c r="B1021"/>
      <c r="C1021"/>
      <c r="D1021"/>
      <c r="E1021"/>
      <c r="F1021"/>
      <c r="G1021"/>
      <c r="H1021"/>
      <c r="I1021"/>
      <c r="J1021"/>
      <c r="K1021"/>
      <c r="L1021"/>
      <c r="M1021"/>
      <c r="N1021"/>
      <c r="O1021"/>
      <c r="P1021"/>
      <c r="Q1021"/>
      <c r="R1021"/>
      <c r="S1021"/>
    </row>
    <row r="1022" spans="1:19" ht="15" x14ac:dyDescent="0.2">
      <c r="A1022"/>
      <c r="B1022"/>
      <c r="C1022"/>
      <c r="D1022"/>
      <c r="E1022"/>
      <c r="F1022"/>
      <c r="G1022"/>
      <c r="H1022"/>
      <c r="I1022"/>
      <c r="J1022"/>
      <c r="K1022"/>
      <c r="L1022"/>
      <c r="M1022"/>
      <c r="N1022"/>
      <c r="O1022"/>
      <c r="P1022"/>
      <c r="Q1022"/>
      <c r="R1022"/>
      <c r="S1022"/>
    </row>
    <row r="1023" spans="1:19" ht="15" x14ac:dyDescent="0.2">
      <c r="A1023"/>
      <c r="B1023"/>
      <c r="C1023"/>
      <c r="D1023"/>
      <c r="E1023"/>
      <c r="F1023"/>
      <c r="G1023"/>
      <c r="H1023"/>
      <c r="I1023"/>
      <c r="J1023"/>
      <c r="K1023"/>
      <c r="L1023"/>
      <c r="M1023"/>
      <c r="N1023"/>
      <c r="O1023"/>
      <c r="P1023"/>
      <c r="Q1023"/>
      <c r="R1023"/>
      <c r="S1023"/>
    </row>
    <row r="1024" spans="1:19" ht="15" x14ac:dyDescent="0.2">
      <c r="A1024"/>
      <c r="B1024"/>
      <c r="C1024"/>
      <c r="D1024"/>
      <c r="E1024"/>
      <c r="F1024"/>
      <c r="G1024"/>
      <c r="H1024"/>
      <c r="I1024"/>
      <c r="J1024"/>
      <c r="K1024"/>
      <c r="L1024"/>
      <c r="M1024"/>
      <c r="N1024"/>
      <c r="O1024"/>
      <c r="P1024"/>
      <c r="Q1024"/>
      <c r="R1024"/>
      <c r="S1024"/>
    </row>
    <row r="1025" spans="1:19" ht="15" x14ac:dyDescent="0.2">
      <c r="A1025"/>
      <c r="B1025"/>
      <c r="C1025"/>
      <c r="D1025"/>
      <c r="E1025"/>
      <c r="F1025"/>
      <c r="G1025"/>
      <c r="H1025"/>
      <c r="I1025"/>
      <c r="J1025"/>
      <c r="K1025"/>
      <c r="L1025"/>
      <c r="M1025"/>
      <c r="N1025"/>
      <c r="O1025"/>
      <c r="P1025"/>
      <c r="Q1025"/>
      <c r="R1025"/>
      <c r="S1025"/>
    </row>
    <row r="1026" spans="1:19" ht="15" x14ac:dyDescent="0.2">
      <c r="A1026"/>
      <c r="B1026"/>
      <c r="C1026"/>
      <c r="D1026"/>
      <c r="E1026"/>
      <c r="F1026"/>
      <c r="G1026"/>
      <c r="H1026"/>
      <c r="I1026"/>
      <c r="J1026"/>
      <c r="K1026"/>
      <c r="L1026"/>
      <c r="M1026"/>
      <c r="N1026"/>
      <c r="O1026"/>
      <c r="P1026"/>
      <c r="Q1026"/>
      <c r="R1026"/>
      <c r="S1026"/>
    </row>
    <row r="1027" spans="1:19" ht="15" x14ac:dyDescent="0.2">
      <c r="A1027"/>
      <c r="B1027"/>
      <c r="C1027"/>
      <c r="D1027"/>
      <c r="E1027"/>
      <c r="F1027"/>
      <c r="G1027"/>
      <c r="H1027"/>
      <c r="I1027"/>
      <c r="J1027"/>
      <c r="K1027"/>
      <c r="L1027"/>
      <c r="M1027"/>
      <c r="N1027"/>
      <c r="O1027"/>
      <c r="P1027"/>
      <c r="Q1027"/>
      <c r="R1027"/>
      <c r="S1027"/>
    </row>
    <row r="1028" spans="1:19" ht="15" x14ac:dyDescent="0.2">
      <c r="A1028"/>
      <c r="B1028"/>
      <c r="C1028"/>
      <c r="D1028"/>
      <c r="E1028"/>
      <c r="F1028"/>
      <c r="G1028"/>
      <c r="H1028"/>
      <c r="I1028"/>
      <c r="J1028"/>
      <c r="K1028"/>
      <c r="L1028"/>
      <c r="M1028"/>
      <c r="N1028"/>
      <c r="O1028"/>
      <c r="P1028"/>
      <c r="Q1028"/>
      <c r="R1028"/>
      <c r="S1028"/>
    </row>
    <row r="1029" spans="1:19" ht="15" x14ac:dyDescent="0.2">
      <c r="A1029"/>
      <c r="B1029"/>
      <c r="C1029"/>
      <c r="D1029"/>
      <c r="E1029"/>
      <c r="F1029"/>
      <c r="G1029"/>
      <c r="H1029"/>
      <c r="I1029"/>
      <c r="J1029"/>
      <c r="K1029"/>
      <c r="L1029"/>
      <c r="M1029"/>
      <c r="N1029"/>
      <c r="O1029"/>
      <c r="P1029"/>
      <c r="Q1029"/>
      <c r="R1029"/>
      <c r="S1029"/>
    </row>
    <row r="1030" spans="1:19" ht="15" x14ac:dyDescent="0.2">
      <c r="A1030"/>
      <c r="B1030"/>
      <c r="C1030"/>
      <c r="D1030"/>
      <c r="E1030"/>
      <c r="F1030"/>
      <c r="G1030"/>
      <c r="H1030"/>
      <c r="I1030"/>
      <c r="J1030"/>
      <c r="K1030"/>
      <c r="L1030"/>
      <c r="M1030"/>
      <c r="N1030"/>
      <c r="O1030"/>
      <c r="P1030"/>
      <c r="Q1030"/>
      <c r="R1030"/>
      <c r="S1030"/>
    </row>
    <row r="1031" spans="1:19" ht="15" x14ac:dyDescent="0.2">
      <c r="A1031"/>
      <c r="B1031"/>
      <c r="C1031"/>
      <c r="D1031"/>
      <c r="E1031"/>
      <c r="F1031"/>
      <c r="G1031"/>
      <c r="H1031"/>
      <c r="I1031"/>
      <c r="J1031"/>
      <c r="K1031"/>
      <c r="L1031"/>
      <c r="M1031"/>
      <c r="N1031"/>
      <c r="O1031"/>
      <c r="P1031"/>
      <c r="Q1031"/>
      <c r="R1031"/>
      <c r="S1031"/>
    </row>
    <row r="1032" spans="1:19" ht="15" x14ac:dyDescent="0.2">
      <c r="A1032"/>
      <c r="B1032"/>
      <c r="C1032"/>
      <c r="D1032"/>
      <c r="E1032"/>
      <c r="F1032"/>
      <c r="G1032"/>
      <c r="H1032"/>
      <c r="I1032"/>
      <c r="J1032"/>
      <c r="K1032"/>
      <c r="L1032"/>
      <c r="M1032"/>
      <c r="N1032"/>
      <c r="O1032"/>
      <c r="P1032"/>
      <c r="Q1032"/>
      <c r="R1032"/>
      <c r="S1032"/>
    </row>
    <row r="1033" spans="1:19" ht="15" x14ac:dyDescent="0.2">
      <c r="A1033"/>
      <c r="B1033"/>
      <c r="C1033"/>
      <c r="D1033"/>
      <c r="E1033"/>
      <c r="F1033"/>
      <c r="G1033"/>
      <c r="H1033"/>
      <c r="I1033"/>
      <c r="J1033"/>
      <c r="K1033"/>
      <c r="L1033"/>
      <c r="M1033"/>
      <c r="N1033"/>
      <c r="O1033"/>
      <c r="P1033"/>
      <c r="Q1033"/>
      <c r="R1033"/>
      <c r="S1033"/>
    </row>
    <row r="1034" spans="1:19" ht="15" x14ac:dyDescent="0.2">
      <c r="A1034"/>
      <c r="B1034"/>
      <c r="C1034"/>
      <c r="D1034"/>
      <c r="E1034"/>
      <c r="F1034"/>
      <c r="G1034"/>
      <c r="H1034"/>
      <c r="I1034"/>
      <c r="J1034"/>
      <c r="K1034"/>
      <c r="L1034"/>
      <c r="M1034"/>
      <c r="N1034"/>
      <c r="O1034"/>
      <c r="P1034"/>
      <c r="Q1034"/>
      <c r="R1034"/>
      <c r="S1034"/>
    </row>
    <row r="1035" spans="1:19" ht="15" x14ac:dyDescent="0.2">
      <c r="A1035"/>
      <c r="B1035"/>
      <c r="C1035"/>
      <c r="D1035"/>
      <c r="E1035"/>
      <c r="F1035"/>
      <c r="G1035"/>
      <c r="H1035"/>
      <c r="I1035"/>
      <c r="J1035"/>
      <c r="K1035"/>
      <c r="L1035"/>
      <c r="M1035"/>
      <c r="N1035"/>
      <c r="O1035"/>
      <c r="P1035"/>
      <c r="Q1035"/>
      <c r="R1035"/>
      <c r="S1035"/>
    </row>
    <row r="1036" spans="1:19" ht="15" x14ac:dyDescent="0.2">
      <c r="A1036"/>
      <c r="B1036"/>
      <c r="C1036"/>
      <c r="D1036"/>
      <c r="E1036"/>
      <c r="F1036"/>
      <c r="G1036"/>
      <c r="H1036"/>
      <c r="I1036"/>
      <c r="J1036"/>
      <c r="K1036"/>
      <c r="L1036"/>
      <c r="M1036"/>
      <c r="N1036"/>
      <c r="O1036"/>
      <c r="P1036"/>
      <c r="Q1036"/>
      <c r="R1036"/>
      <c r="S1036"/>
    </row>
    <row r="1037" spans="1:19" ht="15" x14ac:dyDescent="0.2">
      <c r="A1037"/>
      <c r="B1037"/>
      <c r="C1037"/>
      <c r="D1037"/>
      <c r="E1037"/>
      <c r="F1037"/>
      <c r="G1037"/>
      <c r="H1037"/>
      <c r="I1037"/>
      <c r="J1037"/>
      <c r="K1037"/>
      <c r="L1037"/>
      <c r="M1037"/>
      <c r="N1037"/>
      <c r="O1037"/>
      <c r="P1037"/>
      <c r="Q1037"/>
      <c r="R1037"/>
      <c r="S1037"/>
    </row>
    <row r="1038" spans="1:19" ht="15" x14ac:dyDescent="0.2">
      <c r="A1038"/>
      <c r="B1038"/>
      <c r="C1038"/>
      <c r="D1038"/>
      <c r="E1038"/>
      <c r="F1038"/>
      <c r="G1038"/>
      <c r="H1038"/>
      <c r="I1038"/>
      <c r="J1038"/>
      <c r="K1038"/>
      <c r="L1038"/>
      <c r="M1038"/>
      <c r="N1038"/>
      <c r="O1038"/>
      <c r="P1038"/>
      <c r="Q1038"/>
      <c r="R1038"/>
      <c r="S1038"/>
    </row>
    <row r="1039" spans="1:19" ht="15" x14ac:dyDescent="0.2">
      <c r="A1039"/>
      <c r="B1039"/>
      <c r="C1039"/>
      <c r="D1039"/>
      <c r="E1039"/>
      <c r="F1039"/>
      <c r="G1039"/>
      <c r="H1039"/>
      <c r="I1039"/>
      <c r="J1039"/>
      <c r="K1039"/>
      <c r="L1039"/>
      <c r="M1039"/>
      <c r="N1039"/>
      <c r="O1039"/>
      <c r="P1039"/>
      <c r="Q1039"/>
      <c r="R1039"/>
      <c r="S1039"/>
    </row>
    <row r="1040" spans="1:19" ht="15" x14ac:dyDescent="0.2">
      <c r="A1040"/>
      <c r="B1040"/>
      <c r="C1040"/>
      <c r="D1040"/>
      <c r="E1040"/>
      <c r="F1040"/>
      <c r="G1040"/>
      <c r="H1040"/>
      <c r="I1040"/>
      <c r="J1040"/>
      <c r="K1040"/>
      <c r="L1040"/>
      <c r="M1040"/>
      <c r="N1040"/>
      <c r="O1040"/>
      <c r="P1040"/>
      <c r="Q1040"/>
      <c r="R1040"/>
      <c r="S1040"/>
    </row>
    <row r="1041" spans="1:19" ht="15" x14ac:dyDescent="0.2">
      <c r="A1041"/>
      <c r="B1041"/>
      <c r="C1041"/>
      <c r="D1041"/>
      <c r="E1041"/>
      <c r="F1041"/>
      <c r="G1041"/>
      <c r="H1041"/>
      <c r="I1041"/>
      <c r="J1041"/>
      <c r="K1041"/>
      <c r="L1041"/>
      <c r="M1041"/>
      <c r="N1041"/>
      <c r="O1041"/>
      <c r="P1041"/>
      <c r="Q1041"/>
      <c r="R1041"/>
      <c r="S1041"/>
    </row>
    <row r="1042" spans="1:19" ht="15" x14ac:dyDescent="0.2">
      <c r="A1042"/>
      <c r="B1042"/>
      <c r="C1042"/>
      <c r="D1042"/>
      <c r="E1042"/>
      <c r="F1042"/>
      <c r="G1042"/>
      <c r="H1042"/>
      <c r="I1042"/>
      <c r="J1042"/>
      <c r="K1042"/>
      <c r="L1042"/>
      <c r="M1042"/>
      <c r="N1042"/>
      <c r="O1042"/>
      <c r="P1042"/>
      <c r="Q1042"/>
      <c r="R1042"/>
      <c r="S1042"/>
    </row>
    <row r="1043" spans="1:19" ht="15" x14ac:dyDescent="0.2">
      <c r="A1043"/>
      <c r="B1043"/>
      <c r="C1043"/>
      <c r="D1043"/>
      <c r="E1043"/>
      <c r="F1043"/>
      <c r="G1043"/>
      <c r="H1043"/>
      <c r="I1043"/>
      <c r="J1043"/>
      <c r="K1043"/>
      <c r="L1043"/>
      <c r="M1043"/>
      <c r="N1043"/>
      <c r="O1043"/>
      <c r="P1043"/>
      <c r="Q1043"/>
      <c r="R1043"/>
      <c r="S1043"/>
    </row>
    <row r="1044" spans="1:19" ht="15" x14ac:dyDescent="0.2">
      <c r="A1044"/>
      <c r="B1044"/>
      <c r="C1044"/>
      <c r="D1044"/>
      <c r="E1044"/>
      <c r="F1044"/>
      <c r="G1044"/>
      <c r="H1044"/>
      <c r="I1044"/>
      <c r="J1044"/>
      <c r="K1044"/>
      <c r="L1044"/>
      <c r="M1044"/>
      <c r="N1044"/>
      <c r="O1044"/>
      <c r="P1044"/>
      <c r="Q1044"/>
      <c r="R1044"/>
      <c r="S1044"/>
    </row>
    <row r="1045" spans="1:19" ht="15" x14ac:dyDescent="0.2">
      <c r="A1045"/>
      <c r="B1045"/>
      <c r="C1045"/>
      <c r="D1045"/>
      <c r="E1045"/>
      <c r="F1045"/>
      <c r="G1045"/>
      <c r="H1045"/>
      <c r="I1045"/>
      <c r="J1045"/>
      <c r="K1045"/>
      <c r="L1045"/>
      <c r="M1045"/>
      <c r="N1045"/>
      <c r="O1045"/>
      <c r="P1045"/>
      <c r="Q1045"/>
      <c r="R1045"/>
      <c r="S1045"/>
    </row>
    <row r="1046" spans="1:19" ht="15" x14ac:dyDescent="0.2">
      <c r="A1046"/>
      <c r="B1046"/>
      <c r="C1046"/>
      <c r="D1046"/>
      <c r="E1046"/>
      <c r="F1046"/>
      <c r="G1046"/>
      <c r="H1046"/>
      <c r="I1046"/>
      <c r="J1046"/>
      <c r="K1046"/>
      <c r="L1046"/>
      <c r="M1046"/>
      <c r="N1046"/>
      <c r="O1046"/>
      <c r="P1046"/>
      <c r="Q1046"/>
      <c r="R1046"/>
      <c r="S1046"/>
    </row>
    <row r="1047" spans="1:19" ht="15" x14ac:dyDescent="0.2">
      <c r="A1047"/>
      <c r="B1047"/>
      <c r="C1047"/>
      <c r="D1047"/>
      <c r="E1047"/>
      <c r="F1047"/>
      <c r="G1047"/>
      <c r="H1047"/>
      <c r="I1047"/>
      <c r="J1047"/>
      <c r="K1047"/>
      <c r="L1047"/>
      <c r="M1047"/>
      <c r="N1047"/>
      <c r="O1047"/>
      <c r="P1047"/>
      <c r="Q1047"/>
      <c r="R1047"/>
      <c r="S1047"/>
    </row>
    <row r="1048" spans="1:19" ht="15" x14ac:dyDescent="0.2">
      <c r="A1048"/>
      <c r="B1048"/>
      <c r="C1048"/>
      <c r="D1048"/>
      <c r="E1048"/>
      <c r="F1048"/>
      <c r="G1048"/>
      <c r="H1048"/>
      <c r="I1048"/>
      <c r="J1048"/>
      <c r="K1048"/>
      <c r="L1048"/>
      <c r="M1048"/>
      <c r="N1048"/>
      <c r="O1048"/>
      <c r="P1048"/>
      <c r="Q1048"/>
      <c r="R1048"/>
      <c r="S1048"/>
    </row>
    <row r="1049" spans="1:19" ht="15" x14ac:dyDescent="0.2">
      <c r="A1049"/>
      <c r="B1049"/>
      <c r="C1049"/>
      <c r="D1049"/>
      <c r="E1049"/>
      <c r="F1049"/>
      <c r="G1049"/>
      <c r="H1049"/>
      <c r="I1049"/>
      <c r="J1049"/>
      <c r="K1049"/>
      <c r="L1049"/>
      <c r="M1049"/>
      <c r="N1049"/>
      <c r="O1049"/>
      <c r="P1049"/>
      <c r="Q1049"/>
      <c r="R1049"/>
      <c r="S1049"/>
    </row>
    <row r="1050" spans="1:19" ht="15" x14ac:dyDescent="0.2">
      <c r="A1050"/>
      <c r="B1050"/>
      <c r="C1050"/>
      <c r="D1050"/>
      <c r="E1050"/>
      <c r="F1050"/>
      <c r="G1050"/>
      <c r="H1050"/>
      <c r="I1050"/>
      <c r="J1050"/>
      <c r="K1050"/>
      <c r="L1050"/>
      <c r="M1050"/>
      <c r="N1050"/>
      <c r="O1050"/>
      <c r="P1050"/>
      <c r="Q1050"/>
      <c r="R1050"/>
      <c r="S1050"/>
    </row>
    <row r="1051" spans="1:19" ht="15" x14ac:dyDescent="0.2">
      <c r="A1051"/>
      <c r="B1051"/>
      <c r="C1051"/>
      <c r="D1051"/>
      <c r="E1051"/>
      <c r="F1051"/>
      <c r="G1051"/>
      <c r="H1051"/>
      <c r="I1051"/>
      <c r="J1051"/>
      <c r="K1051"/>
      <c r="L1051"/>
      <c r="M1051"/>
      <c r="N1051"/>
      <c r="O1051"/>
      <c r="P1051"/>
      <c r="Q1051"/>
      <c r="R1051"/>
      <c r="S1051"/>
    </row>
    <row r="1052" spans="1:19" ht="15" x14ac:dyDescent="0.2">
      <c r="A1052"/>
      <c r="B1052"/>
      <c r="C1052"/>
      <c r="D1052"/>
      <c r="E1052"/>
      <c r="F1052"/>
      <c r="G1052"/>
      <c r="H1052"/>
      <c r="I1052"/>
      <c r="J1052"/>
      <c r="K1052"/>
      <c r="L1052"/>
      <c r="M1052"/>
      <c r="N1052"/>
      <c r="O1052"/>
      <c r="P1052"/>
      <c r="Q1052"/>
      <c r="R1052"/>
      <c r="S1052"/>
    </row>
    <row r="1053" spans="1:19" ht="15" x14ac:dyDescent="0.2">
      <c r="A1053"/>
      <c r="B1053"/>
      <c r="C1053"/>
      <c r="D1053"/>
      <c r="E1053"/>
      <c r="F1053"/>
      <c r="G1053"/>
      <c r="H1053"/>
      <c r="I1053"/>
      <c r="J1053"/>
      <c r="K1053"/>
      <c r="L1053"/>
      <c r="M1053"/>
      <c r="N1053"/>
      <c r="O1053"/>
      <c r="P1053"/>
      <c r="Q1053"/>
      <c r="R1053"/>
      <c r="S1053"/>
    </row>
    <row r="1054" spans="1:19" ht="15" x14ac:dyDescent="0.2">
      <c r="A1054"/>
      <c r="B1054"/>
      <c r="C1054"/>
      <c r="D1054"/>
      <c r="E1054"/>
      <c r="F1054"/>
      <c r="G1054"/>
      <c r="H1054"/>
      <c r="I1054"/>
      <c r="J1054"/>
      <c r="K1054"/>
      <c r="L1054"/>
      <c r="M1054"/>
      <c r="N1054"/>
      <c r="O1054"/>
      <c r="P1054"/>
      <c r="Q1054"/>
      <c r="R1054"/>
      <c r="S1054"/>
    </row>
    <row r="1055" spans="1:19" ht="15" x14ac:dyDescent="0.2">
      <c r="A1055"/>
      <c r="B1055"/>
      <c r="C1055"/>
      <c r="D1055"/>
      <c r="E1055"/>
      <c r="F1055"/>
      <c r="G1055"/>
      <c r="H1055"/>
      <c r="I1055"/>
      <c r="J1055"/>
      <c r="K1055"/>
      <c r="L1055"/>
      <c r="M1055"/>
      <c r="N1055"/>
      <c r="O1055"/>
      <c r="P1055"/>
      <c r="Q1055"/>
      <c r="R1055"/>
      <c r="S1055"/>
    </row>
    <row r="1056" spans="1:19" ht="15" x14ac:dyDescent="0.2">
      <c r="A1056"/>
      <c r="B1056"/>
      <c r="C1056"/>
      <c r="D1056"/>
      <c r="E1056"/>
      <c r="F1056"/>
      <c r="G1056"/>
      <c r="H1056"/>
      <c r="I1056"/>
      <c r="J1056"/>
      <c r="K1056"/>
      <c r="L1056"/>
      <c r="M1056"/>
      <c r="N1056"/>
      <c r="O1056"/>
      <c r="P1056"/>
      <c r="Q1056"/>
      <c r="R1056"/>
      <c r="S1056"/>
    </row>
    <row r="1057" spans="1:19" ht="15" x14ac:dyDescent="0.2">
      <c r="A1057"/>
      <c r="B1057"/>
      <c r="C1057"/>
      <c r="D1057"/>
      <c r="E1057"/>
      <c r="F1057"/>
      <c r="G1057"/>
      <c r="H1057"/>
      <c r="I1057"/>
      <c r="J1057"/>
      <c r="K1057"/>
      <c r="L1057"/>
      <c r="M1057"/>
      <c r="N1057"/>
      <c r="O1057"/>
      <c r="P1057"/>
      <c r="Q1057"/>
      <c r="R1057"/>
      <c r="S1057"/>
    </row>
    <row r="1058" spans="1:19" ht="15" x14ac:dyDescent="0.2">
      <c r="A1058"/>
      <c r="B1058"/>
      <c r="C1058"/>
      <c r="D1058"/>
      <c r="E1058"/>
      <c r="F1058"/>
      <c r="G1058"/>
      <c r="H1058"/>
      <c r="I1058"/>
      <c r="J1058"/>
      <c r="K1058"/>
      <c r="L1058"/>
      <c r="M1058"/>
      <c r="N1058"/>
      <c r="O1058"/>
      <c r="P1058"/>
      <c r="Q1058"/>
      <c r="R1058"/>
      <c r="S1058"/>
    </row>
    <row r="1059" spans="1:19" ht="15" x14ac:dyDescent="0.2">
      <c r="A1059"/>
      <c r="B1059"/>
      <c r="C1059"/>
      <c r="D1059"/>
      <c r="E1059"/>
      <c r="F1059"/>
      <c r="G1059"/>
      <c r="H1059"/>
      <c r="I1059"/>
      <c r="J1059"/>
      <c r="K1059"/>
      <c r="L1059"/>
      <c r="M1059"/>
      <c r="N1059"/>
      <c r="O1059"/>
      <c r="P1059"/>
      <c r="Q1059"/>
      <c r="R1059"/>
      <c r="S1059"/>
    </row>
    <row r="1060" spans="1:19" ht="15" x14ac:dyDescent="0.2">
      <c r="A1060"/>
      <c r="B1060"/>
      <c r="C1060"/>
      <c r="D1060"/>
      <c r="E1060"/>
      <c r="F1060"/>
      <c r="G1060"/>
      <c r="H1060"/>
      <c r="I1060"/>
      <c r="J1060"/>
      <c r="K1060"/>
      <c r="L1060"/>
      <c r="M1060"/>
      <c r="N1060"/>
      <c r="O1060"/>
      <c r="P1060"/>
      <c r="Q1060"/>
      <c r="R1060"/>
      <c r="S1060"/>
    </row>
    <row r="1061" spans="1:19" ht="15" x14ac:dyDescent="0.2">
      <c r="A1061"/>
      <c r="B1061"/>
      <c r="C1061"/>
      <c r="D1061"/>
      <c r="E1061"/>
      <c r="F1061"/>
      <c r="G1061"/>
      <c r="H1061"/>
      <c r="I1061"/>
      <c r="J1061"/>
      <c r="K1061"/>
      <c r="L1061"/>
      <c r="M1061"/>
      <c r="N1061"/>
      <c r="O1061"/>
      <c r="P1061"/>
      <c r="Q1061"/>
      <c r="R1061"/>
      <c r="S1061"/>
    </row>
    <row r="1062" spans="1:19" ht="15" x14ac:dyDescent="0.2">
      <c r="A1062"/>
      <c r="B1062"/>
      <c r="C1062"/>
      <c r="D1062"/>
      <c r="E1062"/>
      <c r="F1062"/>
      <c r="G1062"/>
      <c r="H1062"/>
      <c r="I1062"/>
      <c r="J1062"/>
      <c r="K1062"/>
      <c r="L1062"/>
      <c r="M1062"/>
      <c r="N1062"/>
      <c r="O1062"/>
      <c r="P1062"/>
      <c r="Q1062"/>
      <c r="R1062"/>
      <c r="S1062"/>
    </row>
    <row r="1063" spans="1:19" ht="15" x14ac:dyDescent="0.2">
      <c r="A1063"/>
      <c r="B1063"/>
      <c r="C1063"/>
      <c r="D1063"/>
      <c r="E1063"/>
      <c r="F1063"/>
      <c r="G1063"/>
      <c r="H1063"/>
      <c r="I1063"/>
      <c r="J1063"/>
      <c r="K1063"/>
      <c r="L1063"/>
      <c r="M1063"/>
      <c r="N1063"/>
      <c r="O1063"/>
      <c r="P1063"/>
      <c r="Q1063"/>
      <c r="R1063"/>
      <c r="S1063"/>
    </row>
    <row r="1064" spans="1:19" ht="15" x14ac:dyDescent="0.2">
      <c r="A1064"/>
      <c r="B1064"/>
      <c r="C1064"/>
      <c r="D1064"/>
      <c r="E1064"/>
      <c r="F1064"/>
      <c r="G1064"/>
      <c r="H1064"/>
      <c r="I1064"/>
      <c r="J1064"/>
      <c r="K1064"/>
      <c r="L1064"/>
      <c r="M1064"/>
      <c r="N1064"/>
      <c r="O1064"/>
      <c r="P1064"/>
      <c r="Q1064"/>
      <c r="R1064"/>
      <c r="S1064"/>
    </row>
    <row r="1065" spans="1:19" ht="15" x14ac:dyDescent="0.2">
      <c r="A1065"/>
      <c r="B1065"/>
      <c r="C1065"/>
      <c r="D1065"/>
      <c r="E1065"/>
      <c r="F1065"/>
      <c r="G1065"/>
      <c r="H1065"/>
      <c r="I1065"/>
      <c r="J1065"/>
      <c r="K1065"/>
      <c r="L1065"/>
      <c r="M1065"/>
      <c r="N1065"/>
      <c r="O1065"/>
      <c r="P1065"/>
      <c r="Q1065"/>
      <c r="R1065"/>
      <c r="S1065"/>
    </row>
    <row r="1066" spans="1:19" ht="15" x14ac:dyDescent="0.2">
      <c r="A1066"/>
      <c r="B1066"/>
      <c r="C1066"/>
      <c r="D1066"/>
      <c r="E1066"/>
      <c r="F1066"/>
      <c r="G1066"/>
      <c r="H1066"/>
      <c r="I1066"/>
      <c r="J1066"/>
      <c r="K1066"/>
      <c r="L1066"/>
      <c r="M1066"/>
      <c r="N1066"/>
      <c r="O1066"/>
      <c r="P1066"/>
      <c r="Q1066"/>
      <c r="R1066"/>
      <c r="S1066"/>
    </row>
    <row r="1067" spans="1:19" ht="15" x14ac:dyDescent="0.2">
      <c r="A1067"/>
      <c r="B1067"/>
      <c r="C1067"/>
      <c r="D1067"/>
      <c r="E1067"/>
      <c r="F1067"/>
      <c r="G1067"/>
      <c r="H1067"/>
      <c r="I1067"/>
      <c r="J1067"/>
      <c r="K1067"/>
      <c r="L1067"/>
      <c r="M1067"/>
      <c r="N1067"/>
      <c r="O1067"/>
      <c r="P1067"/>
      <c r="Q1067"/>
      <c r="R1067"/>
      <c r="S1067"/>
    </row>
    <row r="1068" spans="1:19" ht="15" x14ac:dyDescent="0.2">
      <c r="A1068"/>
      <c r="B1068"/>
      <c r="C1068"/>
      <c r="D1068"/>
      <c r="E1068"/>
      <c r="F1068"/>
      <c r="G1068"/>
      <c r="H1068"/>
      <c r="I1068"/>
      <c r="J1068"/>
      <c r="K1068"/>
      <c r="L1068"/>
      <c r="M1068"/>
      <c r="N1068"/>
      <c r="O1068"/>
      <c r="P1068"/>
      <c r="Q1068"/>
      <c r="R1068"/>
      <c r="S1068"/>
    </row>
    <row r="1069" spans="1:19" ht="15" x14ac:dyDescent="0.2">
      <c r="A1069"/>
      <c r="B1069"/>
      <c r="C1069"/>
      <c r="D1069"/>
      <c r="E1069"/>
      <c r="F1069"/>
      <c r="G1069"/>
      <c r="H1069"/>
      <c r="I1069"/>
      <c r="J1069"/>
      <c r="K1069"/>
      <c r="L1069"/>
      <c r="M1069"/>
      <c r="N1069"/>
      <c r="O1069"/>
      <c r="P1069"/>
      <c r="Q1069"/>
      <c r="R1069"/>
      <c r="S1069"/>
    </row>
    <row r="1070" spans="1:19" ht="15" x14ac:dyDescent="0.2">
      <c r="A1070"/>
      <c r="B1070"/>
      <c r="C1070"/>
      <c r="D1070"/>
      <c r="E1070"/>
      <c r="F1070"/>
      <c r="G1070"/>
      <c r="H1070"/>
      <c r="I1070"/>
      <c r="J1070"/>
      <c r="K1070"/>
      <c r="L1070"/>
      <c r="M1070"/>
      <c r="N1070"/>
      <c r="O1070"/>
      <c r="P1070"/>
      <c r="Q1070"/>
      <c r="R1070"/>
      <c r="S1070"/>
    </row>
    <row r="1071" spans="1:19" ht="15" x14ac:dyDescent="0.2">
      <c r="A1071"/>
      <c r="B1071"/>
      <c r="C1071"/>
      <c r="D1071"/>
      <c r="E1071"/>
      <c r="F1071"/>
      <c r="G1071"/>
      <c r="H1071"/>
      <c r="I1071"/>
      <c r="J1071"/>
      <c r="K1071"/>
      <c r="L1071"/>
      <c r="M1071"/>
      <c r="N1071"/>
      <c r="O1071"/>
      <c r="P1071"/>
      <c r="Q1071"/>
      <c r="R1071"/>
      <c r="S1071"/>
    </row>
    <row r="1072" spans="1:19" ht="15" x14ac:dyDescent="0.2">
      <c r="A1072"/>
      <c r="B1072"/>
      <c r="C1072"/>
      <c r="D1072"/>
      <c r="E1072"/>
      <c r="F1072"/>
      <c r="G1072"/>
      <c r="H1072"/>
      <c r="I1072"/>
      <c r="J1072"/>
      <c r="K1072"/>
      <c r="L1072"/>
      <c r="M1072"/>
      <c r="N1072"/>
      <c r="O1072"/>
      <c r="P1072"/>
      <c r="Q1072"/>
      <c r="R1072"/>
      <c r="S1072"/>
    </row>
    <row r="1073" spans="1:19" ht="15" x14ac:dyDescent="0.2">
      <c r="A1073"/>
      <c r="B1073"/>
      <c r="C1073"/>
      <c r="D1073"/>
      <c r="E1073"/>
      <c r="F1073"/>
      <c r="G1073"/>
      <c r="H1073"/>
      <c r="I1073"/>
      <c r="J1073"/>
      <c r="K1073"/>
      <c r="L1073"/>
      <c r="M1073"/>
      <c r="N1073"/>
      <c r="O1073"/>
      <c r="P1073"/>
      <c r="Q1073"/>
      <c r="R1073"/>
      <c r="S1073"/>
    </row>
    <row r="1074" spans="1:19" ht="15" x14ac:dyDescent="0.2">
      <c r="A1074"/>
      <c r="B1074"/>
      <c r="C1074"/>
      <c r="D1074"/>
      <c r="E1074"/>
      <c r="F1074"/>
      <c r="G1074"/>
      <c r="H1074"/>
      <c r="I1074"/>
      <c r="J1074"/>
      <c r="K1074"/>
      <c r="L1074"/>
      <c r="M1074"/>
      <c r="N1074"/>
      <c r="O1074"/>
      <c r="P1074"/>
      <c r="Q1074"/>
      <c r="R1074"/>
      <c r="S1074"/>
    </row>
    <row r="1075" spans="1:19" ht="15" x14ac:dyDescent="0.2">
      <c r="A1075"/>
      <c r="B1075"/>
      <c r="C1075"/>
      <c r="D1075"/>
      <c r="E1075"/>
      <c r="F1075"/>
      <c r="G1075"/>
      <c r="H1075"/>
      <c r="I1075"/>
      <c r="J1075"/>
      <c r="K1075"/>
      <c r="L1075"/>
      <c r="M1075"/>
      <c r="N1075"/>
      <c r="O1075"/>
      <c r="P1075"/>
      <c r="Q1075"/>
      <c r="R1075"/>
      <c r="S1075"/>
    </row>
    <row r="1076" spans="1:19" ht="15" x14ac:dyDescent="0.2">
      <c r="A1076"/>
      <c r="B1076"/>
      <c r="C1076"/>
      <c r="D1076"/>
      <c r="E1076"/>
      <c r="F1076"/>
      <c r="G1076"/>
      <c r="H1076"/>
      <c r="I1076"/>
      <c r="J1076"/>
      <c r="K1076"/>
      <c r="L1076"/>
      <c r="M1076"/>
      <c r="N1076"/>
      <c r="O1076"/>
      <c r="P1076"/>
      <c r="Q1076"/>
      <c r="R1076"/>
      <c r="S1076"/>
    </row>
    <row r="1077" spans="1:19" ht="15" x14ac:dyDescent="0.2">
      <c r="A1077"/>
      <c r="B1077"/>
      <c r="C1077"/>
      <c r="D1077"/>
      <c r="E1077"/>
      <c r="F1077"/>
      <c r="G1077"/>
      <c r="H1077"/>
      <c r="I1077"/>
      <c r="J1077"/>
      <c r="K1077"/>
      <c r="L1077"/>
      <c r="M1077"/>
      <c r="N1077"/>
      <c r="O1077"/>
      <c r="P1077"/>
      <c r="Q1077"/>
      <c r="R1077"/>
      <c r="S1077"/>
    </row>
    <row r="1078" spans="1:19" ht="15" x14ac:dyDescent="0.2">
      <c r="A1078"/>
      <c r="B1078"/>
      <c r="C1078"/>
      <c r="D1078"/>
      <c r="E1078"/>
      <c r="F1078"/>
      <c r="G1078"/>
      <c r="H1078"/>
      <c r="I1078"/>
      <c r="J1078"/>
      <c r="K1078"/>
      <c r="L1078"/>
      <c r="M1078"/>
      <c r="N1078"/>
      <c r="O1078"/>
      <c r="P1078"/>
      <c r="Q1078"/>
      <c r="R1078"/>
      <c r="S1078"/>
    </row>
    <row r="1079" spans="1:19" ht="15" x14ac:dyDescent="0.2">
      <c r="A1079"/>
      <c r="B1079"/>
      <c r="C1079"/>
      <c r="D1079"/>
      <c r="E1079"/>
      <c r="F1079"/>
      <c r="G1079"/>
      <c r="H1079"/>
      <c r="I1079"/>
      <c r="J1079"/>
      <c r="K1079"/>
      <c r="L1079"/>
      <c r="M1079"/>
      <c r="N1079"/>
      <c r="O1079"/>
      <c r="P1079"/>
      <c r="Q1079"/>
      <c r="R1079"/>
      <c r="S1079"/>
    </row>
    <row r="1080" spans="1:19" ht="15" x14ac:dyDescent="0.2">
      <c r="A1080"/>
      <c r="B1080"/>
      <c r="C1080"/>
      <c r="D1080"/>
      <c r="E1080"/>
      <c r="F1080"/>
      <c r="G1080"/>
      <c r="H1080"/>
      <c r="I1080"/>
      <c r="J1080"/>
      <c r="K1080"/>
      <c r="L1080"/>
      <c r="M1080"/>
      <c r="N1080"/>
      <c r="O1080"/>
      <c r="P1080"/>
      <c r="Q1080"/>
      <c r="R1080"/>
      <c r="S1080"/>
    </row>
    <row r="1081" spans="1:19" ht="15" x14ac:dyDescent="0.2">
      <c r="A1081"/>
      <c r="B1081"/>
      <c r="C1081"/>
      <c r="D1081"/>
      <c r="E1081"/>
      <c r="F1081"/>
      <c r="G1081"/>
      <c r="H1081"/>
      <c r="I1081"/>
      <c r="J1081"/>
      <c r="K1081"/>
      <c r="L1081"/>
      <c r="M1081"/>
      <c r="N1081"/>
      <c r="O1081"/>
      <c r="P1081"/>
      <c r="Q1081"/>
      <c r="R1081"/>
      <c r="S1081"/>
    </row>
    <row r="1082" spans="1:19" ht="15" x14ac:dyDescent="0.2">
      <c r="A1082"/>
      <c r="B1082"/>
      <c r="C1082"/>
      <c r="D1082"/>
      <c r="E1082"/>
      <c r="F1082"/>
      <c r="G1082"/>
      <c r="H1082"/>
      <c r="I1082"/>
      <c r="J1082"/>
      <c r="K1082"/>
      <c r="L1082"/>
      <c r="M1082"/>
      <c r="N1082"/>
      <c r="O1082"/>
      <c r="P1082"/>
      <c r="Q1082"/>
      <c r="R1082"/>
      <c r="S1082"/>
    </row>
    <row r="1083" spans="1:19" ht="15" x14ac:dyDescent="0.2">
      <c r="A1083"/>
      <c r="B1083"/>
      <c r="C1083"/>
      <c r="D1083"/>
      <c r="E1083"/>
      <c r="F1083"/>
      <c r="G1083"/>
      <c r="H1083"/>
      <c r="I1083"/>
      <c r="J1083"/>
      <c r="K1083"/>
      <c r="L1083"/>
      <c r="M1083"/>
      <c r="N1083"/>
      <c r="O1083"/>
      <c r="P1083"/>
      <c r="Q1083"/>
      <c r="R1083"/>
      <c r="S1083"/>
    </row>
    <row r="1084" spans="1:19" ht="15" x14ac:dyDescent="0.2">
      <c r="A1084"/>
      <c r="B1084"/>
      <c r="C1084"/>
      <c r="D1084"/>
      <c r="E1084"/>
      <c r="F1084"/>
      <c r="G1084"/>
      <c r="H1084"/>
      <c r="I1084"/>
      <c r="J1084"/>
      <c r="K1084"/>
      <c r="L1084"/>
      <c r="M1084"/>
      <c r="N1084"/>
      <c r="O1084"/>
      <c r="P1084"/>
      <c r="Q1084"/>
      <c r="R1084"/>
      <c r="S1084"/>
    </row>
    <row r="1085" spans="1:19" ht="15" x14ac:dyDescent="0.2">
      <c r="A1085"/>
      <c r="B1085"/>
      <c r="C1085"/>
      <c r="D1085"/>
      <c r="E1085"/>
      <c r="F1085"/>
      <c r="G1085"/>
      <c r="H1085"/>
      <c r="I1085"/>
      <c r="J1085"/>
      <c r="K1085"/>
      <c r="L1085"/>
      <c r="M1085"/>
      <c r="N1085"/>
      <c r="O1085"/>
      <c r="P1085"/>
      <c r="Q1085"/>
      <c r="R1085"/>
      <c r="S1085"/>
    </row>
    <row r="1086" spans="1:19" ht="15" x14ac:dyDescent="0.2">
      <c r="A1086"/>
      <c r="B1086"/>
      <c r="C1086"/>
      <c r="D1086"/>
      <c r="E1086"/>
      <c r="F1086"/>
      <c r="G1086"/>
      <c r="H1086"/>
      <c r="I1086"/>
      <c r="J1086"/>
      <c r="K1086"/>
      <c r="L1086"/>
      <c r="M1086"/>
      <c r="N1086"/>
      <c r="O1086"/>
      <c r="P1086"/>
      <c r="Q1086"/>
      <c r="R1086"/>
      <c r="S1086"/>
    </row>
    <row r="1087" spans="1:19" ht="15" x14ac:dyDescent="0.2">
      <c r="A1087"/>
      <c r="B1087"/>
      <c r="C1087"/>
      <c r="D1087"/>
      <c r="E1087"/>
      <c r="F1087"/>
      <c r="G1087"/>
      <c r="H1087"/>
      <c r="I1087"/>
      <c r="J1087"/>
      <c r="K1087"/>
      <c r="L1087"/>
      <c r="M1087"/>
      <c r="N1087"/>
      <c r="O1087"/>
      <c r="P1087"/>
      <c r="Q1087"/>
      <c r="R1087"/>
      <c r="S1087"/>
    </row>
    <row r="1088" spans="1:19" ht="15" x14ac:dyDescent="0.2">
      <c r="A1088"/>
      <c r="B1088"/>
      <c r="C1088"/>
      <c r="D1088"/>
      <c r="E1088"/>
      <c r="F1088"/>
      <c r="G1088"/>
      <c r="H1088"/>
      <c r="I1088"/>
      <c r="J1088"/>
      <c r="K1088"/>
      <c r="L1088"/>
      <c r="M1088"/>
      <c r="N1088"/>
      <c r="O1088"/>
      <c r="P1088"/>
      <c r="Q1088"/>
      <c r="R1088"/>
      <c r="S1088"/>
    </row>
    <row r="1089" spans="1:19" ht="15" x14ac:dyDescent="0.2">
      <c r="A1089"/>
      <c r="B1089"/>
      <c r="C1089"/>
      <c r="D1089"/>
      <c r="E1089"/>
      <c r="F1089"/>
      <c r="G1089"/>
      <c r="H1089"/>
      <c r="I1089"/>
      <c r="J1089"/>
      <c r="K1089"/>
      <c r="L1089"/>
      <c r="M1089"/>
      <c r="N1089"/>
      <c r="O1089"/>
      <c r="P1089"/>
      <c r="Q1089"/>
      <c r="R1089"/>
      <c r="S1089"/>
    </row>
    <row r="1090" spans="1:19" ht="15" x14ac:dyDescent="0.2">
      <c r="A1090"/>
      <c r="B1090"/>
      <c r="C1090"/>
      <c r="D1090"/>
      <c r="E1090"/>
      <c r="F1090"/>
      <c r="G1090"/>
      <c r="H1090"/>
      <c r="I1090"/>
      <c r="J1090"/>
      <c r="K1090"/>
      <c r="L1090"/>
      <c r="M1090"/>
      <c r="N1090"/>
      <c r="O1090"/>
      <c r="P1090"/>
      <c r="Q1090"/>
      <c r="R1090"/>
      <c r="S1090"/>
    </row>
    <row r="1091" spans="1:19" ht="15" x14ac:dyDescent="0.2">
      <c r="A1091"/>
      <c r="B1091"/>
      <c r="C1091"/>
      <c r="D1091"/>
      <c r="E1091"/>
      <c r="F1091"/>
      <c r="G1091"/>
      <c r="H1091"/>
      <c r="I1091"/>
      <c r="J1091"/>
      <c r="K1091"/>
      <c r="L1091"/>
      <c r="M1091"/>
      <c r="N1091"/>
      <c r="O1091"/>
      <c r="P1091"/>
      <c r="Q1091"/>
      <c r="R1091"/>
      <c r="S1091"/>
    </row>
    <row r="1092" spans="1:19" ht="15" x14ac:dyDescent="0.2">
      <c r="A1092"/>
      <c r="B1092"/>
      <c r="C1092"/>
      <c r="D1092"/>
      <c r="E1092"/>
      <c r="F1092"/>
      <c r="G1092"/>
      <c r="H1092"/>
      <c r="I1092"/>
      <c r="J1092"/>
      <c r="K1092"/>
      <c r="L1092"/>
      <c r="M1092"/>
      <c r="N1092"/>
      <c r="O1092"/>
      <c r="P1092"/>
      <c r="Q1092"/>
      <c r="R1092"/>
      <c r="S1092"/>
    </row>
    <row r="1093" spans="1:19" ht="15" x14ac:dyDescent="0.2">
      <c r="A1093"/>
      <c r="B1093"/>
      <c r="C1093"/>
      <c r="D1093"/>
      <c r="E1093"/>
      <c r="F1093"/>
      <c r="G1093"/>
      <c r="H1093"/>
      <c r="I1093"/>
      <c r="J1093"/>
      <c r="K1093"/>
      <c r="L1093"/>
      <c r="M1093"/>
      <c r="N1093"/>
      <c r="O1093"/>
      <c r="P1093"/>
      <c r="Q1093"/>
      <c r="R1093"/>
      <c r="S1093"/>
    </row>
    <row r="1094" spans="1:19" ht="15" x14ac:dyDescent="0.2">
      <c r="A1094"/>
      <c r="B1094"/>
      <c r="C1094"/>
      <c r="D1094"/>
      <c r="E1094"/>
      <c r="F1094"/>
      <c r="G1094"/>
      <c r="H1094"/>
      <c r="I1094"/>
      <c r="J1094"/>
      <c r="K1094"/>
      <c r="L1094"/>
      <c r="M1094"/>
      <c r="N1094"/>
      <c r="O1094"/>
      <c r="P1094"/>
      <c r="Q1094"/>
      <c r="R1094"/>
      <c r="S1094"/>
    </row>
    <row r="1095" spans="1:19" ht="15" x14ac:dyDescent="0.2">
      <c r="A1095"/>
      <c r="B1095"/>
      <c r="C1095"/>
      <c r="D1095"/>
      <c r="E1095"/>
      <c r="F1095"/>
      <c r="G1095"/>
      <c r="H1095"/>
      <c r="I1095"/>
      <c r="J1095"/>
      <c r="K1095"/>
      <c r="L1095"/>
      <c r="M1095"/>
      <c r="N1095"/>
      <c r="O1095"/>
      <c r="P1095"/>
      <c r="Q1095"/>
      <c r="R1095"/>
      <c r="S1095"/>
    </row>
    <row r="1096" spans="1:19" ht="15" x14ac:dyDescent="0.2">
      <c r="A1096"/>
      <c r="B1096"/>
      <c r="C1096"/>
      <c r="D1096"/>
      <c r="E1096"/>
      <c r="F1096"/>
      <c r="G1096"/>
      <c r="H1096"/>
      <c r="I1096"/>
      <c r="J1096"/>
      <c r="K1096"/>
      <c r="L1096"/>
      <c r="M1096"/>
      <c r="N1096"/>
      <c r="O1096"/>
      <c r="P1096"/>
      <c r="Q1096"/>
      <c r="R1096"/>
      <c r="S1096"/>
    </row>
    <row r="1097" spans="1:19" ht="15" x14ac:dyDescent="0.2">
      <c r="A1097"/>
      <c r="B1097"/>
      <c r="C1097"/>
      <c r="D1097"/>
      <c r="E1097"/>
      <c r="F1097"/>
      <c r="G1097"/>
      <c r="H1097"/>
      <c r="I1097"/>
      <c r="J1097"/>
      <c r="K1097"/>
      <c r="L1097"/>
      <c r="M1097"/>
      <c r="N1097"/>
      <c r="O1097"/>
      <c r="P1097"/>
      <c r="Q1097"/>
      <c r="R1097"/>
      <c r="S1097"/>
    </row>
    <row r="1098" spans="1:19" ht="15" x14ac:dyDescent="0.2">
      <c r="A1098"/>
      <c r="B1098"/>
      <c r="C1098"/>
      <c r="D1098"/>
      <c r="E1098"/>
      <c r="F1098"/>
      <c r="G1098"/>
      <c r="H1098"/>
      <c r="I1098"/>
      <c r="J1098"/>
      <c r="K1098"/>
      <c r="L1098"/>
      <c r="M1098"/>
      <c r="N1098"/>
      <c r="O1098"/>
      <c r="P1098"/>
      <c r="Q1098"/>
      <c r="R1098"/>
      <c r="S1098"/>
    </row>
    <row r="1099" spans="1:19" ht="15" x14ac:dyDescent="0.2">
      <c r="A1099"/>
      <c r="B1099"/>
      <c r="C1099"/>
      <c r="D1099"/>
      <c r="E1099"/>
      <c r="F1099"/>
      <c r="G1099"/>
      <c r="H1099"/>
      <c r="I1099"/>
      <c r="J1099"/>
      <c r="K1099"/>
      <c r="L1099"/>
      <c r="M1099"/>
      <c r="N1099"/>
      <c r="O1099"/>
      <c r="P1099"/>
      <c r="Q1099"/>
      <c r="R1099"/>
      <c r="S1099"/>
    </row>
    <row r="1100" spans="1:19" ht="15" x14ac:dyDescent="0.2">
      <c r="A1100"/>
      <c r="B1100"/>
      <c r="C1100"/>
      <c r="D1100"/>
      <c r="E1100"/>
      <c r="F1100"/>
      <c r="G1100"/>
      <c r="H1100"/>
      <c r="I1100"/>
      <c r="J1100"/>
      <c r="K1100"/>
      <c r="L1100"/>
      <c r="M1100"/>
      <c r="N1100"/>
      <c r="O1100"/>
      <c r="P1100"/>
      <c r="Q1100"/>
      <c r="R1100"/>
      <c r="S1100"/>
    </row>
    <row r="1101" spans="1:19" ht="15" x14ac:dyDescent="0.2">
      <c r="A1101"/>
      <c r="B1101"/>
      <c r="C1101"/>
      <c r="D1101"/>
      <c r="E1101"/>
      <c r="F1101"/>
      <c r="G1101"/>
      <c r="H1101"/>
      <c r="I1101"/>
      <c r="J1101"/>
      <c r="K1101"/>
      <c r="L1101"/>
      <c r="M1101"/>
      <c r="N1101"/>
      <c r="O1101"/>
      <c r="P1101"/>
      <c r="Q1101"/>
      <c r="R1101"/>
      <c r="S1101"/>
    </row>
    <row r="1102" spans="1:19" ht="15" x14ac:dyDescent="0.2">
      <c r="A1102"/>
      <c r="B1102"/>
      <c r="C1102"/>
      <c r="D1102"/>
      <c r="E1102"/>
      <c r="F1102"/>
      <c r="G1102"/>
      <c r="H1102"/>
      <c r="I1102"/>
      <c r="J1102"/>
      <c r="K1102"/>
      <c r="L1102"/>
      <c r="M1102"/>
      <c r="N1102"/>
      <c r="O1102"/>
      <c r="P1102"/>
      <c r="Q1102"/>
      <c r="R1102"/>
      <c r="S1102"/>
    </row>
    <row r="1103" spans="1:19" ht="15" x14ac:dyDescent="0.2">
      <c r="A1103"/>
      <c r="B1103"/>
      <c r="C1103"/>
      <c r="D1103"/>
      <c r="E1103"/>
      <c r="F1103"/>
      <c r="G1103"/>
      <c r="H1103"/>
      <c r="I1103"/>
      <c r="J1103"/>
      <c r="K1103"/>
      <c r="L1103"/>
      <c r="M1103"/>
      <c r="N1103"/>
      <c r="O1103"/>
      <c r="P1103"/>
      <c r="Q1103"/>
      <c r="R1103"/>
      <c r="S1103"/>
    </row>
    <row r="1104" spans="1:19" ht="15" x14ac:dyDescent="0.2">
      <c r="A1104"/>
      <c r="B1104"/>
      <c r="C1104"/>
      <c r="D1104"/>
      <c r="E1104"/>
      <c r="F1104"/>
      <c r="G1104"/>
      <c r="H1104"/>
      <c r="I1104"/>
      <c r="J1104"/>
      <c r="K1104"/>
      <c r="L1104"/>
      <c r="M1104"/>
      <c r="N1104"/>
      <c r="O1104"/>
      <c r="P1104"/>
      <c r="Q1104"/>
      <c r="R1104"/>
      <c r="S1104"/>
    </row>
    <row r="1105" spans="1:19" ht="15" x14ac:dyDescent="0.2">
      <c r="A1105"/>
      <c r="B1105"/>
      <c r="C1105"/>
      <c r="D1105"/>
      <c r="E1105"/>
      <c r="F1105"/>
      <c r="G1105"/>
      <c r="H1105"/>
      <c r="I1105"/>
      <c r="J1105"/>
      <c r="K1105"/>
      <c r="L1105"/>
      <c r="M1105"/>
      <c r="N1105"/>
      <c r="O1105"/>
      <c r="P1105"/>
      <c r="Q1105"/>
      <c r="R1105"/>
      <c r="S1105"/>
    </row>
    <row r="1106" spans="1:19" ht="15" x14ac:dyDescent="0.2">
      <c r="A1106"/>
      <c r="B1106"/>
      <c r="C1106"/>
      <c r="D1106"/>
      <c r="E1106"/>
      <c r="F1106"/>
      <c r="G1106"/>
      <c r="H1106"/>
      <c r="I1106"/>
      <c r="J1106"/>
      <c r="K1106"/>
      <c r="L1106"/>
      <c r="M1106"/>
      <c r="N1106"/>
      <c r="O1106"/>
      <c r="P1106"/>
      <c r="Q1106"/>
      <c r="R1106"/>
      <c r="S1106"/>
    </row>
    <row r="1107" spans="1:19" ht="15" x14ac:dyDescent="0.2">
      <c r="A1107"/>
      <c r="B1107"/>
      <c r="C1107"/>
      <c r="D1107"/>
      <c r="E1107"/>
      <c r="F1107"/>
      <c r="G1107"/>
      <c r="H1107"/>
      <c r="I1107"/>
      <c r="J1107"/>
      <c r="K1107"/>
      <c r="L1107"/>
      <c r="M1107"/>
      <c r="N1107"/>
      <c r="O1107"/>
      <c r="P1107"/>
      <c r="Q1107"/>
      <c r="R1107"/>
      <c r="S1107"/>
    </row>
    <row r="1108" spans="1:19" ht="15" x14ac:dyDescent="0.2">
      <c r="A1108"/>
      <c r="B1108"/>
      <c r="C1108"/>
      <c r="D1108"/>
      <c r="E1108"/>
      <c r="F1108"/>
      <c r="G1108"/>
      <c r="H1108"/>
      <c r="I1108"/>
      <c r="J1108"/>
      <c r="K1108"/>
      <c r="L1108"/>
      <c r="M1108"/>
      <c r="N1108"/>
      <c r="O1108"/>
      <c r="P1108"/>
      <c r="Q1108"/>
      <c r="R1108"/>
      <c r="S1108"/>
    </row>
    <row r="1109" spans="1:19" ht="15" x14ac:dyDescent="0.2">
      <c r="A1109"/>
      <c r="B1109"/>
      <c r="C1109"/>
      <c r="D1109"/>
      <c r="E1109"/>
      <c r="F1109"/>
      <c r="G1109"/>
      <c r="H1109"/>
      <c r="I1109"/>
      <c r="J1109"/>
      <c r="K1109"/>
      <c r="L1109"/>
      <c r="M1109"/>
      <c r="N1109"/>
      <c r="O1109"/>
      <c r="P1109"/>
      <c r="Q1109"/>
      <c r="R1109"/>
      <c r="S1109"/>
    </row>
    <row r="1110" spans="1:19" ht="15" x14ac:dyDescent="0.2">
      <c r="A1110"/>
      <c r="B1110"/>
      <c r="C1110"/>
      <c r="D1110"/>
      <c r="E1110"/>
      <c r="F1110"/>
      <c r="G1110"/>
      <c r="H1110"/>
      <c r="I1110"/>
      <c r="J1110"/>
      <c r="K1110"/>
      <c r="L1110"/>
      <c r="M1110"/>
      <c r="N1110"/>
      <c r="O1110"/>
      <c r="P1110"/>
      <c r="Q1110"/>
      <c r="R1110"/>
      <c r="S1110"/>
    </row>
    <row r="1111" spans="1:19" ht="15" x14ac:dyDescent="0.2">
      <c r="A1111"/>
      <c r="B1111"/>
      <c r="C1111"/>
      <c r="D1111"/>
      <c r="E1111"/>
      <c r="F1111"/>
      <c r="G1111"/>
      <c r="H1111"/>
      <c r="I1111"/>
      <c r="J1111"/>
      <c r="K1111"/>
      <c r="L1111"/>
      <c r="M1111"/>
      <c r="N1111"/>
      <c r="O1111"/>
      <c r="P1111"/>
      <c r="Q1111"/>
      <c r="R1111"/>
      <c r="S1111"/>
    </row>
    <row r="1112" spans="1:19" ht="15" x14ac:dyDescent="0.2">
      <c r="A1112"/>
      <c r="B1112"/>
      <c r="C1112"/>
      <c r="D1112"/>
      <c r="E1112"/>
      <c r="F1112"/>
      <c r="G1112"/>
      <c r="H1112"/>
      <c r="I1112"/>
      <c r="J1112"/>
      <c r="K1112"/>
      <c r="L1112"/>
      <c r="M1112"/>
      <c r="N1112"/>
      <c r="O1112"/>
      <c r="P1112"/>
      <c r="Q1112"/>
      <c r="R1112"/>
      <c r="S1112"/>
    </row>
    <row r="1113" spans="1:19" ht="15" x14ac:dyDescent="0.2">
      <c r="A1113"/>
      <c r="B1113"/>
      <c r="C1113"/>
      <c r="D1113"/>
      <c r="E1113"/>
      <c r="F1113"/>
      <c r="G1113"/>
      <c r="H1113"/>
      <c r="I1113"/>
      <c r="J1113"/>
      <c r="K1113"/>
      <c r="L1113"/>
      <c r="M1113"/>
      <c r="N1113"/>
      <c r="O1113"/>
      <c r="P1113"/>
      <c r="Q1113"/>
      <c r="R1113"/>
      <c r="S1113"/>
    </row>
    <row r="1114" spans="1:19" ht="15" x14ac:dyDescent="0.2">
      <c r="A1114"/>
      <c r="B1114"/>
      <c r="C1114"/>
      <c r="D1114"/>
      <c r="E1114"/>
      <c r="F1114"/>
      <c r="G1114"/>
      <c r="H1114"/>
      <c r="I1114"/>
      <c r="J1114"/>
      <c r="K1114"/>
      <c r="L1114"/>
      <c r="M1114"/>
      <c r="N1114"/>
      <c r="O1114"/>
      <c r="P1114"/>
      <c r="Q1114"/>
      <c r="R1114"/>
      <c r="S1114"/>
    </row>
    <row r="1115" spans="1:19" ht="15" x14ac:dyDescent="0.2">
      <c r="A1115"/>
      <c r="B1115"/>
      <c r="C1115"/>
      <c r="D1115"/>
      <c r="E1115"/>
      <c r="F1115"/>
      <c r="G1115"/>
      <c r="H1115"/>
      <c r="I1115"/>
      <c r="J1115"/>
      <c r="K1115"/>
      <c r="L1115"/>
      <c r="M1115"/>
      <c r="N1115"/>
      <c r="O1115"/>
      <c r="P1115"/>
      <c r="Q1115"/>
      <c r="R1115"/>
      <c r="S1115"/>
    </row>
    <row r="1116" spans="1:19" ht="15" x14ac:dyDescent="0.2">
      <c r="A1116"/>
      <c r="B1116"/>
      <c r="C1116"/>
      <c r="D1116"/>
      <c r="E1116"/>
      <c r="F1116"/>
      <c r="G1116"/>
      <c r="H1116"/>
      <c r="I1116"/>
      <c r="J1116"/>
      <c r="K1116"/>
      <c r="L1116"/>
      <c r="M1116"/>
      <c r="N1116"/>
      <c r="O1116"/>
      <c r="P1116"/>
      <c r="Q1116"/>
      <c r="R1116"/>
      <c r="S1116"/>
    </row>
    <row r="1117" spans="1:19" ht="15" x14ac:dyDescent="0.2">
      <c r="A1117"/>
      <c r="B1117"/>
      <c r="C1117"/>
      <c r="D1117"/>
      <c r="E1117"/>
      <c r="F1117"/>
      <c r="G1117"/>
      <c r="H1117"/>
      <c r="I1117"/>
      <c r="J1117"/>
      <c r="K1117"/>
      <c r="L1117"/>
      <c r="M1117"/>
      <c r="N1117"/>
      <c r="O1117"/>
      <c r="P1117"/>
      <c r="Q1117"/>
      <c r="R1117"/>
      <c r="S1117"/>
    </row>
    <row r="1118" spans="1:19" ht="15" x14ac:dyDescent="0.2">
      <c r="A1118"/>
      <c r="B1118"/>
      <c r="C1118"/>
      <c r="D1118"/>
      <c r="E1118"/>
      <c r="F1118"/>
      <c r="G1118"/>
      <c r="H1118"/>
      <c r="I1118"/>
      <c r="J1118"/>
      <c r="K1118"/>
      <c r="L1118"/>
      <c r="M1118"/>
      <c r="N1118"/>
      <c r="O1118"/>
      <c r="P1118"/>
      <c r="Q1118"/>
      <c r="R1118"/>
      <c r="S1118"/>
    </row>
    <row r="1119" spans="1:19" ht="15" x14ac:dyDescent="0.2">
      <c r="A1119"/>
      <c r="B1119"/>
      <c r="C1119"/>
      <c r="D1119"/>
      <c r="E1119"/>
      <c r="F1119"/>
      <c r="G1119"/>
      <c r="H1119"/>
      <c r="I1119"/>
      <c r="J1119"/>
      <c r="K1119"/>
      <c r="L1119"/>
      <c r="M1119"/>
      <c r="N1119"/>
      <c r="O1119"/>
      <c r="P1119"/>
      <c r="Q1119"/>
      <c r="R1119"/>
      <c r="S1119"/>
    </row>
    <row r="1120" spans="1:19" ht="15" x14ac:dyDescent="0.2">
      <c r="A1120"/>
      <c r="B1120"/>
      <c r="C1120"/>
      <c r="D1120"/>
      <c r="E1120"/>
      <c r="F1120"/>
      <c r="G1120"/>
      <c r="H1120"/>
      <c r="I1120"/>
      <c r="J1120"/>
      <c r="K1120"/>
      <c r="L1120"/>
      <c r="M1120"/>
      <c r="N1120"/>
      <c r="O1120"/>
      <c r="P1120"/>
      <c r="Q1120"/>
      <c r="R1120"/>
      <c r="S1120"/>
    </row>
    <row r="1121" spans="1:19" ht="15" x14ac:dyDescent="0.2">
      <c r="A1121"/>
      <c r="B1121"/>
      <c r="C1121"/>
      <c r="D1121"/>
      <c r="E1121"/>
      <c r="F1121"/>
      <c r="G1121"/>
      <c r="H1121"/>
      <c r="I1121"/>
      <c r="J1121"/>
      <c r="K1121"/>
      <c r="L1121"/>
      <c r="M1121"/>
      <c r="N1121"/>
      <c r="O1121"/>
      <c r="P1121"/>
      <c r="Q1121"/>
      <c r="R1121"/>
      <c r="S1121"/>
    </row>
    <row r="1122" spans="1:19" ht="15" x14ac:dyDescent="0.2">
      <c r="A1122"/>
      <c r="B1122"/>
      <c r="C1122"/>
      <c r="D1122"/>
      <c r="E1122"/>
      <c r="F1122"/>
      <c r="G1122"/>
      <c r="H1122"/>
      <c r="I1122"/>
      <c r="J1122"/>
      <c r="K1122"/>
      <c r="L1122"/>
      <c r="M1122"/>
      <c r="N1122"/>
      <c r="O1122"/>
      <c r="P1122"/>
      <c r="Q1122"/>
      <c r="R1122"/>
      <c r="S1122"/>
    </row>
    <row r="1123" spans="1:19" ht="15" x14ac:dyDescent="0.2">
      <c r="A1123"/>
      <c r="B1123"/>
      <c r="C1123"/>
      <c r="D1123"/>
      <c r="E1123"/>
      <c r="F1123"/>
      <c r="G1123"/>
      <c r="H1123"/>
      <c r="I1123"/>
      <c r="J1123"/>
      <c r="K1123"/>
      <c r="L1123"/>
      <c r="M1123"/>
      <c r="N1123"/>
      <c r="O1123"/>
      <c r="P1123"/>
      <c r="Q1123"/>
      <c r="R1123"/>
      <c r="S1123"/>
    </row>
    <row r="1124" spans="1:19" ht="15" x14ac:dyDescent="0.2">
      <c r="A1124"/>
      <c r="B1124"/>
      <c r="C1124"/>
      <c r="D1124"/>
      <c r="E1124"/>
      <c r="F1124"/>
      <c r="G1124"/>
      <c r="H1124"/>
      <c r="I1124"/>
      <c r="J1124"/>
      <c r="K1124"/>
      <c r="L1124"/>
      <c r="M1124"/>
      <c r="N1124"/>
      <c r="O1124"/>
      <c r="P1124"/>
      <c r="Q1124"/>
      <c r="R1124"/>
      <c r="S1124"/>
    </row>
    <row r="1125" spans="1:19" ht="15" x14ac:dyDescent="0.2">
      <c r="A1125"/>
      <c r="B1125"/>
      <c r="C1125"/>
      <c r="D1125"/>
      <c r="E1125"/>
      <c r="F1125"/>
      <c r="G1125"/>
      <c r="H1125"/>
      <c r="I1125"/>
      <c r="J1125"/>
      <c r="K1125"/>
      <c r="L1125"/>
      <c r="M1125"/>
      <c r="N1125"/>
      <c r="O1125"/>
      <c r="P1125"/>
      <c r="Q1125"/>
      <c r="R1125"/>
      <c r="S1125"/>
    </row>
    <row r="1126" spans="1:19" ht="15" x14ac:dyDescent="0.2">
      <c r="A1126"/>
      <c r="B1126"/>
      <c r="C1126"/>
      <c r="D1126"/>
      <c r="E1126"/>
      <c r="F1126"/>
      <c r="G1126"/>
      <c r="H1126"/>
      <c r="I1126"/>
      <c r="J1126"/>
      <c r="K1126"/>
      <c r="L1126"/>
      <c r="M1126"/>
      <c r="N1126"/>
      <c r="O1126"/>
      <c r="P1126"/>
      <c r="Q1126"/>
      <c r="R1126"/>
      <c r="S1126"/>
    </row>
    <row r="1127" spans="1:19" ht="15" x14ac:dyDescent="0.2">
      <c r="A1127"/>
      <c r="B1127"/>
      <c r="C1127"/>
      <c r="D1127"/>
      <c r="E1127"/>
      <c r="F1127"/>
      <c r="G1127"/>
      <c r="H1127"/>
      <c r="I1127"/>
      <c r="J1127"/>
      <c r="K1127"/>
      <c r="L1127"/>
      <c r="M1127"/>
      <c r="N1127"/>
      <c r="O1127"/>
      <c r="P1127"/>
      <c r="Q1127"/>
      <c r="R1127"/>
      <c r="S1127"/>
    </row>
    <row r="1128" spans="1:19" ht="15" x14ac:dyDescent="0.2">
      <c r="A1128"/>
      <c r="B1128"/>
      <c r="C1128"/>
      <c r="D1128"/>
      <c r="E1128"/>
      <c r="F1128"/>
      <c r="G1128"/>
      <c r="H1128"/>
      <c r="I1128"/>
      <c r="J1128"/>
      <c r="K1128"/>
      <c r="L1128"/>
      <c r="M1128"/>
      <c r="N1128"/>
      <c r="O1128"/>
      <c r="P1128"/>
      <c r="Q1128"/>
      <c r="R1128"/>
      <c r="S1128"/>
    </row>
    <row r="1129" spans="1:19" ht="15" x14ac:dyDescent="0.2">
      <c r="A1129"/>
      <c r="B1129"/>
      <c r="C1129"/>
      <c r="D1129"/>
      <c r="E1129"/>
      <c r="F1129"/>
      <c r="G1129"/>
      <c r="H1129"/>
      <c r="I1129"/>
      <c r="J1129"/>
      <c r="K1129"/>
      <c r="L1129"/>
      <c r="M1129"/>
      <c r="N1129"/>
      <c r="O1129"/>
      <c r="P1129"/>
      <c r="Q1129"/>
      <c r="R1129"/>
      <c r="S1129"/>
    </row>
    <row r="1130" spans="1:19" ht="15" x14ac:dyDescent="0.2">
      <c r="A1130"/>
      <c r="B1130"/>
      <c r="C1130"/>
      <c r="D1130"/>
      <c r="E1130"/>
      <c r="F1130"/>
      <c r="G1130"/>
      <c r="H1130"/>
      <c r="I1130"/>
      <c r="J1130"/>
      <c r="K1130"/>
      <c r="L1130"/>
      <c r="M1130"/>
      <c r="N1130"/>
      <c r="O1130"/>
      <c r="P1130"/>
      <c r="Q1130"/>
      <c r="R1130"/>
      <c r="S1130"/>
    </row>
    <row r="1131" spans="1:19" ht="15" x14ac:dyDescent="0.2">
      <c r="A1131"/>
      <c r="B1131"/>
      <c r="C1131"/>
      <c r="D1131"/>
      <c r="E1131"/>
      <c r="F1131"/>
      <c r="G1131"/>
      <c r="H1131"/>
      <c r="I1131"/>
      <c r="J1131"/>
      <c r="K1131"/>
      <c r="L1131"/>
      <c r="M1131"/>
      <c r="N1131"/>
      <c r="O1131"/>
      <c r="P1131"/>
      <c r="Q1131"/>
      <c r="R1131"/>
      <c r="S1131"/>
    </row>
    <row r="1132" spans="1:19" ht="15" x14ac:dyDescent="0.2">
      <c r="A1132"/>
      <c r="B1132"/>
      <c r="C1132"/>
      <c r="D1132"/>
      <c r="E1132"/>
      <c r="F1132"/>
      <c r="G1132"/>
      <c r="H1132"/>
      <c r="I1132"/>
      <c r="J1132"/>
      <c r="K1132"/>
      <c r="L1132"/>
      <c r="M1132"/>
      <c r="N1132"/>
      <c r="O1132"/>
      <c r="P1132"/>
      <c r="Q1132"/>
      <c r="R1132"/>
      <c r="S1132"/>
    </row>
    <row r="1133" spans="1:19" ht="15" x14ac:dyDescent="0.2">
      <c r="A1133"/>
      <c r="B1133"/>
      <c r="C1133"/>
      <c r="D1133"/>
      <c r="E1133"/>
      <c r="F1133"/>
      <c r="G1133"/>
      <c r="H1133"/>
      <c r="I1133"/>
      <c r="J1133"/>
      <c r="K1133"/>
      <c r="L1133"/>
      <c r="M1133"/>
      <c r="N1133"/>
      <c r="O1133"/>
      <c r="P1133"/>
      <c r="Q1133"/>
      <c r="R1133"/>
      <c r="S1133"/>
    </row>
    <row r="1134" spans="1:19" ht="15" x14ac:dyDescent="0.2">
      <c r="A1134"/>
      <c r="B1134"/>
      <c r="C1134"/>
      <c r="D1134"/>
      <c r="E1134"/>
      <c r="F1134"/>
      <c r="G1134"/>
      <c r="H1134"/>
      <c r="I1134"/>
      <c r="J1134"/>
      <c r="K1134"/>
      <c r="L1134"/>
      <c r="M1134"/>
      <c r="N1134"/>
      <c r="O1134"/>
      <c r="P1134"/>
      <c r="Q1134"/>
      <c r="R1134"/>
      <c r="S1134"/>
    </row>
    <row r="1135" spans="1:19" ht="15" x14ac:dyDescent="0.2">
      <c r="A1135"/>
      <c r="B1135"/>
      <c r="C1135"/>
      <c r="D1135"/>
      <c r="E1135"/>
      <c r="F1135"/>
      <c r="G1135"/>
      <c r="H1135"/>
      <c r="I1135"/>
      <c r="J1135"/>
      <c r="K1135"/>
      <c r="L1135"/>
      <c r="M1135"/>
      <c r="N1135"/>
      <c r="O1135"/>
      <c r="P1135"/>
      <c r="Q1135"/>
      <c r="R1135"/>
      <c r="S1135"/>
    </row>
    <row r="1136" spans="1:19" ht="15" x14ac:dyDescent="0.2">
      <c r="A1136"/>
      <c r="B1136"/>
      <c r="C1136"/>
      <c r="D1136"/>
      <c r="E1136"/>
      <c r="F1136"/>
      <c r="G1136"/>
      <c r="H1136"/>
      <c r="I1136"/>
      <c r="J1136"/>
      <c r="K1136"/>
      <c r="L1136"/>
      <c r="M1136"/>
      <c r="N1136"/>
      <c r="O1136"/>
      <c r="P1136"/>
      <c r="Q1136"/>
      <c r="R1136"/>
      <c r="S1136"/>
    </row>
    <row r="1137" spans="1:19" ht="15" x14ac:dyDescent="0.2">
      <c r="A1137"/>
      <c r="B1137"/>
      <c r="C1137"/>
      <c r="D1137"/>
      <c r="E1137"/>
      <c r="F1137"/>
      <c r="G1137"/>
      <c r="H1137"/>
      <c r="I1137"/>
      <c r="J1137"/>
      <c r="K1137"/>
      <c r="L1137"/>
      <c r="M1137"/>
      <c r="N1137"/>
      <c r="O1137"/>
      <c r="P1137"/>
      <c r="Q1137"/>
      <c r="R1137"/>
      <c r="S1137"/>
    </row>
    <row r="1138" spans="1:19" ht="15" x14ac:dyDescent="0.2">
      <c r="A1138"/>
      <c r="B1138"/>
      <c r="C1138"/>
      <c r="D1138"/>
      <c r="E1138"/>
      <c r="F1138"/>
      <c r="G1138"/>
      <c r="H1138"/>
      <c r="I1138"/>
      <c r="J1138"/>
      <c r="K1138"/>
      <c r="L1138"/>
      <c r="M1138"/>
      <c r="N1138"/>
      <c r="O1138"/>
      <c r="P1138"/>
      <c r="Q1138"/>
      <c r="R1138"/>
      <c r="S1138"/>
    </row>
    <row r="1139" spans="1:19" ht="15" x14ac:dyDescent="0.2">
      <c r="A1139"/>
      <c r="B1139"/>
      <c r="C1139"/>
      <c r="D1139"/>
      <c r="E1139"/>
      <c r="F1139"/>
      <c r="G1139"/>
      <c r="H1139"/>
      <c r="I1139"/>
      <c r="J1139"/>
      <c r="K1139"/>
      <c r="L1139"/>
      <c r="M1139"/>
      <c r="N1139"/>
      <c r="O1139"/>
      <c r="P1139"/>
      <c r="Q1139"/>
      <c r="R1139"/>
      <c r="S1139"/>
    </row>
    <row r="1140" spans="1:19" ht="15" x14ac:dyDescent="0.2">
      <c r="A1140"/>
      <c r="B1140"/>
      <c r="C1140"/>
      <c r="D1140"/>
      <c r="E1140"/>
      <c r="F1140"/>
      <c r="G1140"/>
      <c r="H1140"/>
      <c r="I1140"/>
      <c r="J1140"/>
      <c r="K1140"/>
      <c r="L1140"/>
      <c r="M1140"/>
      <c r="N1140"/>
      <c r="O1140"/>
      <c r="P1140"/>
      <c r="Q1140"/>
      <c r="R1140"/>
      <c r="S1140"/>
    </row>
    <row r="1141" spans="1:19" ht="15" x14ac:dyDescent="0.2">
      <c r="A1141"/>
      <c r="B1141"/>
      <c r="C1141"/>
      <c r="D1141"/>
      <c r="E1141"/>
      <c r="F1141"/>
      <c r="G1141"/>
      <c r="H1141"/>
      <c r="I1141"/>
      <c r="J1141"/>
      <c r="K1141"/>
      <c r="L1141"/>
      <c r="M1141"/>
      <c r="N1141"/>
      <c r="O1141"/>
      <c r="P1141"/>
      <c r="Q1141"/>
      <c r="R1141"/>
      <c r="S1141"/>
    </row>
    <row r="1142" spans="1:19" ht="15" x14ac:dyDescent="0.2">
      <c r="A1142"/>
      <c r="B1142"/>
      <c r="C1142"/>
      <c r="D1142"/>
      <c r="E1142"/>
      <c r="F1142"/>
      <c r="G1142"/>
      <c r="H1142"/>
      <c r="I1142"/>
      <c r="J1142"/>
      <c r="K1142"/>
      <c r="L1142"/>
      <c r="M1142"/>
      <c r="N1142"/>
      <c r="O1142"/>
      <c r="P1142"/>
      <c r="Q1142"/>
      <c r="R1142"/>
      <c r="S1142"/>
    </row>
    <row r="1143" spans="1:19" ht="15" x14ac:dyDescent="0.2">
      <c r="A1143"/>
      <c r="B1143"/>
      <c r="C1143"/>
      <c r="D1143"/>
      <c r="E1143"/>
      <c r="F1143"/>
      <c r="G1143"/>
      <c r="H1143"/>
      <c r="I1143"/>
      <c r="J1143"/>
      <c r="K1143"/>
      <c r="L1143"/>
      <c r="M1143"/>
      <c r="N1143"/>
      <c r="O1143"/>
      <c r="P1143"/>
      <c r="Q1143"/>
      <c r="R1143"/>
      <c r="S1143"/>
    </row>
    <row r="1144" spans="1:19" ht="15" x14ac:dyDescent="0.2">
      <c r="A1144"/>
      <c r="B1144"/>
      <c r="C1144"/>
      <c r="D1144"/>
      <c r="E1144"/>
      <c r="F1144"/>
      <c r="G1144"/>
      <c r="H1144"/>
      <c r="I1144"/>
      <c r="J1144"/>
      <c r="K1144"/>
      <c r="L1144"/>
      <c r="M1144"/>
      <c r="N1144"/>
      <c r="O1144"/>
      <c r="P1144"/>
      <c r="Q1144"/>
      <c r="R1144"/>
      <c r="S1144"/>
    </row>
    <row r="1145" spans="1:19" ht="15" x14ac:dyDescent="0.2">
      <c r="A1145"/>
      <c r="B1145"/>
      <c r="C1145"/>
      <c r="D1145"/>
      <c r="E1145"/>
      <c r="F1145"/>
      <c r="G1145"/>
      <c r="H1145"/>
      <c r="I1145"/>
      <c r="J1145"/>
      <c r="K1145"/>
      <c r="L1145"/>
      <c r="M1145"/>
      <c r="N1145"/>
      <c r="O1145"/>
      <c r="P1145"/>
      <c r="Q1145"/>
      <c r="R1145"/>
      <c r="S1145"/>
    </row>
    <row r="1146" spans="1:19" ht="15" x14ac:dyDescent="0.2">
      <c r="A1146"/>
      <c r="B1146"/>
      <c r="C1146"/>
      <c r="D1146"/>
      <c r="E1146"/>
      <c r="F1146"/>
      <c r="G1146"/>
      <c r="H1146"/>
      <c r="I1146"/>
      <c r="J1146"/>
      <c r="K1146"/>
      <c r="L1146"/>
      <c r="M1146"/>
      <c r="N1146"/>
      <c r="O1146"/>
      <c r="P1146"/>
      <c r="Q1146"/>
      <c r="R1146"/>
      <c r="S1146"/>
    </row>
    <row r="1147" spans="1:19" ht="15" x14ac:dyDescent="0.2">
      <c r="A1147"/>
      <c r="B1147"/>
      <c r="C1147"/>
      <c r="D1147"/>
      <c r="E1147"/>
      <c r="F1147"/>
      <c r="G1147"/>
      <c r="H1147"/>
      <c r="I1147"/>
      <c r="J1147"/>
      <c r="K1147"/>
      <c r="L1147"/>
      <c r="M1147"/>
      <c r="N1147"/>
      <c r="O1147"/>
      <c r="P1147"/>
      <c r="Q1147"/>
      <c r="R1147"/>
      <c r="S1147"/>
    </row>
    <row r="1148" spans="1:19" ht="15" x14ac:dyDescent="0.2">
      <c r="A1148"/>
      <c r="B1148"/>
      <c r="C1148"/>
      <c r="D1148"/>
      <c r="E1148"/>
      <c r="F1148"/>
      <c r="G1148"/>
      <c r="H1148"/>
      <c r="I1148"/>
      <c r="J1148"/>
      <c r="K1148"/>
      <c r="L1148"/>
      <c r="M1148"/>
      <c r="N1148"/>
      <c r="O1148"/>
      <c r="P1148"/>
      <c r="Q1148"/>
      <c r="R1148"/>
      <c r="S1148"/>
    </row>
    <row r="1149" spans="1:19" ht="15" x14ac:dyDescent="0.2">
      <c r="A1149"/>
      <c r="B1149"/>
      <c r="C1149"/>
      <c r="D1149"/>
      <c r="E1149"/>
      <c r="F1149"/>
      <c r="G1149"/>
      <c r="H1149"/>
      <c r="I1149"/>
      <c r="J1149"/>
      <c r="K1149"/>
      <c r="L1149"/>
      <c r="M1149"/>
      <c r="N1149"/>
      <c r="O1149"/>
      <c r="P1149"/>
      <c r="Q1149"/>
      <c r="R1149"/>
      <c r="S1149"/>
    </row>
    <row r="1150" spans="1:19" ht="15" x14ac:dyDescent="0.2">
      <c r="A1150"/>
      <c r="B1150"/>
      <c r="C1150"/>
      <c r="D1150"/>
      <c r="E1150"/>
      <c r="F1150"/>
      <c r="G1150"/>
      <c r="H1150"/>
      <c r="I1150"/>
      <c r="J1150"/>
      <c r="K1150"/>
      <c r="L1150"/>
      <c r="M1150"/>
      <c r="N1150"/>
      <c r="O1150"/>
      <c r="P1150"/>
      <c r="Q1150"/>
      <c r="R1150"/>
      <c r="S1150"/>
    </row>
    <row r="1151" spans="1:19" ht="15" x14ac:dyDescent="0.2">
      <c r="A1151"/>
      <c r="B1151"/>
      <c r="C1151"/>
      <c r="D1151"/>
      <c r="E1151"/>
      <c r="F1151"/>
      <c r="G1151"/>
      <c r="H1151"/>
      <c r="I1151"/>
      <c r="J1151"/>
      <c r="K1151"/>
      <c r="L1151"/>
      <c r="M1151"/>
      <c r="N1151"/>
      <c r="O1151"/>
      <c r="P1151"/>
      <c r="Q1151"/>
      <c r="R1151"/>
      <c r="S1151"/>
    </row>
    <row r="1152" spans="1:19" ht="15" x14ac:dyDescent="0.2">
      <c r="A1152"/>
      <c r="B1152"/>
      <c r="C1152"/>
      <c r="D1152"/>
      <c r="E1152"/>
      <c r="F1152"/>
      <c r="G1152"/>
      <c r="H1152"/>
      <c r="I1152"/>
      <c r="J1152"/>
      <c r="K1152"/>
      <c r="L1152"/>
      <c r="M1152"/>
      <c r="N1152"/>
      <c r="O1152"/>
      <c r="P1152"/>
      <c r="Q1152"/>
      <c r="R1152"/>
      <c r="S1152"/>
    </row>
    <row r="1153" spans="1:19" ht="15" x14ac:dyDescent="0.2">
      <c r="A1153"/>
      <c r="B1153"/>
      <c r="C1153"/>
      <c r="D1153"/>
      <c r="E1153"/>
      <c r="F1153"/>
      <c r="G1153"/>
      <c r="H1153"/>
      <c r="I1153"/>
      <c r="J1153"/>
      <c r="K1153"/>
      <c r="L1153"/>
      <c r="M1153"/>
      <c r="N1153"/>
      <c r="O1153"/>
      <c r="P1153"/>
      <c r="Q1153"/>
      <c r="R1153"/>
      <c r="S1153"/>
    </row>
    <row r="1154" spans="1:19" ht="15" x14ac:dyDescent="0.2">
      <c r="A1154"/>
      <c r="B1154"/>
      <c r="C1154"/>
      <c r="D1154"/>
      <c r="E1154"/>
      <c r="F1154"/>
      <c r="G1154"/>
      <c r="H1154"/>
      <c r="I1154"/>
      <c r="J1154"/>
      <c r="K1154"/>
      <c r="L1154"/>
      <c r="M1154"/>
      <c r="N1154"/>
      <c r="O1154"/>
      <c r="P1154"/>
      <c r="Q1154"/>
      <c r="R1154"/>
      <c r="S1154"/>
    </row>
    <row r="1155" spans="1:19" ht="15" x14ac:dyDescent="0.2">
      <c r="A1155"/>
      <c r="B1155"/>
      <c r="C1155"/>
      <c r="D1155"/>
      <c r="E1155"/>
      <c r="F1155"/>
      <c r="G1155"/>
      <c r="H1155"/>
      <c r="I1155"/>
      <c r="J1155"/>
      <c r="K1155"/>
      <c r="L1155"/>
      <c r="M1155"/>
      <c r="N1155"/>
      <c r="O1155"/>
      <c r="P1155"/>
      <c r="Q1155"/>
      <c r="R1155"/>
      <c r="S1155"/>
    </row>
    <row r="1156" spans="1:19" ht="15" x14ac:dyDescent="0.2">
      <c r="A1156"/>
      <c r="B1156"/>
      <c r="C1156"/>
      <c r="D1156"/>
      <c r="E1156"/>
      <c r="F1156"/>
      <c r="G1156"/>
      <c r="H1156"/>
      <c r="I1156"/>
      <c r="J1156"/>
      <c r="K1156"/>
      <c r="L1156"/>
      <c r="M1156"/>
      <c r="N1156"/>
      <c r="O1156"/>
      <c r="P1156"/>
      <c r="Q1156"/>
      <c r="R1156"/>
      <c r="S1156"/>
    </row>
    <row r="1157" spans="1:19" ht="15" x14ac:dyDescent="0.2">
      <c r="A1157"/>
      <c r="B1157"/>
      <c r="C1157"/>
      <c r="D1157"/>
      <c r="E1157"/>
      <c r="F1157"/>
      <c r="G1157"/>
      <c r="H1157"/>
      <c r="I1157"/>
      <c r="J1157"/>
      <c r="K1157"/>
      <c r="L1157"/>
      <c r="M1157"/>
      <c r="N1157"/>
      <c r="O1157"/>
      <c r="P1157"/>
      <c r="Q1157"/>
      <c r="R1157"/>
      <c r="S1157"/>
    </row>
    <row r="1158" spans="1:19" ht="15" x14ac:dyDescent="0.2">
      <c r="A1158"/>
      <c r="B1158"/>
      <c r="C1158"/>
      <c r="D1158"/>
      <c r="E1158"/>
      <c r="F1158"/>
      <c r="G1158"/>
      <c r="H1158"/>
      <c r="I1158"/>
      <c r="J1158"/>
      <c r="K1158"/>
      <c r="L1158"/>
      <c r="M1158"/>
      <c r="N1158"/>
      <c r="O1158"/>
      <c r="P1158"/>
      <c r="Q1158"/>
      <c r="R1158"/>
      <c r="S1158"/>
    </row>
    <row r="1159" spans="1:19" ht="15" x14ac:dyDescent="0.2">
      <c r="A1159"/>
      <c r="B1159"/>
      <c r="C1159"/>
      <c r="D1159"/>
      <c r="E1159"/>
      <c r="F1159"/>
      <c r="G1159"/>
      <c r="H1159"/>
      <c r="I1159"/>
      <c r="J1159"/>
      <c r="K1159"/>
      <c r="L1159"/>
      <c r="M1159"/>
      <c r="N1159"/>
      <c r="O1159"/>
      <c r="P1159"/>
      <c r="Q1159"/>
      <c r="R1159"/>
      <c r="S1159"/>
    </row>
    <row r="1160" spans="1:19" ht="15" x14ac:dyDescent="0.2">
      <c r="A1160"/>
      <c r="B1160"/>
      <c r="C1160"/>
      <c r="D1160"/>
      <c r="E1160"/>
      <c r="F1160"/>
      <c r="G1160"/>
      <c r="H1160"/>
      <c r="I1160"/>
      <c r="J1160"/>
      <c r="K1160"/>
      <c r="L1160"/>
      <c r="M1160"/>
      <c r="N1160"/>
      <c r="O1160"/>
      <c r="P1160"/>
      <c r="Q1160"/>
      <c r="R1160"/>
      <c r="S1160"/>
    </row>
    <row r="1161" spans="1:19" ht="15" x14ac:dyDescent="0.2">
      <c r="A1161"/>
      <c r="B1161"/>
      <c r="C1161"/>
      <c r="D1161"/>
      <c r="E1161"/>
      <c r="F1161"/>
      <c r="G1161"/>
      <c r="H1161"/>
      <c r="I1161"/>
      <c r="J1161"/>
      <c r="K1161"/>
      <c r="L1161"/>
      <c r="M1161"/>
      <c r="N1161"/>
      <c r="O1161"/>
      <c r="P1161"/>
      <c r="Q1161"/>
      <c r="R1161"/>
      <c r="S1161"/>
    </row>
    <row r="1162" spans="1:19" ht="15" x14ac:dyDescent="0.2">
      <c r="A1162"/>
      <c r="B1162"/>
      <c r="C1162"/>
      <c r="D1162"/>
      <c r="E1162"/>
      <c r="F1162"/>
      <c r="G1162"/>
      <c r="H1162"/>
      <c r="I1162"/>
      <c r="J1162"/>
      <c r="K1162"/>
      <c r="L1162"/>
      <c r="M1162"/>
      <c r="N1162"/>
      <c r="O1162"/>
      <c r="P1162"/>
      <c r="Q1162"/>
      <c r="R1162"/>
      <c r="S1162"/>
    </row>
    <row r="1163" spans="1:19" ht="15" x14ac:dyDescent="0.2">
      <c r="A1163"/>
      <c r="B1163"/>
      <c r="C1163"/>
      <c r="D1163"/>
      <c r="E1163"/>
      <c r="F1163"/>
      <c r="G1163"/>
      <c r="H1163"/>
      <c r="I1163"/>
      <c r="J1163"/>
      <c r="K1163"/>
      <c r="L1163"/>
      <c r="M1163"/>
      <c r="N1163"/>
      <c r="O1163"/>
      <c r="P1163"/>
      <c r="Q1163"/>
      <c r="R1163"/>
      <c r="S1163"/>
    </row>
    <row r="1164" spans="1:19" ht="15" x14ac:dyDescent="0.2">
      <c r="A1164"/>
      <c r="B1164"/>
      <c r="C1164"/>
      <c r="D1164"/>
      <c r="E1164"/>
      <c r="F1164"/>
      <c r="G1164"/>
      <c r="H1164"/>
      <c r="I1164"/>
      <c r="J1164"/>
      <c r="K1164"/>
      <c r="L1164"/>
      <c r="M1164"/>
      <c r="N1164"/>
      <c r="O1164"/>
      <c r="P1164"/>
      <c r="Q1164"/>
      <c r="R1164"/>
      <c r="S1164"/>
    </row>
    <row r="1165" spans="1:19" ht="15" x14ac:dyDescent="0.2">
      <c r="A1165"/>
      <c r="B1165"/>
      <c r="C1165"/>
      <c r="D1165"/>
      <c r="E1165"/>
      <c r="F1165"/>
      <c r="G1165"/>
      <c r="H1165"/>
      <c r="I1165"/>
      <c r="J1165"/>
      <c r="K1165"/>
      <c r="L1165"/>
      <c r="M1165"/>
      <c r="N1165"/>
      <c r="O1165"/>
      <c r="P1165"/>
      <c r="Q1165"/>
      <c r="R1165"/>
      <c r="S1165"/>
    </row>
    <row r="1166" spans="1:19" ht="15" x14ac:dyDescent="0.2">
      <c r="A1166"/>
      <c r="B1166"/>
      <c r="C1166"/>
      <c r="D1166"/>
      <c r="E1166"/>
      <c r="F1166"/>
      <c r="G1166"/>
      <c r="H1166"/>
      <c r="I1166"/>
      <c r="J1166"/>
      <c r="K1166"/>
      <c r="L1166"/>
      <c r="M1166"/>
      <c r="N1166"/>
      <c r="O1166"/>
      <c r="P1166"/>
      <c r="Q1166"/>
      <c r="R1166"/>
      <c r="S1166"/>
    </row>
    <row r="1167" spans="1:19" ht="15" x14ac:dyDescent="0.2">
      <c r="A1167"/>
      <c r="B1167"/>
      <c r="C1167"/>
      <c r="D1167"/>
      <c r="E1167"/>
      <c r="F1167"/>
      <c r="G1167"/>
      <c r="H1167"/>
      <c r="I1167"/>
      <c r="J1167"/>
      <c r="K1167"/>
      <c r="L1167"/>
      <c r="M1167"/>
      <c r="N1167"/>
      <c r="O1167"/>
      <c r="P1167"/>
      <c r="Q1167"/>
      <c r="R1167"/>
      <c r="S1167"/>
    </row>
    <row r="1168" spans="1:19" ht="15" x14ac:dyDescent="0.2">
      <c r="A1168"/>
      <c r="B1168"/>
      <c r="C1168"/>
      <c r="D1168"/>
      <c r="E1168"/>
      <c r="F1168"/>
      <c r="G1168"/>
      <c r="H1168"/>
      <c r="I1168"/>
      <c r="J1168"/>
      <c r="K1168"/>
      <c r="L1168"/>
      <c r="M1168"/>
      <c r="N1168"/>
      <c r="O1168"/>
      <c r="P1168"/>
      <c r="Q1168"/>
      <c r="R1168"/>
      <c r="S1168"/>
    </row>
    <row r="1169" spans="1:19" ht="15" x14ac:dyDescent="0.2">
      <c r="A1169"/>
      <c r="B1169"/>
      <c r="C1169"/>
      <c r="D1169"/>
      <c r="E1169"/>
      <c r="F1169"/>
      <c r="G1169"/>
      <c r="H1169"/>
      <c r="I1169"/>
      <c r="J1169"/>
      <c r="K1169"/>
      <c r="L1169"/>
      <c r="M1169"/>
      <c r="N1169"/>
      <c r="O1169"/>
      <c r="P1169"/>
      <c r="Q1169"/>
      <c r="R1169"/>
      <c r="S1169"/>
    </row>
    <row r="1170" spans="1:19" ht="15" x14ac:dyDescent="0.2">
      <c r="A1170"/>
      <c r="B1170"/>
      <c r="C1170"/>
      <c r="D1170"/>
      <c r="E1170"/>
      <c r="F1170"/>
      <c r="G1170"/>
      <c r="H1170"/>
      <c r="I1170"/>
      <c r="J1170"/>
      <c r="K1170"/>
      <c r="L1170"/>
      <c r="M1170"/>
      <c r="N1170"/>
      <c r="O1170"/>
      <c r="P1170"/>
      <c r="Q1170"/>
      <c r="R1170"/>
      <c r="S1170"/>
    </row>
    <row r="1171" spans="1:19" ht="15" x14ac:dyDescent="0.2">
      <c r="A1171"/>
      <c r="B1171"/>
      <c r="C1171"/>
      <c r="D1171"/>
      <c r="E1171"/>
      <c r="F1171"/>
      <c r="G1171"/>
      <c r="H1171"/>
      <c r="I1171"/>
      <c r="J1171"/>
      <c r="K1171"/>
      <c r="L1171"/>
      <c r="M1171"/>
      <c r="N1171"/>
      <c r="O1171"/>
      <c r="P1171"/>
      <c r="Q1171"/>
      <c r="R1171"/>
      <c r="S1171"/>
    </row>
    <row r="1172" spans="1:19" ht="15" x14ac:dyDescent="0.2">
      <c r="A1172"/>
      <c r="B1172"/>
      <c r="C1172"/>
      <c r="D1172"/>
      <c r="E1172"/>
      <c r="F1172"/>
      <c r="G1172"/>
      <c r="H1172"/>
      <c r="I1172"/>
      <c r="J1172"/>
      <c r="K1172"/>
      <c r="L1172"/>
      <c r="M1172"/>
      <c r="N1172"/>
      <c r="O1172"/>
      <c r="P1172"/>
      <c r="Q1172"/>
      <c r="R1172"/>
      <c r="S1172"/>
    </row>
    <row r="1173" spans="1:19" ht="15" x14ac:dyDescent="0.2">
      <c r="A1173"/>
      <c r="B1173"/>
      <c r="C1173"/>
      <c r="D1173"/>
      <c r="E1173"/>
      <c r="F1173"/>
      <c r="G1173"/>
      <c r="H1173"/>
      <c r="I1173"/>
      <c r="J1173"/>
      <c r="K1173"/>
      <c r="L1173"/>
      <c r="M1173"/>
      <c r="N1173"/>
      <c r="O1173"/>
      <c r="P1173"/>
      <c r="Q1173"/>
      <c r="R1173"/>
      <c r="S1173"/>
    </row>
    <row r="1174" spans="1:19" ht="15" x14ac:dyDescent="0.2">
      <c r="A1174"/>
      <c r="B1174"/>
      <c r="C1174"/>
      <c r="D1174"/>
      <c r="E1174"/>
      <c r="F1174"/>
      <c r="G1174"/>
      <c r="H1174"/>
      <c r="I1174"/>
      <c r="J1174"/>
      <c r="K1174"/>
      <c r="L1174"/>
      <c r="M1174"/>
      <c r="N1174"/>
      <c r="O1174"/>
      <c r="P1174"/>
      <c r="Q1174"/>
      <c r="R1174"/>
      <c r="S1174"/>
    </row>
    <row r="1175" spans="1:19" ht="15" x14ac:dyDescent="0.2">
      <c r="A1175"/>
      <c r="B1175"/>
      <c r="C1175"/>
      <c r="D1175"/>
      <c r="E1175"/>
      <c r="F1175"/>
      <c r="G1175"/>
      <c r="H1175"/>
      <c r="I1175"/>
      <c r="J1175"/>
      <c r="K1175"/>
      <c r="L1175"/>
      <c r="M1175"/>
      <c r="N1175"/>
      <c r="O1175"/>
      <c r="P1175"/>
      <c r="Q1175"/>
      <c r="R1175"/>
      <c r="S1175"/>
    </row>
    <row r="1176" spans="1:19" ht="15" x14ac:dyDescent="0.2">
      <c r="A1176"/>
      <c r="B1176"/>
      <c r="C1176"/>
      <c r="D1176"/>
      <c r="E1176"/>
      <c r="F1176"/>
      <c r="G1176"/>
      <c r="H1176"/>
      <c r="I1176"/>
      <c r="J1176"/>
      <c r="K1176"/>
      <c r="L1176"/>
      <c r="M1176"/>
      <c r="N1176"/>
      <c r="O1176"/>
      <c r="P1176"/>
      <c r="Q1176"/>
      <c r="R1176"/>
      <c r="S1176"/>
    </row>
    <row r="1177" spans="1:19" ht="15" x14ac:dyDescent="0.2">
      <c r="A1177"/>
      <c r="B1177"/>
      <c r="C1177"/>
      <c r="D1177"/>
      <c r="E1177"/>
      <c r="F1177"/>
      <c r="G1177"/>
      <c r="H1177"/>
      <c r="I1177"/>
      <c r="J1177"/>
      <c r="K1177"/>
      <c r="L1177"/>
      <c r="M1177"/>
      <c r="N1177"/>
      <c r="O1177"/>
      <c r="P1177"/>
      <c r="Q1177"/>
      <c r="R1177"/>
      <c r="S1177"/>
    </row>
    <row r="1178" spans="1:19" ht="15" x14ac:dyDescent="0.2">
      <c r="A1178"/>
      <c r="B1178"/>
      <c r="C1178"/>
      <c r="D1178"/>
      <c r="E1178"/>
      <c r="F1178"/>
      <c r="G1178"/>
      <c r="H1178"/>
      <c r="I1178"/>
      <c r="J1178"/>
      <c r="K1178"/>
      <c r="L1178"/>
      <c r="M1178"/>
      <c r="N1178"/>
      <c r="O1178"/>
      <c r="P1178"/>
      <c r="Q1178"/>
      <c r="R1178"/>
      <c r="S1178"/>
    </row>
    <row r="1179" spans="1:19" ht="15" x14ac:dyDescent="0.2">
      <c r="A1179"/>
      <c r="B1179"/>
      <c r="C1179"/>
      <c r="D1179"/>
      <c r="E1179"/>
      <c r="F1179"/>
      <c r="G1179"/>
      <c r="H1179"/>
      <c r="I1179"/>
      <c r="J1179"/>
      <c r="K1179"/>
      <c r="L1179"/>
      <c r="M1179"/>
      <c r="N1179"/>
      <c r="O1179"/>
      <c r="P1179"/>
      <c r="Q1179"/>
      <c r="R1179"/>
      <c r="S1179"/>
    </row>
    <row r="1180" spans="1:19" ht="15" x14ac:dyDescent="0.2">
      <c r="A1180"/>
      <c r="B1180"/>
      <c r="C1180"/>
      <c r="D1180"/>
      <c r="E1180"/>
      <c r="F1180"/>
      <c r="G1180"/>
      <c r="H1180"/>
      <c r="I1180"/>
      <c r="J1180"/>
      <c r="K1180"/>
      <c r="L1180"/>
      <c r="M1180"/>
      <c r="N1180"/>
      <c r="O1180"/>
      <c r="P1180"/>
      <c r="Q1180"/>
      <c r="R1180"/>
      <c r="S1180"/>
    </row>
    <row r="1181" spans="1:19" ht="15" x14ac:dyDescent="0.2">
      <c r="A1181"/>
      <c r="B1181"/>
      <c r="C1181"/>
      <c r="D1181"/>
      <c r="E1181"/>
      <c r="F1181"/>
      <c r="G1181"/>
      <c r="H1181"/>
      <c r="I1181"/>
      <c r="J1181"/>
      <c r="K1181"/>
      <c r="L1181"/>
      <c r="M1181"/>
      <c r="N1181"/>
      <c r="O1181"/>
      <c r="P1181"/>
      <c r="Q1181"/>
      <c r="R1181"/>
      <c r="S1181"/>
    </row>
    <row r="1182" spans="1:19" ht="15" x14ac:dyDescent="0.2">
      <c r="A1182"/>
      <c r="B1182"/>
      <c r="C1182"/>
      <c r="D1182"/>
      <c r="E1182"/>
      <c r="F1182"/>
      <c r="G1182"/>
      <c r="H1182"/>
      <c r="I1182"/>
      <c r="J1182"/>
      <c r="K1182"/>
      <c r="L1182"/>
      <c r="M1182"/>
      <c r="N1182"/>
      <c r="O1182"/>
      <c r="P1182"/>
      <c r="Q1182"/>
      <c r="R1182"/>
      <c r="S1182"/>
    </row>
    <row r="1183" spans="1:19" ht="15" x14ac:dyDescent="0.2">
      <c r="A1183"/>
      <c r="B1183"/>
      <c r="C1183"/>
      <c r="D1183"/>
      <c r="E1183"/>
      <c r="F1183"/>
      <c r="G1183"/>
      <c r="H1183"/>
      <c r="I1183"/>
      <c r="J1183"/>
      <c r="K1183"/>
      <c r="L1183"/>
      <c r="M1183"/>
      <c r="N1183"/>
      <c r="O1183"/>
      <c r="P1183"/>
      <c r="Q1183"/>
      <c r="R1183"/>
      <c r="S1183"/>
    </row>
    <row r="1184" spans="1:19" ht="15" x14ac:dyDescent="0.2">
      <c r="A1184"/>
      <c r="B1184"/>
      <c r="C1184"/>
      <c r="D1184"/>
      <c r="E1184"/>
      <c r="F1184"/>
      <c r="G1184"/>
      <c r="H1184"/>
      <c r="I1184"/>
      <c r="J1184"/>
      <c r="K1184"/>
      <c r="L1184"/>
      <c r="M1184"/>
      <c r="N1184"/>
      <c r="O1184"/>
      <c r="P1184"/>
      <c r="Q1184"/>
      <c r="R1184"/>
      <c r="S1184"/>
    </row>
    <row r="1185" spans="1:19" ht="15" x14ac:dyDescent="0.2">
      <c r="A1185"/>
      <c r="B1185"/>
      <c r="C1185"/>
      <c r="D1185"/>
      <c r="E1185"/>
      <c r="F1185"/>
      <c r="G1185"/>
      <c r="H1185"/>
      <c r="I1185"/>
      <c r="J1185"/>
      <c r="K1185"/>
      <c r="L1185"/>
      <c r="M1185"/>
      <c r="N1185"/>
      <c r="O1185"/>
      <c r="P1185"/>
      <c r="Q1185"/>
      <c r="R1185"/>
      <c r="S1185"/>
    </row>
    <row r="1186" spans="1:19" ht="15" x14ac:dyDescent="0.2">
      <c r="A1186"/>
      <c r="B1186"/>
      <c r="C1186"/>
      <c r="D1186"/>
      <c r="E1186"/>
      <c r="F1186"/>
      <c r="G1186"/>
      <c r="H1186"/>
      <c r="I1186"/>
      <c r="J1186"/>
      <c r="K1186"/>
      <c r="L1186"/>
      <c r="M1186"/>
      <c r="N1186"/>
      <c r="O1186"/>
      <c r="P1186"/>
      <c r="Q1186"/>
      <c r="R1186"/>
      <c r="S1186"/>
    </row>
    <row r="1187" spans="1:19" ht="15" x14ac:dyDescent="0.2">
      <c r="A1187"/>
      <c r="B1187"/>
      <c r="C1187"/>
      <c r="D1187"/>
      <c r="E1187"/>
      <c r="F1187"/>
      <c r="G1187"/>
      <c r="H1187"/>
      <c r="I1187"/>
      <c r="J1187"/>
      <c r="K1187"/>
      <c r="L1187"/>
      <c r="M1187"/>
      <c r="N1187"/>
      <c r="O1187"/>
      <c r="P1187"/>
      <c r="Q1187"/>
      <c r="R1187"/>
      <c r="S1187"/>
    </row>
    <row r="1188" spans="1:19" ht="15" x14ac:dyDescent="0.2">
      <c r="A1188"/>
      <c r="B1188"/>
      <c r="C1188"/>
      <c r="D1188"/>
      <c r="E1188"/>
      <c r="F1188"/>
      <c r="G1188"/>
      <c r="H1188"/>
      <c r="I1188"/>
      <c r="J1188"/>
      <c r="K1188"/>
      <c r="L1188"/>
      <c r="M1188"/>
      <c r="N1188"/>
      <c r="O1188"/>
      <c r="P1188"/>
      <c r="Q1188"/>
      <c r="R1188"/>
      <c r="S1188"/>
    </row>
    <row r="1189" spans="1:19" ht="15" x14ac:dyDescent="0.2">
      <c r="A1189"/>
      <c r="B1189"/>
      <c r="C1189"/>
      <c r="D1189"/>
      <c r="E1189"/>
      <c r="F1189"/>
      <c r="G1189"/>
      <c r="H1189"/>
      <c r="I1189"/>
      <c r="J1189"/>
      <c r="K1189"/>
      <c r="L1189"/>
      <c r="M1189"/>
      <c r="N1189"/>
      <c r="O1189"/>
      <c r="P1189"/>
      <c r="Q1189"/>
      <c r="R1189"/>
      <c r="S1189"/>
    </row>
    <row r="1190" spans="1:19" ht="15" x14ac:dyDescent="0.2">
      <c r="A1190"/>
      <c r="B1190"/>
      <c r="C1190"/>
      <c r="D1190"/>
      <c r="E1190"/>
      <c r="F1190"/>
      <c r="G1190"/>
      <c r="H1190"/>
      <c r="I1190"/>
      <c r="J1190"/>
      <c r="K1190"/>
      <c r="L1190"/>
      <c r="M1190"/>
      <c r="N1190"/>
      <c r="O1190"/>
      <c r="P1190"/>
      <c r="Q1190"/>
      <c r="R1190"/>
      <c r="S1190"/>
    </row>
    <row r="1191" spans="1:19" ht="15" x14ac:dyDescent="0.2">
      <c r="A1191"/>
      <c r="B1191"/>
      <c r="C1191"/>
      <c r="D1191"/>
      <c r="E1191"/>
      <c r="F1191"/>
      <c r="G1191"/>
      <c r="H1191"/>
      <c r="I1191"/>
      <c r="J1191"/>
      <c r="K1191"/>
      <c r="L1191"/>
      <c r="M1191"/>
      <c r="N1191"/>
      <c r="O1191"/>
      <c r="P1191"/>
      <c r="Q1191"/>
      <c r="R1191"/>
      <c r="S1191"/>
    </row>
    <row r="1192" spans="1:19" ht="15" x14ac:dyDescent="0.2">
      <c r="A1192"/>
      <c r="B1192"/>
      <c r="C1192"/>
      <c r="D1192"/>
      <c r="E1192"/>
      <c r="F1192"/>
      <c r="G1192"/>
      <c r="H1192"/>
      <c r="I1192"/>
      <c r="J1192"/>
      <c r="K1192"/>
      <c r="L1192"/>
      <c r="M1192"/>
      <c r="N1192"/>
      <c r="O1192"/>
      <c r="P1192"/>
      <c r="Q1192"/>
      <c r="R1192"/>
      <c r="S1192"/>
    </row>
    <row r="1193" spans="1:19" ht="15" x14ac:dyDescent="0.2">
      <c r="A1193"/>
      <c r="B1193"/>
      <c r="C1193"/>
      <c r="D1193"/>
      <c r="E1193"/>
      <c r="F1193"/>
      <c r="G1193"/>
      <c r="H1193"/>
      <c r="I1193"/>
      <c r="J1193"/>
      <c r="K1193"/>
      <c r="L1193"/>
      <c r="M1193"/>
      <c r="N1193"/>
      <c r="O1193"/>
      <c r="P1193"/>
      <c r="Q1193"/>
      <c r="R1193"/>
      <c r="S1193"/>
    </row>
    <row r="1194" spans="1:19" ht="15" x14ac:dyDescent="0.2">
      <c r="A1194"/>
      <c r="B1194"/>
      <c r="C1194"/>
      <c r="D1194"/>
      <c r="E1194"/>
      <c r="F1194"/>
      <c r="G1194"/>
      <c r="H1194"/>
      <c r="I1194"/>
      <c r="J1194"/>
      <c r="K1194"/>
      <c r="L1194"/>
      <c r="M1194"/>
      <c r="N1194"/>
      <c r="O1194"/>
      <c r="P1194"/>
      <c r="Q1194"/>
      <c r="R1194"/>
      <c r="S1194"/>
    </row>
    <row r="1195" spans="1:19" ht="15" x14ac:dyDescent="0.2">
      <c r="A1195"/>
      <c r="B1195"/>
      <c r="C1195"/>
      <c r="D1195"/>
      <c r="E1195"/>
      <c r="F1195"/>
      <c r="G1195"/>
      <c r="H1195"/>
      <c r="I1195"/>
      <c r="J1195"/>
      <c r="K1195"/>
      <c r="L1195"/>
      <c r="M1195"/>
      <c r="N1195"/>
      <c r="O1195"/>
      <c r="P1195"/>
      <c r="Q1195"/>
      <c r="R1195"/>
      <c r="S1195"/>
    </row>
    <row r="1196" spans="1:19" ht="15" x14ac:dyDescent="0.2">
      <c r="A1196"/>
      <c r="B1196"/>
      <c r="C1196"/>
      <c r="D1196"/>
      <c r="E1196"/>
      <c r="F1196"/>
      <c r="G1196"/>
      <c r="H1196"/>
      <c r="I1196"/>
      <c r="J1196"/>
      <c r="K1196"/>
      <c r="L1196"/>
      <c r="M1196"/>
      <c r="N1196"/>
      <c r="O1196"/>
      <c r="P1196"/>
      <c r="Q1196"/>
      <c r="R1196"/>
      <c r="S1196"/>
    </row>
    <row r="1197" spans="1:19" ht="15" x14ac:dyDescent="0.2">
      <c r="A1197"/>
      <c r="B1197"/>
      <c r="C1197"/>
      <c r="D1197"/>
      <c r="E1197"/>
      <c r="F1197"/>
      <c r="G1197"/>
      <c r="H1197"/>
      <c r="I1197"/>
      <c r="J1197"/>
      <c r="K1197"/>
      <c r="L1197"/>
      <c r="M1197"/>
      <c r="N1197"/>
      <c r="O1197"/>
      <c r="P1197"/>
      <c r="Q1197"/>
      <c r="R1197"/>
      <c r="S1197"/>
    </row>
    <row r="1198" spans="1:19" ht="15" x14ac:dyDescent="0.2">
      <c r="A1198"/>
      <c r="B1198"/>
      <c r="C1198"/>
      <c r="D1198"/>
      <c r="E1198"/>
      <c r="F1198"/>
      <c r="G1198"/>
      <c r="H1198"/>
      <c r="I1198"/>
      <c r="J1198"/>
      <c r="K1198"/>
      <c r="L1198"/>
      <c r="M1198"/>
      <c r="N1198"/>
      <c r="O1198"/>
      <c r="P1198"/>
      <c r="Q1198"/>
      <c r="R1198"/>
      <c r="S1198"/>
    </row>
    <row r="1199" spans="1:19" ht="15" x14ac:dyDescent="0.2">
      <c r="A1199"/>
      <c r="B1199"/>
      <c r="C1199"/>
      <c r="D1199"/>
      <c r="E1199"/>
      <c r="F1199"/>
      <c r="G1199"/>
      <c r="H1199"/>
      <c r="I1199"/>
      <c r="J1199"/>
      <c r="K1199"/>
      <c r="L1199"/>
      <c r="M1199"/>
      <c r="N1199"/>
      <c r="O1199"/>
      <c r="P1199"/>
      <c r="Q1199"/>
      <c r="R1199"/>
      <c r="S1199"/>
    </row>
    <row r="1200" spans="1:19" ht="15" x14ac:dyDescent="0.2">
      <c r="A1200"/>
      <c r="B1200"/>
      <c r="C1200"/>
      <c r="D1200"/>
      <c r="E1200"/>
      <c r="F1200"/>
      <c r="G1200"/>
      <c r="H1200"/>
      <c r="I1200"/>
      <c r="J1200"/>
      <c r="K1200"/>
      <c r="L1200"/>
      <c r="M1200"/>
      <c r="N1200"/>
      <c r="O1200"/>
      <c r="P1200"/>
      <c r="Q1200"/>
      <c r="R1200"/>
      <c r="S1200"/>
    </row>
    <row r="1201" spans="1:19" ht="15" x14ac:dyDescent="0.2">
      <c r="A1201"/>
      <c r="B1201"/>
      <c r="C1201"/>
      <c r="D1201"/>
      <c r="E1201"/>
      <c r="F1201"/>
      <c r="G1201"/>
      <c r="H1201"/>
      <c r="I1201"/>
      <c r="J1201"/>
      <c r="K1201"/>
      <c r="L1201"/>
      <c r="M1201"/>
      <c r="N1201"/>
      <c r="O1201"/>
      <c r="P1201"/>
      <c r="Q1201"/>
      <c r="R1201"/>
      <c r="S1201"/>
    </row>
    <row r="1202" spans="1:19" ht="15" x14ac:dyDescent="0.2">
      <c r="A1202"/>
      <c r="B1202"/>
      <c r="C1202"/>
      <c r="D1202"/>
      <c r="E1202"/>
      <c r="F1202"/>
      <c r="G1202"/>
      <c r="H1202"/>
      <c r="I1202"/>
      <c r="J1202"/>
      <c r="K1202"/>
      <c r="L1202"/>
      <c r="M1202"/>
      <c r="N1202"/>
      <c r="O1202"/>
      <c r="P1202"/>
      <c r="Q1202"/>
      <c r="R1202"/>
      <c r="S1202"/>
    </row>
    <row r="1203" spans="1:19" ht="15" x14ac:dyDescent="0.2">
      <c r="A1203"/>
      <c r="B1203"/>
      <c r="C1203"/>
      <c r="D1203"/>
      <c r="E1203"/>
      <c r="F1203"/>
      <c r="G1203"/>
      <c r="H1203"/>
      <c r="I1203"/>
      <c r="J1203"/>
      <c r="K1203"/>
      <c r="L1203"/>
      <c r="M1203"/>
      <c r="N1203"/>
      <c r="O1203"/>
      <c r="P1203"/>
      <c r="Q1203"/>
      <c r="R1203"/>
      <c r="S1203"/>
    </row>
    <row r="1204" spans="1:19" ht="15" x14ac:dyDescent="0.2">
      <c r="A1204"/>
      <c r="B1204"/>
      <c r="C1204"/>
      <c r="D1204"/>
      <c r="E1204"/>
      <c r="F1204"/>
      <c r="G1204"/>
      <c r="H1204"/>
      <c r="I1204"/>
      <c r="J1204"/>
      <c r="K1204"/>
      <c r="L1204"/>
      <c r="M1204"/>
      <c r="N1204"/>
      <c r="O1204"/>
      <c r="P1204"/>
      <c r="Q1204"/>
      <c r="R1204"/>
      <c r="S1204"/>
    </row>
    <row r="1205" spans="1:19" ht="15" x14ac:dyDescent="0.2">
      <c r="A1205"/>
      <c r="B1205"/>
      <c r="C1205"/>
      <c r="D1205"/>
      <c r="E1205"/>
      <c r="F1205"/>
      <c r="G1205"/>
      <c r="H1205"/>
      <c r="I1205"/>
      <c r="J1205"/>
      <c r="K1205"/>
      <c r="L1205"/>
      <c r="M1205"/>
      <c r="N1205"/>
      <c r="O1205"/>
      <c r="P1205"/>
      <c r="Q1205"/>
      <c r="R1205"/>
      <c r="S1205"/>
    </row>
    <row r="1206" spans="1:19" ht="15" x14ac:dyDescent="0.2">
      <c r="A1206"/>
      <c r="B1206"/>
      <c r="C1206"/>
      <c r="D1206"/>
      <c r="E1206"/>
      <c r="F1206"/>
      <c r="G1206"/>
      <c r="H1206"/>
      <c r="I1206"/>
      <c r="J1206"/>
      <c r="K1206"/>
      <c r="L1206"/>
      <c r="M1206"/>
      <c r="N1206"/>
      <c r="O1206"/>
      <c r="P1206"/>
      <c r="Q1206"/>
      <c r="R1206"/>
      <c r="S1206"/>
    </row>
    <row r="1207" spans="1:19" ht="15" x14ac:dyDescent="0.2">
      <c r="A1207"/>
      <c r="B1207"/>
      <c r="C1207"/>
      <c r="D1207"/>
      <c r="E1207"/>
      <c r="F1207"/>
      <c r="G1207"/>
      <c r="H1207"/>
      <c r="I1207"/>
      <c r="J1207"/>
      <c r="K1207"/>
      <c r="L1207"/>
      <c r="M1207"/>
      <c r="N1207"/>
      <c r="O1207"/>
      <c r="P1207"/>
      <c r="Q1207"/>
      <c r="R1207"/>
      <c r="S1207"/>
    </row>
    <row r="1208" spans="1:19" ht="15" x14ac:dyDescent="0.2">
      <c r="A1208"/>
      <c r="B1208"/>
      <c r="C1208"/>
      <c r="D1208"/>
      <c r="E1208"/>
      <c r="F1208"/>
      <c r="G1208"/>
      <c r="H1208"/>
      <c r="I1208"/>
      <c r="J1208"/>
      <c r="K1208"/>
      <c r="L1208"/>
      <c r="M1208"/>
      <c r="N1208"/>
      <c r="O1208"/>
      <c r="P1208"/>
      <c r="Q1208"/>
      <c r="R1208"/>
      <c r="S1208"/>
    </row>
    <row r="1209" spans="1:19" ht="15" x14ac:dyDescent="0.2">
      <c r="A1209"/>
      <c r="B1209"/>
      <c r="C1209"/>
      <c r="D1209"/>
      <c r="E1209"/>
      <c r="F1209"/>
      <c r="G1209"/>
      <c r="H1209"/>
      <c r="I1209"/>
      <c r="J1209"/>
      <c r="K1209"/>
      <c r="L1209"/>
      <c r="M1209"/>
      <c r="N1209"/>
      <c r="O1209"/>
      <c r="P1209"/>
      <c r="Q1209"/>
      <c r="R1209"/>
      <c r="S1209"/>
    </row>
    <row r="1210" spans="1:19" ht="15" x14ac:dyDescent="0.2">
      <c r="A1210"/>
      <c r="B1210"/>
      <c r="C1210"/>
      <c r="D1210"/>
      <c r="E1210"/>
      <c r="F1210"/>
      <c r="G1210"/>
      <c r="H1210"/>
      <c r="I1210"/>
      <c r="J1210"/>
      <c r="K1210"/>
      <c r="L1210"/>
      <c r="M1210"/>
      <c r="N1210"/>
      <c r="O1210"/>
      <c r="P1210"/>
      <c r="Q1210"/>
      <c r="R1210"/>
      <c r="S1210"/>
    </row>
    <row r="1211" spans="1:19" ht="15" x14ac:dyDescent="0.2">
      <c r="A1211"/>
      <c r="B1211"/>
      <c r="C1211"/>
      <c r="D1211"/>
      <c r="E1211"/>
      <c r="F1211"/>
      <c r="G1211"/>
      <c r="H1211"/>
      <c r="I1211"/>
      <c r="J1211"/>
      <c r="K1211"/>
      <c r="L1211"/>
      <c r="M1211"/>
      <c r="N1211"/>
      <c r="O1211"/>
      <c r="P1211"/>
      <c r="Q1211"/>
      <c r="R1211"/>
      <c r="S1211"/>
    </row>
    <row r="1212" spans="1:19" ht="15" x14ac:dyDescent="0.2">
      <c r="A1212"/>
      <c r="B1212"/>
      <c r="C1212"/>
      <c r="D1212"/>
      <c r="E1212"/>
      <c r="F1212"/>
      <c r="G1212"/>
      <c r="H1212"/>
      <c r="I1212"/>
      <c r="J1212"/>
      <c r="K1212"/>
      <c r="L1212"/>
      <c r="M1212"/>
      <c r="N1212"/>
      <c r="O1212"/>
      <c r="P1212"/>
      <c r="Q1212"/>
      <c r="R1212"/>
      <c r="S1212"/>
    </row>
    <row r="1213" spans="1:19" ht="15" x14ac:dyDescent="0.2">
      <c r="A1213"/>
      <c r="B1213"/>
      <c r="C1213"/>
      <c r="D1213"/>
      <c r="E1213"/>
      <c r="F1213"/>
      <c r="G1213"/>
      <c r="H1213"/>
      <c r="I1213"/>
      <c r="J1213"/>
      <c r="K1213"/>
      <c r="L1213"/>
      <c r="M1213"/>
      <c r="N1213"/>
      <c r="O1213"/>
      <c r="P1213"/>
      <c r="Q1213"/>
      <c r="R1213"/>
      <c r="S1213"/>
    </row>
    <row r="1214" spans="1:19" ht="15" x14ac:dyDescent="0.2">
      <c r="A1214"/>
      <c r="B1214"/>
      <c r="C1214"/>
      <c r="D1214"/>
      <c r="E1214"/>
      <c r="F1214"/>
      <c r="G1214"/>
      <c r="H1214"/>
      <c r="I1214"/>
      <c r="J1214"/>
      <c r="K1214"/>
      <c r="L1214"/>
      <c r="M1214"/>
      <c r="N1214"/>
      <c r="O1214"/>
      <c r="P1214"/>
      <c r="Q1214"/>
      <c r="R1214"/>
      <c r="S1214"/>
    </row>
    <row r="1215" spans="1:19" ht="15" x14ac:dyDescent="0.2">
      <c r="A1215"/>
      <c r="B1215"/>
      <c r="C1215"/>
      <c r="D1215"/>
      <c r="E1215"/>
      <c r="F1215"/>
      <c r="G1215"/>
      <c r="H1215"/>
      <c r="I1215"/>
      <c r="J1215"/>
      <c r="K1215"/>
      <c r="L1215"/>
      <c r="M1215"/>
      <c r="N1215"/>
      <c r="O1215"/>
      <c r="P1215"/>
      <c r="Q1215"/>
      <c r="R1215"/>
      <c r="S1215"/>
    </row>
    <row r="1216" spans="1:19" ht="15" x14ac:dyDescent="0.2">
      <c r="A1216"/>
      <c r="B1216"/>
      <c r="C1216"/>
      <c r="D1216"/>
      <c r="E1216"/>
      <c r="F1216"/>
      <c r="G1216"/>
      <c r="H1216"/>
      <c r="I1216"/>
      <c r="J1216"/>
      <c r="K1216"/>
      <c r="L1216"/>
      <c r="M1216"/>
      <c r="N1216"/>
      <c r="O1216"/>
      <c r="P1216"/>
      <c r="Q1216"/>
      <c r="R1216"/>
      <c r="S1216"/>
    </row>
    <row r="1217" spans="1:19" ht="15" x14ac:dyDescent="0.2">
      <c r="A1217"/>
      <c r="B1217"/>
      <c r="C1217"/>
      <c r="D1217"/>
      <c r="E1217"/>
      <c r="F1217"/>
      <c r="G1217"/>
      <c r="H1217"/>
      <c r="I1217"/>
      <c r="J1217"/>
      <c r="K1217"/>
      <c r="L1217"/>
      <c r="M1217"/>
      <c r="N1217"/>
      <c r="O1217"/>
      <c r="P1217"/>
      <c r="Q1217"/>
      <c r="R1217"/>
      <c r="S1217"/>
    </row>
    <row r="1218" spans="1:19" ht="15" x14ac:dyDescent="0.2">
      <c r="A1218"/>
      <c r="B1218"/>
      <c r="C1218"/>
      <c r="D1218"/>
      <c r="E1218"/>
      <c r="F1218"/>
      <c r="G1218"/>
      <c r="H1218"/>
      <c r="I1218"/>
      <c r="J1218"/>
      <c r="K1218"/>
      <c r="L1218"/>
      <c r="M1218"/>
      <c r="N1218"/>
      <c r="O1218"/>
      <c r="P1218"/>
      <c r="Q1218"/>
      <c r="R1218"/>
      <c r="S1218"/>
    </row>
    <row r="1219" spans="1:19" ht="15" x14ac:dyDescent="0.2">
      <c r="A1219"/>
      <c r="B1219"/>
      <c r="C1219"/>
      <c r="D1219"/>
      <c r="E1219"/>
      <c r="F1219"/>
      <c r="G1219"/>
      <c r="H1219"/>
      <c r="I1219"/>
      <c r="J1219"/>
      <c r="K1219"/>
      <c r="L1219"/>
      <c r="M1219"/>
      <c r="N1219"/>
      <c r="O1219"/>
      <c r="P1219"/>
      <c r="Q1219"/>
      <c r="R1219"/>
      <c r="S1219"/>
    </row>
    <row r="1220" spans="1:19" ht="15" x14ac:dyDescent="0.2">
      <c r="A1220"/>
      <c r="B1220"/>
      <c r="C1220"/>
      <c r="D1220"/>
      <c r="E1220"/>
      <c r="F1220"/>
      <c r="G1220"/>
      <c r="H1220"/>
      <c r="I1220"/>
      <c r="J1220"/>
      <c r="K1220"/>
      <c r="L1220"/>
      <c r="M1220"/>
      <c r="N1220"/>
      <c r="O1220"/>
      <c r="P1220"/>
      <c r="Q1220"/>
      <c r="R1220"/>
      <c r="S1220"/>
    </row>
    <row r="1221" spans="1:19" ht="15" x14ac:dyDescent="0.2">
      <c r="A1221"/>
      <c r="B1221"/>
      <c r="C1221"/>
      <c r="D1221"/>
      <c r="E1221"/>
      <c r="F1221"/>
      <c r="G1221"/>
      <c r="H1221"/>
      <c r="I1221"/>
      <c r="J1221"/>
      <c r="K1221"/>
      <c r="L1221"/>
      <c r="M1221"/>
      <c r="N1221"/>
      <c r="O1221"/>
      <c r="P1221"/>
      <c r="Q1221"/>
      <c r="R1221"/>
      <c r="S1221"/>
    </row>
    <row r="1222" spans="1:19" ht="15" x14ac:dyDescent="0.2">
      <c r="A1222"/>
      <c r="B1222"/>
      <c r="C1222"/>
      <c r="D1222"/>
      <c r="E1222"/>
      <c r="F1222"/>
      <c r="G1222"/>
      <c r="H1222"/>
      <c r="I1222"/>
      <c r="J1222"/>
      <c r="K1222"/>
      <c r="L1222"/>
      <c r="M1222"/>
      <c r="N1222"/>
      <c r="O1222"/>
      <c r="P1222"/>
      <c r="Q1222"/>
      <c r="R1222"/>
      <c r="S1222"/>
    </row>
    <row r="1223" spans="1:19" ht="15" x14ac:dyDescent="0.2">
      <c r="A1223"/>
      <c r="B1223"/>
      <c r="C1223"/>
      <c r="D1223"/>
      <c r="E1223"/>
      <c r="F1223"/>
      <c r="G1223"/>
      <c r="H1223"/>
      <c r="I1223"/>
      <c r="J1223"/>
      <c r="K1223"/>
      <c r="L1223"/>
      <c r="M1223"/>
      <c r="N1223"/>
      <c r="O1223"/>
      <c r="P1223"/>
      <c r="Q1223"/>
      <c r="R1223"/>
      <c r="S1223"/>
    </row>
    <row r="1224" spans="1:19" ht="15" x14ac:dyDescent="0.2">
      <c r="A1224"/>
      <c r="B1224"/>
      <c r="C1224"/>
      <c r="D1224"/>
      <c r="E1224"/>
      <c r="F1224"/>
      <c r="G1224"/>
      <c r="H1224"/>
      <c r="I1224"/>
      <c r="J1224"/>
      <c r="K1224"/>
      <c r="L1224"/>
      <c r="M1224"/>
      <c r="N1224"/>
      <c r="O1224"/>
      <c r="P1224"/>
      <c r="Q1224"/>
      <c r="R1224"/>
      <c r="S1224"/>
    </row>
    <row r="1225" spans="1:19" ht="15" x14ac:dyDescent="0.2">
      <c r="A1225"/>
      <c r="B1225"/>
      <c r="C1225"/>
      <c r="D1225"/>
      <c r="E1225"/>
      <c r="F1225"/>
      <c r="G1225"/>
      <c r="H1225"/>
      <c r="I1225"/>
      <c r="J1225"/>
      <c r="K1225"/>
      <c r="L1225"/>
      <c r="M1225"/>
      <c r="N1225"/>
      <c r="O1225"/>
      <c r="P1225"/>
      <c r="Q1225"/>
      <c r="R1225"/>
      <c r="S1225"/>
    </row>
    <row r="1226" spans="1:19" ht="15" x14ac:dyDescent="0.2">
      <c r="A1226"/>
      <c r="B1226"/>
      <c r="C1226"/>
      <c r="D1226"/>
      <c r="E1226"/>
      <c r="F1226"/>
      <c r="G1226"/>
      <c r="H1226"/>
      <c r="I1226"/>
      <c r="J1226"/>
      <c r="K1226"/>
      <c r="L1226"/>
      <c r="M1226"/>
      <c r="N1226"/>
      <c r="O1226"/>
      <c r="P1226"/>
      <c r="Q1226"/>
      <c r="R1226"/>
      <c r="S1226"/>
    </row>
    <row r="1227" spans="1:19" ht="15" x14ac:dyDescent="0.2">
      <c r="A1227"/>
      <c r="B1227"/>
      <c r="C1227"/>
      <c r="D1227"/>
      <c r="E1227"/>
      <c r="F1227"/>
      <c r="G1227"/>
      <c r="H1227"/>
      <c r="I1227"/>
      <c r="J1227"/>
      <c r="K1227"/>
      <c r="L1227"/>
      <c r="M1227"/>
      <c r="N1227"/>
      <c r="O1227"/>
      <c r="P1227"/>
      <c r="Q1227"/>
      <c r="R1227"/>
      <c r="S1227"/>
    </row>
    <row r="1228" spans="1:19" ht="15" x14ac:dyDescent="0.2">
      <c r="A1228"/>
      <c r="B1228"/>
      <c r="C1228"/>
      <c r="D1228"/>
      <c r="E1228"/>
      <c r="F1228"/>
      <c r="G1228"/>
      <c r="H1228"/>
      <c r="I1228"/>
      <c r="J1228"/>
      <c r="K1228"/>
      <c r="L1228"/>
      <c r="M1228"/>
      <c r="N1228"/>
      <c r="O1228"/>
      <c r="P1228"/>
      <c r="Q1228"/>
      <c r="R1228"/>
      <c r="S1228"/>
    </row>
    <row r="1229" spans="1:19" ht="15" x14ac:dyDescent="0.2">
      <c r="A1229"/>
      <c r="B1229"/>
      <c r="C1229"/>
      <c r="D1229"/>
      <c r="E1229"/>
      <c r="F1229"/>
      <c r="G1229"/>
      <c r="H1229"/>
      <c r="I1229"/>
      <c r="J1229"/>
      <c r="K1229"/>
      <c r="L1229"/>
      <c r="M1229"/>
      <c r="N1229"/>
      <c r="O1229"/>
      <c r="P1229"/>
      <c r="Q1229"/>
      <c r="R1229"/>
      <c r="S1229"/>
    </row>
    <row r="1230" spans="1:19" ht="15" x14ac:dyDescent="0.2">
      <c r="A1230"/>
      <c r="B1230"/>
      <c r="C1230"/>
      <c r="D1230"/>
      <c r="E1230"/>
      <c r="F1230"/>
      <c r="G1230"/>
      <c r="H1230"/>
      <c r="I1230"/>
      <c r="J1230"/>
      <c r="K1230"/>
      <c r="L1230"/>
      <c r="M1230"/>
      <c r="N1230"/>
      <c r="O1230"/>
      <c r="P1230"/>
      <c r="Q1230"/>
      <c r="R1230"/>
      <c r="S1230"/>
    </row>
    <row r="1231" spans="1:19" ht="15" x14ac:dyDescent="0.2">
      <c r="A1231"/>
      <c r="B1231"/>
      <c r="C1231"/>
      <c r="D1231"/>
      <c r="E1231"/>
      <c r="F1231"/>
      <c r="G1231"/>
      <c r="H1231"/>
      <c r="I1231"/>
      <c r="J1231"/>
      <c r="K1231"/>
      <c r="L1231"/>
      <c r="M1231"/>
      <c r="N1231"/>
      <c r="O1231"/>
      <c r="P1231"/>
      <c r="Q1231"/>
      <c r="R1231"/>
      <c r="S1231"/>
    </row>
    <row r="1232" spans="1:19" ht="15" x14ac:dyDescent="0.2">
      <c r="A1232"/>
      <c r="B1232"/>
      <c r="C1232"/>
      <c r="D1232"/>
      <c r="E1232"/>
      <c r="F1232"/>
      <c r="G1232"/>
      <c r="H1232"/>
      <c r="I1232"/>
      <c r="J1232"/>
      <c r="K1232"/>
      <c r="L1232"/>
      <c r="M1232"/>
      <c r="N1232"/>
      <c r="O1232"/>
      <c r="P1232"/>
      <c r="Q1232"/>
      <c r="R1232"/>
      <c r="S1232"/>
    </row>
    <row r="1233" spans="1:19" ht="15" x14ac:dyDescent="0.2">
      <c r="A1233"/>
      <c r="B1233"/>
      <c r="C1233"/>
      <c r="D1233"/>
      <c r="E1233"/>
      <c r="F1233"/>
      <c r="G1233"/>
      <c r="H1233"/>
      <c r="I1233"/>
      <c r="J1233"/>
      <c r="K1233"/>
      <c r="L1233"/>
      <c r="M1233"/>
      <c r="N1233"/>
      <c r="O1233"/>
      <c r="P1233"/>
      <c r="Q1233"/>
      <c r="R1233"/>
      <c r="S1233"/>
    </row>
    <row r="1234" spans="1:19" ht="15" x14ac:dyDescent="0.2">
      <c r="A1234"/>
      <c r="B1234"/>
      <c r="C1234"/>
      <c r="D1234"/>
      <c r="E1234"/>
      <c r="F1234"/>
      <c r="G1234"/>
      <c r="H1234"/>
      <c r="I1234"/>
      <c r="J1234"/>
      <c r="K1234"/>
      <c r="L1234"/>
      <c r="M1234"/>
      <c r="N1234"/>
      <c r="O1234"/>
      <c r="P1234"/>
      <c r="Q1234"/>
      <c r="R1234"/>
      <c r="S1234"/>
    </row>
    <row r="1235" spans="1:19" ht="15" x14ac:dyDescent="0.2">
      <c r="A1235"/>
      <c r="B1235"/>
      <c r="C1235"/>
      <c r="D1235"/>
      <c r="E1235"/>
      <c r="F1235"/>
      <c r="G1235"/>
      <c r="H1235"/>
      <c r="I1235"/>
      <c r="J1235"/>
      <c r="K1235"/>
      <c r="L1235"/>
      <c r="M1235"/>
      <c r="N1235"/>
      <c r="O1235"/>
      <c r="P1235"/>
      <c r="Q1235"/>
      <c r="R1235"/>
      <c r="S1235"/>
    </row>
    <row r="1236" spans="1:19" ht="15" x14ac:dyDescent="0.2">
      <c r="A1236"/>
      <c r="B1236"/>
      <c r="C1236"/>
      <c r="D1236"/>
      <c r="E1236"/>
      <c r="F1236"/>
      <c r="G1236"/>
      <c r="H1236"/>
      <c r="I1236"/>
      <c r="J1236"/>
      <c r="K1236"/>
      <c r="L1236"/>
      <c r="M1236"/>
      <c r="N1236"/>
      <c r="O1236"/>
      <c r="P1236"/>
      <c r="Q1236"/>
      <c r="R1236"/>
      <c r="S1236"/>
    </row>
    <row r="1237" spans="1:19" ht="15" x14ac:dyDescent="0.2">
      <c r="A1237"/>
      <c r="B1237"/>
      <c r="C1237"/>
      <c r="D1237"/>
      <c r="E1237"/>
      <c r="F1237"/>
      <c r="G1237"/>
      <c r="H1237"/>
      <c r="I1237"/>
      <c r="J1237"/>
      <c r="K1237"/>
      <c r="L1237"/>
      <c r="M1237"/>
      <c r="N1237"/>
      <c r="O1237"/>
      <c r="P1237"/>
      <c r="Q1237"/>
      <c r="R1237"/>
      <c r="S1237"/>
    </row>
    <row r="1238" spans="1:19" ht="15" x14ac:dyDescent="0.2">
      <c r="A1238"/>
      <c r="B1238"/>
      <c r="C1238"/>
      <c r="D1238"/>
      <c r="E1238"/>
      <c r="F1238"/>
      <c r="G1238"/>
      <c r="H1238"/>
      <c r="I1238"/>
      <c r="J1238"/>
      <c r="K1238"/>
      <c r="L1238"/>
      <c r="M1238"/>
      <c r="N1238"/>
      <c r="O1238"/>
      <c r="P1238"/>
      <c r="Q1238"/>
      <c r="R1238"/>
      <c r="S1238"/>
    </row>
    <row r="1239" spans="1:19" ht="15" x14ac:dyDescent="0.2">
      <c r="A1239"/>
      <c r="B1239"/>
      <c r="C1239"/>
      <c r="D1239"/>
      <c r="E1239"/>
      <c r="F1239"/>
      <c r="G1239"/>
      <c r="H1239"/>
      <c r="I1239"/>
      <c r="J1239"/>
      <c r="K1239"/>
      <c r="L1239"/>
      <c r="M1239"/>
      <c r="N1239"/>
      <c r="O1239"/>
      <c r="P1239"/>
      <c r="Q1239"/>
      <c r="R1239"/>
      <c r="S1239"/>
    </row>
    <row r="1240" spans="1:19" ht="15" x14ac:dyDescent="0.2">
      <c r="A1240"/>
      <c r="B1240"/>
      <c r="C1240"/>
      <c r="D1240"/>
      <c r="E1240"/>
      <c r="F1240"/>
      <c r="G1240"/>
      <c r="H1240"/>
      <c r="I1240"/>
      <c r="J1240"/>
      <c r="K1240"/>
      <c r="L1240"/>
      <c r="M1240"/>
      <c r="N1240"/>
      <c r="O1240"/>
      <c r="P1240"/>
      <c r="Q1240"/>
      <c r="R1240"/>
      <c r="S1240"/>
    </row>
    <row r="1241" spans="1:19" ht="15" x14ac:dyDescent="0.2">
      <c r="A1241"/>
      <c r="B1241"/>
      <c r="C1241"/>
      <c r="D1241"/>
      <c r="E1241"/>
      <c r="F1241"/>
      <c r="G1241"/>
      <c r="H1241"/>
      <c r="I1241"/>
      <c r="J1241"/>
      <c r="K1241"/>
      <c r="L1241"/>
      <c r="M1241"/>
      <c r="N1241"/>
      <c r="O1241"/>
      <c r="P1241"/>
      <c r="Q1241"/>
      <c r="R1241"/>
      <c r="S1241"/>
    </row>
    <row r="1242" spans="1:19" ht="15" x14ac:dyDescent="0.2">
      <c r="A1242"/>
      <c r="B1242"/>
      <c r="C1242"/>
      <c r="D1242"/>
      <c r="E1242"/>
      <c r="F1242"/>
      <c r="G1242"/>
      <c r="H1242"/>
      <c r="I1242"/>
      <c r="J1242"/>
      <c r="K1242"/>
      <c r="L1242"/>
      <c r="M1242"/>
      <c r="N1242"/>
      <c r="O1242"/>
      <c r="P1242"/>
      <c r="Q1242"/>
      <c r="R1242"/>
      <c r="S1242"/>
    </row>
    <row r="1243" spans="1:19" ht="15" x14ac:dyDescent="0.2">
      <c r="A1243"/>
      <c r="B1243"/>
      <c r="C1243"/>
      <c r="D1243"/>
      <c r="E1243"/>
      <c r="F1243"/>
      <c r="G1243"/>
      <c r="H1243"/>
      <c r="I1243"/>
      <c r="J1243"/>
      <c r="K1243"/>
      <c r="L1243"/>
      <c r="M1243"/>
      <c r="N1243"/>
      <c r="O1243"/>
      <c r="P1243"/>
      <c r="Q1243"/>
      <c r="R1243"/>
      <c r="S1243"/>
    </row>
    <row r="1244" spans="1:19" ht="15" x14ac:dyDescent="0.2">
      <c r="A1244"/>
      <c r="B1244"/>
      <c r="C1244"/>
      <c r="D1244"/>
      <c r="E1244"/>
      <c r="F1244"/>
      <c r="G1244"/>
      <c r="H1244"/>
      <c r="I1244"/>
      <c r="J1244"/>
      <c r="K1244"/>
      <c r="L1244"/>
      <c r="M1244"/>
      <c r="N1244"/>
      <c r="O1244"/>
      <c r="P1244"/>
      <c r="Q1244"/>
      <c r="R1244"/>
      <c r="S1244"/>
    </row>
    <row r="1245" spans="1:19" ht="15" x14ac:dyDescent="0.2">
      <c r="A1245"/>
      <c r="B1245"/>
      <c r="C1245"/>
      <c r="D1245"/>
      <c r="E1245"/>
      <c r="F1245"/>
      <c r="G1245"/>
      <c r="H1245"/>
      <c r="I1245"/>
      <c r="J1245"/>
      <c r="K1245"/>
      <c r="L1245"/>
      <c r="M1245"/>
      <c r="N1245"/>
      <c r="O1245"/>
      <c r="P1245"/>
      <c r="Q1245"/>
      <c r="R1245"/>
      <c r="S1245"/>
    </row>
    <row r="1246" spans="1:19" ht="15" x14ac:dyDescent="0.2">
      <c r="A1246"/>
      <c r="B1246"/>
      <c r="C1246"/>
      <c r="D1246"/>
      <c r="E1246"/>
      <c r="F1246"/>
      <c r="G1246"/>
      <c r="H1246"/>
      <c r="I1246"/>
      <c r="J1246"/>
      <c r="K1246"/>
      <c r="L1246"/>
      <c r="M1246"/>
      <c r="N1246"/>
      <c r="O1246"/>
      <c r="P1246"/>
      <c r="Q1246"/>
      <c r="R1246"/>
      <c r="S1246"/>
    </row>
    <row r="1247" spans="1:19" ht="15" x14ac:dyDescent="0.2">
      <c r="A1247"/>
      <c r="B1247"/>
      <c r="C1247"/>
      <c r="D1247"/>
      <c r="E1247"/>
      <c r="F1247"/>
      <c r="G1247"/>
      <c r="H1247"/>
      <c r="I1247"/>
      <c r="J1247"/>
      <c r="K1247"/>
      <c r="L1247"/>
      <c r="M1247"/>
      <c r="N1247"/>
      <c r="O1247"/>
      <c r="P1247"/>
      <c r="Q1247"/>
      <c r="R1247"/>
      <c r="S1247"/>
    </row>
    <row r="1248" spans="1:19" ht="15" x14ac:dyDescent="0.2">
      <c r="A1248"/>
      <c r="B1248"/>
      <c r="C1248"/>
      <c r="D1248"/>
      <c r="E1248"/>
      <c r="F1248"/>
      <c r="G1248"/>
      <c r="H1248"/>
      <c r="I1248"/>
      <c r="J1248"/>
      <c r="K1248"/>
      <c r="L1248"/>
      <c r="M1248"/>
      <c r="N1248"/>
      <c r="O1248"/>
      <c r="P1248"/>
      <c r="Q1248"/>
      <c r="R1248"/>
      <c r="S1248"/>
    </row>
    <row r="1249" spans="1:19" ht="15" x14ac:dyDescent="0.2">
      <c r="A1249"/>
      <c r="B1249"/>
      <c r="C1249"/>
      <c r="D1249"/>
      <c r="E1249"/>
      <c r="F1249"/>
      <c r="G1249"/>
      <c r="H1249"/>
      <c r="I1249"/>
      <c r="J1249"/>
      <c r="K1249"/>
      <c r="L1249"/>
      <c r="M1249"/>
      <c r="N1249"/>
      <c r="O1249"/>
      <c r="P1249"/>
      <c r="Q1249"/>
      <c r="R1249"/>
      <c r="S1249"/>
    </row>
    <row r="1250" spans="1:19" ht="15" x14ac:dyDescent="0.2">
      <c r="A1250"/>
      <c r="B1250"/>
      <c r="C1250"/>
      <c r="D1250"/>
      <c r="E1250"/>
      <c r="F1250"/>
      <c r="G1250"/>
      <c r="H1250"/>
      <c r="I1250"/>
      <c r="J1250"/>
      <c r="K1250"/>
      <c r="L1250"/>
      <c r="M1250"/>
      <c r="N1250"/>
      <c r="O1250"/>
      <c r="P1250"/>
      <c r="Q1250"/>
      <c r="R1250"/>
      <c r="S1250"/>
    </row>
    <row r="1251" spans="1:19" ht="15" x14ac:dyDescent="0.2">
      <c r="A1251"/>
      <c r="B1251"/>
      <c r="C1251"/>
      <c r="D1251"/>
      <c r="E1251"/>
      <c r="F1251"/>
      <c r="G1251"/>
      <c r="H1251"/>
      <c r="I1251"/>
      <c r="J1251"/>
      <c r="K1251"/>
      <c r="L1251"/>
      <c r="M1251"/>
      <c r="N1251"/>
      <c r="O1251"/>
      <c r="P1251"/>
      <c r="Q1251"/>
      <c r="R1251"/>
      <c r="S1251"/>
    </row>
    <row r="1252" spans="1:19" ht="15" x14ac:dyDescent="0.2">
      <c r="A1252"/>
      <c r="B1252"/>
      <c r="C1252"/>
      <c r="D1252"/>
      <c r="E1252"/>
      <c r="F1252"/>
      <c r="G1252"/>
      <c r="H1252"/>
      <c r="I1252"/>
      <c r="J1252"/>
      <c r="K1252"/>
      <c r="L1252"/>
      <c r="M1252"/>
      <c r="N1252"/>
      <c r="O1252"/>
      <c r="P1252"/>
      <c r="Q1252"/>
      <c r="R1252"/>
      <c r="S1252"/>
    </row>
    <row r="1253" spans="1:19" ht="15" x14ac:dyDescent="0.2">
      <c r="A1253"/>
      <c r="B1253"/>
      <c r="C1253"/>
      <c r="D1253"/>
      <c r="E1253"/>
      <c r="F1253"/>
      <c r="G1253"/>
      <c r="H1253"/>
      <c r="I1253"/>
      <c r="J1253"/>
      <c r="K1253"/>
      <c r="L1253"/>
      <c r="M1253"/>
      <c r="N1253"/>
      <c r="O1253"/>
      <c r="P1253"/>
      <c r="Q1253"/>
      <c r="R1253"/>
      <c r="S1253"/>
    </row>
    <row r="1254" spans="1:19" ht="15" x14ac:dyDescent="0.2">
      <c r="A1254"/>
      <c r="B1254"/>
      <c r="C1254"/>
      <c r="D1254"/>
      <c r="E1254"/>
      <c r="F1254"/>
      <c r="G1254"/>
      <c r="H1254"/>
      <c r="I1254"/>
      <c r="J1254"/>
      <c r="K1254"/>
      <c r="L1254"/>
      <c r="M1254"/>
      <c r="N1254"/>
      <c r="O1254"/>
      <c r="P1254"/>
      <c r="Q1254"/>
      <c r="R1254"/>
      <c r="S1254"/>
    </row>
    <row r="1255" spans="1:19" ht="15" x14ac:dyDescent="0.2">
      <c r="A1255"/>
      <c r="B1255"/>
      <c r="C1255"/>
      <c r="D1255"/>
      <c r="E1255"/>
      <c r="F1255"/>
      <c r="G1255"/>
      <c r="H1255"/>
      <c r="I1255"/>
      <c r="J1255"/>
      <c r="K1255"/>
      <c r="L1255"/>
      <c r="M1255"/>
      <c r="N1255"/>
      <c r="O1255"/>
      <c r="P1255"/>
      <c r="Q1255"/>
      <c r="R1255"/>
      <c r="S1255"/>
    </row>
    <row r="1256" spans="1:19" ht="15" x14ac:dyDescent="0.2">
      <c r="A1256"/>
      <c r="B1256"/>
      <c r="C1256"/>
      <c r="D1256"/>
      <c r="E1256"/>
      <c r="F1256"/>
      <c r="G1256"/>
      <c r="H1256"/>
      <c r="I1256"/>
      <c r="J1256"/>
      <c r="K1256"/>
      <c r="L1256"/>
      <c r="M1256"/>
      <c r="N1256"/>
      <c r="O1256"/>
      <c r="P1256"/>
      <c r="Q1256"/>
      <c r="R1256"/>
      <c r="S1256"/>
    </row>
    <row r="1257" spans="1:19" ht="15" x14ac:dyDescent="0.2">
      <c r="A1257"/>
      <c r="B1257"/>
      <c r="C1257"/>
      <c r="D1257"/>
      <c r="E1257"/>
      <c r="F1257"/>
      <c r="G1257"/>
      <c r="H1257"/>
      <c r="I1257"/>
      <c r="J1257"/>
      <c r="K1257"/>
      <c r="L1257"/>
      <c r="M1257"/>
      <c r="N1257"/>
      <c r="O1257"/>
      <c r="P1257"/>
      <c r="Q1257"/>
      <c r="R1257"/>
      <c r="S1257"/>
    </row>
    <row r="1258" spans="1:19" ht="15" x14ac:dyDescent="0.2">
      <c r="A1258"/>
      <c r="B1258"/>
      <c r="C1258"/>
      <c r="D1258"/>
      <c r="E1258"/>
      <c r="F1258"/>
      <c r="G1258"/>
      <c r="H1258"/>
      <c r="I1258"/>
      <c r="J1258"/>
      <c r="K1258"/>
      <c r="L1258"/>
      <c r="M1258"/>
      <c r="N1258"/>
      <c r="O1258"/>
      <c r="P1258"/>
      <c r="Q1258"/>
      <c r="R1258"/>
      <c r="S1258"/>
    </row>
    <row r="1259" spans="1:19" ht="15" x14ac:dyDescent="0.2">
      <c r="A1259"/>
      <c r="B1259"/>
      <c r="C1259"/>
      <c r="D1259"/>
      <c r="E1259"/>
      <c r="F1259"/>
      <c r="G1259"/>
      <c r="H1259"/>
      <c r="I1259"/>
      <c r="J1259"/>
      <c r="K1259"/>
      <c r="L1259"/>
      <c r="M1259"/>
      <c r="N1259"/>
      <c r="O1259"/>
      <c r="P1259"/>
      <c r="Q1259"/>
      <c r="R1259"/>
      <c r="S1259"/>
    </row>
    <row r="1260" spans="1:19" ht="15" x14ac:dyDescent="0.2">
      <c r="A1260"/>
      <c r="B1260"/>
      <c r="C1260"/>
      <c r="D1260"/>
      <c r="E1260"/>
      <c r="F1260"/>
      <c r="G1260"/>
      <c r="H1260"/>
      <c r="I1260"/>
      <c r="J1260"/>
      <c r="K1260"/>
      <c r="L1260"/>
      <c r="M1260"/>
      <c r="N1260"/>
      <c r="O1260"/>
      <c r="P1260"/>
      <c r="Q1260"/>
      <c r="R1260"/>
      <c r="S1260"/>
    </row>
    <row r="1261" spans="1:19" ht="15" x14ac:dyDescent="0.2">
      <c r="A1261"/>
      <c r="B1261"/>
      <c r="C1261"/>
      <c r="D1261"/>
      <c r="E1261"/>
      <c r="F1261"/>
      <c r="G1261"/>
      <c r="H1261"/>
      <c r="I1261"/>
      <c r="J1261"/>
      <c r="K1261"/>
      <c r="L1261"/>
      <c r="M1261"/>
      <c r="N1261"/>
      <c r="O1261"/>
      <c r="P1261"/>
      <c r="Q1261"/>
      <c r="R1261"/>
      <c r="S1261"/>
    </row>
    <row r="1262" spans="1:19" ht="15" x14ac:dyDescent="0.2">
      <c r="A1262"/>
      <c r="B1262"/>
      <c r="C1262"/>
      <c r="D1262"/>
      <c r="E1262"/>
      <c r="F1262"/>
      <c r="G1262"/>
      <c r="H1262"/>
      <c r="I1262"/>
      <c r="J1262"/>
      <c r="K1262"/>
      <c r="L1262"/>
      <c r="M1262"/>
      <c r="N1262"/>
      <c r="O1262"/>
      <c r="P1262"/>
      <c r="Q1262"/>
      <c r="R1262"/>
      <c r="S1262"/>
    </row>
    <row r="1263" spans="1:19" ht="15" x14ac:dyDescent="0.2">
      <c r="A1263"/>
      <c r="B1263"/>
      <c r="C1263"/>
      <c r="D1263"/>
      <c r="E1263"/>
      <c r="F1263"/>
      <c r="G1263"/>
      <c r="H1263"/>
      <c r="I1263"/>
      <c r="J1263"/>
      <c r="K1263"/>
      <c r="L1263"/>
      <c r="M1263"/>
      <c r="N1263"/>
      <c r="O1263"/>
      <c r="P1263"/>
      <c r="Q1263"/>
      <c r="R1263"/>
      <c r="S1263"/>
    </row>
    <row r="1264" spans="1:19" ht="15" x14ac:dyDescent="0.2">
      <c r="A1264"/>
      <c r="B1264"/>
      <c r="C1264"/>
      <c r="D1264"/>
      <c r="E1264"/>
      <c r="F1264"/>
      <c r="G1264"/>
      <c r="H1264"/>
      <c r="I1264"/>
      <c r="J1264"/>
      <c r="K1264"/>
      <c r="L1264"/>
      <c r="M1264"/>
      <c r="N1264"/>
      <c r="O1264"/>
      <c r="P1264"/>
      <c r="Q1264"/>
      <c r="R1264"/>
      <c r="S1264"/>
    </row>
    <row r="1265" spans="1:19" ht="15" x14ac:dyDescent="0.2">
      <c r="A1265"/>
      <c r="B1265"/>
      <c r="C1265"/>
      <c r="D1265"/>
      <c r="E1265"/>
      <c r="F1265"/>
      <c r="G1265"/>
      <c r="H1265"/>
      <c r="I1265"/>
      <c r="J1265"/>
      <c r="K1265"/>
      <c r="L1265"/>
      <c r="M1265"/>
      <c r="N1265"/>
      <c r="O1265"/>
      <c r="P1265"/>
      <c r="Q1265"/>
      <c r="R1265"/>
      <c r="S1265"/>
    </row>
    <row r="1266" spans="1:19" ht="15" x14ac:dyDescent="0.2">
      <c r="A1266"/>
      <c r="B1266"/>
      <c r="C1266"/>
      <c r="D1266"/>
      <c r="E1266"/>
      <c r="F1266"/>
      <c r="G1266"/>
      <c r="H1266"/>
      <c r="I1266"/>
      <c r="J1266"/>
      <c r="K1266"/>
      <c r="L1266"/>
      <c r="M1266"/>
      <c r="N1266"/>
      <c r="O1266"/>
      <c r="P1266"/>
      <c r="Q1266"/>
      <c r="R1266"/>
      <c r="S1266"/>
    </row>
    <row r="1267" spans="1:19" ht="15" x14ac:dyDescent="0.2">
      <c r="A1267"/>
      <c r="B1267"/>
      <c r="C1267"/>
      <c r="D1267"/>
      <c r="E1267"/>
      <c r="F1267"/>
      <c r="G1267"/>
      <c r="H1267"/>
      <c r="I1267"/>
      <c r="J1267"/>
      <c r="K1267"/>
      <c r="L1267"/>
      <c r="M1267"/>
      <c r="N1267"/>
      <c r="O1267"/>
      <c r="P1267"/>
      <c r="Q1267"/>
      <c r="R1267"/>
      <c r="S1267"/>
    </row>
    <row r="1268" spans="1:19" ht="15" x14ac:dyDescent="0.2">
      <c r="A1268"/>
      <c r="B1268"/>
      <c r="C1268"/>
      <c r="D1268"/>
      <c r="E1268"/>
      <c r="F1268"/>
      <c r="G1268"/>
      <c r="H1268"/>
      <c r="I1268"/>
      <c r="J1268"/>
      <c r="K1268"/>
      <c r="L1268"/>
      <c r="M1268"/>
      <c r="N1268"/>
      <c r="O1268"/>
      <c r="P1268"/>
      <c r="Q1268"/>
      <c r="R1268"/>
      <c r="S1268"/>
    </row>
    <row r="1269" spans="1:19" ht="15" x14ac:dyDescent="0.2">
      <c r="A1269"/>
      <c r="B1269"/>
      <c r="C1269"/>
      <c r="D1269"/>
      <c r="E1269"/>
      <c r="F1269"/>
      <c r="G1269"/>
      <c r="H1269"/>
      <c r="I1269"/>
      <c r="J1269"/>
      <c r="K1269"/>
      <c r="L1269"/>
      <c r="M1269"/>
      <c r="N1269"/>
      <c r="O1269"/>
      <c r="P1269"/>
      <c r="Q1269"/>
      <c r="R1269"/>
      <c r="S1269"/>
    </row>
    <row r="1270" spans="1:19" ht="15" x14ac:dyDescent="0.2">
      <c r="A1270"/>
      <c r="B1270"/>
      <c r="C1270"/>
      <c r="D1270"/>
      <c r="E1270"/>
      <c r="F1270"/>
      <c r="G1270"/>
      <c r="H1270"/>
      <c r="I1270"/>
      <c r="J1270"/>
      <c r="K1270"/>
      <c r="L1270"/>
      <c r="M1270"/>
      <c r="N1270"/>
      <c r="O1270"/>
      <c r="P1270"/>
      <c r="Q1270"/>
      <c r="R1270"/>
      <c r="S1270"/>
    </row>
    <row r="1271" spans="1:19" ht="15" x14ac:dyDescent="0.2">
      <c r="A1271"/>
      <c r="B1271"/>
      <c r="C1271"/>
      <c r="D1271"/>
      <c r="E1271"/>
      <c r="F1271"/>
      <c r="G1271"/>
      <c r="H1271"/>
      <c r="I1271"/>
      <c r="J1271"/>
      <c r="K1271"/>
      <c r="L1271"/>
      <c r="M1271"/>
      <c r="N1271"/>
      <c r="O1271"/>
      <c r="P1271"/>
      <c r="Q1271"/>
      <c r="R1271"/>
      <c r="S1271"/>
    </row>
    <row r="1272" spans="1:19" ht="15" x14ac:dyDescent="0.2">
      <c r="A1272"/>
      <c r="B1272"/>
      <c r="C1272"/>
      <c r="D1272"/>
      <c r="E1272"/>
      <c r="F1272"/>
      <c r="G1272"/>
      <c r="H1272"/>
      <c r="I1272"/>
      <c r="J1272"/>
      <c r="K1272"/>
      <c r="L1272"/>
      <c r="M1272"/>
      <c r="N1272"/>
      <c r="O1272"/>
      <c r="P1272"/>
      <c r="Q1272"/>
      <c r="R1272"/>
      <c r="S1272"/>
    </row>
    <row r="1273" spans="1:19" ht="15" x14ac:dyDescent="0.2">
      <c r="A1273"/>
      <c r="B1273"/>
      <c r="C1273"/>
      <c r="D1273"/>
      <c r="E1273"/>
      <c r="F1273"/>
      <c r="G1273"/>
      <c r="H1273"/>
      <c r="I1273"/>
      <c r="J1273"/>
      <c r="K1273"/>
      <c r="L1273"/>
      <c r="M1273"/>
      <c r="N1273"/>
      <c r="O1273"/>
      <c r="P1273"/>
      <c r="Q1273"/>
      <c r="R1273"/>
      <c r="S1273"/>
    </row>
    <row r="1274" spans="1:19" ht="15" x14ac:dyDescent="0.2">
      <c r="A1274"/>
      <c r="B1274"/>
      <c r="C1274"/>
      <c r="D1274"/>
      <c r="E1274"/>
      <c r="F1274"/>
      <c r="G1274"/>
      <c r="H1274"/>
      <c r="I1274"/>
      <c r="J1274"/>
      <c r="K1274"/>
      <c r="L1274"/>
      <c r="M1274"/>
      <c r="N1274"/>
      <c r="O1274"/>
      <c r="P1274"/>
      <c r="Q1274"/>
      <c r="R1274"/>
      <c r="S1274"/>
    </row>
    <row r="1275" spans="1:19" ht="15" x14ac:dyDescent="0.2">
      <c r="A1275"/>
      <c r="B1275"/>
      <c r="C1275"/>
      <c r="D1275"/>
      <c r="E1275"/>
      <c r="F1275"/>
      <c r="G1275"/>
      <c r="H1275"/>
      <c r="I1275"/>
      <c r="J1275"/>
      <c r="K1275"/>
      <c r="L1275"/>
      <c r="M1275"/>
      <c r="N1275"/>
      <c r="O1275"/>
      <c r="P1275"/>
      <c r="Q1275"/>
      <c r="R1275"/>
      <c r="S1275"/>
    </row>
    <row r="1276" spans="1:19" ht="15" x14ac:dyDescent="0.2">
      <c r="A1276"/>
      <c r="B1276"/>
      <c r="C1276"/>
      <c r="D1276"/>
      <c r="E1276"/>
      <c r="F1276"/>
      <c r="G1276"/>
      <c r="H1276"/>
      <c r="I1276"/>
      <c r="J1276"/>
      <c r="K1276"/>
      <c r="L1276"/>
      <c r="M1276"/>
      <c r="N1276"/>
      <c r="O1276"/>
      <c r="P1276"/>
      <c r="Q1276"/>
      <c r="R1276"/>
      <c r="S1276"/>
    </row>
    <row r="1277" spans="1:19" ht="15" x14ac:dyDescent="0.2">
      <c r="A1277"/>
      <c r="B1277"/>
      <c r="C1277"/>
      <c r="D1277"/>
      <c r="E1277"/>
      <c r="F1277"/>
      <c r="G1277"/>
      <c r="H1277"/>
      <c r="I1277"/>
      <c r="J1277"/>
      <c r="K1277"/>
      <c r="L1277"/>
      <c r="M1277"/>
      <c r="N1277"/>
      <c r="O1277"/>
      <c r="P1277"/>
      <c r="Q1277"/>
      <c r="R1277"/>
      <c r="S1277"/>
    </row>
    <row r="1278" spans="1:19" ht="15" x14ac:dyDescent="0.2">
      <c r="A1278"/>
      <c r="B1278"/>
      <c r="C1278"/>
      <c r="D1278"/>
      <c r="E1278"/>
      <c r="F1278"/>
      <c r="G1278"/>
      <c r="H1278"/>
      <c r="I1278"/>
      <c r="J1278"/>
      <c r="K1278"/>
      <c r="L1278"/>
      <c r="M1278"/>
      <c r="N1278"/>
      <c r="O1278"/>
      <c r="P1278"/>
      <c r="Q1278"/>
      <c r="R1278"/>
      <c r="S1278"/>
    </row>
    <row r="1279" spans="1:19" ht="15" x14ac:dyDescent="0.2">
      <c r="A1279"/>
      <c r="B1279"/>
      <c r="C1279"/>
      <c r="D1279"/>
      <c r="E1279"/>
      <c r="F1279"/>
      <c r="G1279"/>
      <c r="H1279"/>
      <c r="I1279"/>
      <c r="J1279"/>
      <c r="K1279"/>
      <c r="L1279"/>
      <c r="M1279"/>
      <c r="N1279"/>
      <c r="O1279"/>
      <c r="P1279"/>
      <c r="Q1279"/>
      <c r="R1279"/>
      <c r="S1279"/>
    </row>
    <row r="1280" spans="1:19" ht="15" x14ac:dyDescent="0.2">
      <c r="A1280"/>
      <c r="B1280"/>
      <c r="C1280"/>
      <c r="D1280"/>
      <c r="E1280"/>
      <c r="F1280"/>
      <c r="G1280"/>
      <c r="H1280"/>
      <c r="I1280"/>
      <c r="J1280"/>
      <c r="K1280"/>
      <c r="L1280"/>
      <c r="M1280"/>
      <c r="N1280"/>
      <c r="O1280"/>
      <c r="P1280"/>
      <c r="Q1280"/>
      <c r="R1280"/>
      <c r="S1280"/>
    </row>
    <row r="1281" spans="1:19" ht="15" x14ac:dyDescent="0.2">
      <c r="A1281"/>
      <c r="B1281"/>
      <c r="C1281"/>
      <c r="D1281"/>
      <c r="E1281"/>
      <c r="F1281"/>
      <c r="G1281"/>
      <c r="H1281"/>
      <c r="I1281"/>
      <c r="J1281"/>
      <c r="K1281"/>
      <c r="L1281"/>
      <c r="M1281"/>
      <c r="N1281"/>
      <c r="O1281"/>
      <c r="P1281"/>
      <c r="Q1281"/>
      <c r="R1281"/>
      <c r="S1281"/>
    </row>
    <row r="1282" spans="1:19" ht="15" x14ac:dyDescent="0.2">
      <c r="A1282"/>
      <c r="B1282"/>
      <c r="C1282"/>
      <c r="D1282"/>
      <c r="E1282"/>
      <c r="F1282"/>
      <c r="G1282"/>
      <c r="H1282"/>
      <c r="I1282"/>
      <c r="J1282"/>
      <c r="K1282"/>
      <c r="L1282"/>
      <c r="M1282"/>
      <c r="N1282"/>
      <c r="O1282"/>
      <c r="P1282"/>
      <c r="Q1282"/>
      <c r="R1282"/>
      <c r="S1282"/>
    </row>
    <row r="1283" spans="1:19" ht="15" x14ac:dyDescent="0.2">
      <c r="A1283"/>
      <c r="B1283"/>
      <c r="C1283"/>
      <c r="D1283"/>
      <c r="E1283"/>
      <c r="F1283"/>
      <c r="G1283"/>
      <c r="H1283"/>
      <c r="I1283"/>
      <c r="J1283"/>
      <c r="K1283"/>
      <c r="L1283"/>
      <c r="M1283"/>
      <c r="N1283"/>
      <c r="O1283"/>
      <c r="P1283"/>
      <c r="Q1283"/>
      <c r="R1283"/>
      <c r="S1283"/>
    </row>
    <row r="1284" spans="1:19" ht="15" x14ac:dyDescent="0.2">
      <c r="A1284"/>
      <c r="B1284"/>
      <c r="C1284"/>
      <c r="D1284"/>
      <c r="E1284"/>
      <c r="F1284"/>
      <c r="G1284"/>
      <c r="H1284"/>
      <c r="I1284"/>
      <c r="J1284"/>
      <c r="K1284"/>
      <c r="L1284"/>
      <c r="M1284"/>
      <c r="N1284"/>
      <c r="O1284"/>
      <c r="P1284"/>
      <c r="Q1284"/>
      <c r="R1284"/>
      <c r="S1284"/>
    </row>
    <row r="1285" spans="1:19" ht="15" x14ac:dyDescent="0.2">
      <c r="A1285"/>
      <c r="B1285"/>
      <c r="C1285"/>
      <c r="D1285"/>
      <c r="E1285"/>
      <c r="F1285"/>
      <c r="G1285"/>
      <c r="H1285"/>
      <c r="I1285"/>
      <c r="J1285"/>
      <c r="K1285"/>
      <c r="L1285"/>
      <c r="M1285"/>
      <c r="N1285"/>
      <c r="O1285"/>
      <c r="P1285"/>
      <c r="Q1285"/>
      <c r="R1285"/>
      <c r="S1285"/>
    </row>
    <row r="1286" spans="1:19" ht="15" x14ac:dyDescent="0.2">
      <c r="A1286"/>
      <c r="B1286"/>
      <c r="C1286"/>
      <c r="D1286"/>
      <c r="E1286"/>
      <c r="F1286"/>
      <c r="G1286"/>
      <c r="H1286"/>
      <c r="I1286"/>
      <c r="J1286"/>
      <c r="K1286"/>
      <c r="L1286"/>
      <c r="M1286"/>
      <c r="N1286"/>
      <c r="O1286"/>
      <c r="P1286"/>
      <c r="Q1286"/>
      <c r="R1286"/>
      <c r="S1286"/>
    </row>
    <row r="1287" spans="1:19" ht="15" x14ac:dyDescent="0.2">
      <c r="A1287"/>
      <c r="B1287"/>
      <c r="C1287"/>
      <c r="D1287"/>
      <c r="E1287"/>
      <c r="F1287"/>
      <c r="G1287"/>
      <c r="H1287"/>
      <c r="I1287"/>
      <c r="J1287"/>
      <c r="K1287"/>
      <c r="L1287"/>
      <c r="M1287"/>
      <c r="N1287"/>
      <c r="O1287"/>
      <c r="P1287"/>
      <c r="Q1287"/>
      <c r="R1287"/>
      <c r="S1287"/>
    </row>
    <row r="1288" spans="1:19" ht="15" x14ac:dyDescent="0.2">
      <c r="A1288"/>
      <c r="B1288"/>
      <c r="C1288"/>
      <c r="D1288"/>
      <c r="E1288"/>
      <c r="F1288"/>
      <c r="G1288"/>
      <c r="H1288"/>
      <c r="I1288"/>
      <c r="J1288"/>
      <c r="K1288"/>
      <c r="L1288"/>
      <c r="M1288"/>
      <c r="N1288"/>
      <c r="O1288"/>
      <c r="P1288"/>
      <c r="Q1288"/>
      <c r="R1288"/>
      <c r="S1288"/>
    </row>
    <row r="1289" spans="1:19" ht="15" x14ac:dyDescent="0.2">
      <c r="A1289"/>
      <c r="B1289"/>
      <c r="C1289"/>
      <c r="D1289"/>
      <c r="E1289"/>
      <c r="F1289"/>
      <c r="G1289"/>
      <c r="H1289"/>
      <c r="I1289"/>
      <c r="J1289"/>
      <c r="K1289"/>
      <c r="L1289"/>
      <c r="M1289"/>
      <c r="N1289"/>
      <c r="O1289"/>
      <c r="P1289"/>
      <c r="Q1289"/>
      <c r="R1289"/>
      <c r="S1289"/>
    </row>
    <row r="1290" spans="1:19" ht="15" x14ac:dyDescent="0.2">
      <c r="A1290"/>
      <c r="B1290"/>
      <c r="C1290"/>
      <c r="D1290"/>
      <c r="E1290"/>
      <c r="F1290"/>
      <c r="G1290"/>
      <c r="H1290"/>
      <c r="I1290"/>
      <c r="J1290"/>
      <c r="K1290"/>
      <c r="L1290"/>
      <c r="M1290"/>
      <c r="N1290"/>
      <c r="O1290"/>
      <c r="P1290"/>
      <c r="Q1290"/>
      <c r="R1290"/>
      <c r="S1290"/>
    </row>
    <row r="1291" spans="1:19" ht="15" x14ac:dyDescent="0.2">
      <c r="A1291"/>
      <c r="B1291"/>
      <c r="C1291"/>
      <c r="D1291"/>
      <c r="E1291"/>
      <c r="F1291"/>
      <c r="G1291"/>
      <c r="H1291"/>
      <c r="I1291"/>
      <c r="J1291"/>
      <c r="K1291"/>
      <c r="L1291"/>
      <c r="M1291"/>
      <c r="N1291"/>
      <c r="O1291"/>
      <c r="P1291"/>
      <c r="Q1291"/>
      <c r="R1291"/>
      <c r="S1291"/>
    </row>
    <row r="1292" spans="1:19" ht="15" x14ac:dyDescent="0.2">
      <c r="A1292"/>
      <c r="B1292"/>
      <c r="C1292"/>
      <c r="D1292"/>
      <c r="E1292"/>
      <c r="F1292"/>
      <c r="G1292"/>
      <c r="H1292"/>
      <c r="I1292"/>
      <c r="J1292"/>
      <c r="K1292"/>
      <c r="L1292"/>
      <c r="M1292"/>
      <c r="N1292"/>
      <c r="O1292"/>
      <c r="P1292"/>
      <c r="Q1292"/>
      <c r="R1292"/>
      <c r="S1292"/>
    </row>
    <row r="1293" spans="1:19" ht="15" x14ac:dyDescent="0.2">
      <c r="A1293"/>
      <c r="B1293"/>
      <c r="C1293"/>
      <c r="D1293"/>
      <c r="E1293"/>
      <c r="F1293"/>
      <c r="G1293"/>
      <c r="H1293"/>
      <c r="I1293"/>
      <c r="J1293"/>
      <c r="K1293"/>
      <c r="L1293"/>
      <c r="M1293"/>
      <c r="N1293"/>
      <c r="O1293"/>
      <c r="P1293"/>
      <c r="Q1293"/>
      <c r="R1293"/>
      <c r="S1293"/>
    </row>
    <row r="1294" spans="1:19" ht="15" x14ac:dyDescent="0.2">
      <c r="A1294"/>
      <c r="B1294"/>
      <c r="C1294"/>
      <c r="D1294"/>
      <c r="E1294"/>
      <c r="F1294"/>
      <c r="G1294"/>
      <c r="H1294"/>
      <c r="I1294"/>
      <c r="J1294"/>
      <c r="K1294"/>
      <c r="L1294"/>
      <c r="M1294"/>
      <c r="N1294"/>
      <c r="O1294"/>
      <c r="P1294"/>
      <c r="Q1294"/>
      <c r="R1294"/>
      <c r="S1294"/>
    </row>
    <row r="1295" spans="1:19" ht="15" x14ac:dyDescent="0.2">
      <c r="A1295"/>
      <c r="B1295"/>
      <c r="C1295"/>
      <c r="D1295"/>
      <c r="E1295"/>
      <c r="F1295"/>
      <c r="G1295"/>
      <c r="H1295"/>
      <c r="I1295"/>
      <c r="J1295"/>
      <c r="K1295"/>
      <c r="L1295"/>
      <c r="M1295"/>
      <c r="N1295"/>
      <c r="O1295"/>
      <c r="P1295"/>
      <c r="Q1295"/>
      <c r="R1295"/>
      <c r="S1295"/>
    </row>
    <row r="1296" spans="1:19" ht="15" x14ac:dyDescent="0.2">
      <c r="A1296"/>
      <c r="B1296"/>
      <c r="C1296"/>
      <c r="D1296"/>
      <c r="E1296"/>
      <c r="F1296"/>
      <c r="G1296"/>
      <c r="H1296"/>
      <c r="I1296"/>
      <c r="J1296"/>
      <c r="K1296"/>
      <c r="L1296"/>
      <c r="M1296"/>
      <c r="N1296"/>
      <c r="O1296"/>
      <c r="P1296"/>
      <c r="Q1296"/>
      <c r="R1296"/>
      <c r="S1296"/>
    </row>
    <row r="1297" spans="1:19" ht="15" x14ac:dyDescent="0.2">
      <c r="A1297"/>
      <c r="B1297"/>
      <c r="C1297"/>
      <c r="D1297"/>
      <c r="E1297"/>
      <c r="F1297"/>
      <c r="G1297"/>
      <c r="H1297"/>
      <c r="I1297"/>
      <c r="J1297"/>
      <c r="K1297"/>
      <c r="L1297"/>
      <c r="M1297"/>
      <c r="N1297"/>
      <c r="O1297"/>
      <c r="P1297"/>
      <c r="Q1297"/>
      <c r="R1297"/>
      <c r="S1297"/>
    </row>
    <row r="1298" spans="1:19" ht="15" x14ac:dyDescent="0.2">
      <c r="A1298"/>
      <c r="B1298"/>
      <c r="C1298"/>
      <c r="D1298"/>
      <c r="E1298"/>
      <c r="F1298"/>
      <c r="G1298"/>
      <c r="H1298"/>
      <c r="I1298"/>
      <c r="J1298"/>
      <c r="K1298"/>
      <c r="L1298"/>
      <c r="M1298"/>
      <c r="N1298"/>
      <c r="O1298"/>
      <c r="P1298"/>
      <c r="Q1298"/>
      <c r="R1298"/>
      <c r="S1298"/>
    </row>
    <row r="1299" spans="1:19" ht="15" x14ac:dyDescent="0.2">
      <c r="A1299"/>
      <c r="B1299"/>
      <c r="C1299"/>
      <c r="D1299"/>
      <c r="E1299"/>
      <c r="F1299"/>
      <c r="G1299"/>
      <c r="H1299"/>
      <c r="I1299"/>
      <c r="J1299"/>
      <c r="K1299"/>
      <c r="L1299"/>
      <c r="M1299"/>
      <c r="N1299"/>
      <c r="O1299"/>
      <c r="P1299"/>
      <c r="Q1299"/>
      <c r="R1299"/>
      <c r="S1299"/>
    </row>
    <row r="1300" spans="1:19" ht="15" x14ac:dyDescent="0.2">
      <c r="A1300"/>
      <c r="B1300"/>
      <c r="C1300"/>
      <c r="D1300"/>
      <c r="E1300"/>
      <c r="F1300"/>
      <c r="G1300"/>
      <c r="H1300"/>
      <c r="I1300"/>
      <c r="J1300"/>
      <c r="K1300"/>
      <c r="L1300"/>
      <c r="M1300"/>
      <c r="N1300"/>
      <c r="O1300"/>
      <c r="P1300"/>
      <c r="Q1300"/>
      <c r="R1300"/>
      <c r="S1300"/>
    </row>
    <row r="1301" spans="1:19" ht="15" x14ac:dyDescent="0.2">
      <c r="A1301"/>
      <c r="B1301"/>
      <c r="C1301"/>
      <c r="D1301"/>
      <c r="E1301"/>
      <c r="F1301"/>
      <c r="G1301"/>
      <c r="H1301"/>
      <c r="I1301"/>
      <c r="J1301"/>
      <c r="K1301"/>
      <c r="L1301"/>
      <c r="M1301"/>
      <c r="N1301"/>
      <c r="O1301"/>
      <c r="P1301"/>
      <c r="Q1301"/>
      <c r="R1301"/>
      <c r="S1301"/>
    </row>
    <row r="1302" spans="1:19" ht="15" x14ac:dyDescent="0.2">
      <c r="A1302"/>
      <c r="B1302"/>
      <c r="C1302"/>
      <c r="D1302"/>
      <c r="E1302"/>
      <c r="F1302"/>
      <c r="G1302"/>
      <c r="H1302"/>
      <c r="I1302"/>
      <c r="J1302"/>
      <c r="K1302"/>
      <c r="L1302"/>
      <c r="M1302"/>
      <c r="N1302"/>
      <c r="O1302"/>
      <c r="P1302"/>
      <c r="Q1302"/>
      <c r="R1302"/>
      <c r="S1302"/>
    </row>
    <row r="1303" spans="1:19" ht="15" x14ac:dyDescent="0.2">
      <c r="A1303"/>
      <c r="B1303"/>
      <c r="C1303"/>
      <c r="D1303"/>
      <c r="E1303"/>
      <c r="F1303"/>
      <c r="G1303"/>
      <c r="H1303"/>
      <c r="I1303"/>
      <c r="J1303"/>
      <c r="K1303"/>
      <c r="L1303"/>
      <c r="M1303"/>
      <c r="N1303"/>
      <c r="O1303"/>
      <c r="P1303"/>
      <c r="Q1303"/>
      <c r="R1303"/>
      <c r="S1303"/>
    </row>
    <row r="1304" spans="1:19" ht="15" x14ac:dyDescent="0.2">
      <c r="A1304"/>
      <c r="B1304"/>
      <c r="C1304"/>
      <c r="D1304"/>
      <c r="E1304"/>
      <c r="F1304"/>
      <c r="G1304"/>
      <c r="H1304"/>
      <c r="I1304"/>
      <c r="J1304"/>
      <c r="K1304"/>
      <c r="L1304"/>
      <c r="M1304"/>
      <c r="N1304"/>
      <c r="O1304"/>
      <c r="P1304"/>
      <c r="Q1304"/>
      <c r="R1304"/>
      <c r="S1304"/>
    </row>
    <row r="1305" spans="1:19" ht="15" x14ac:dyDescent="0.2">
      <c r="A1305"/>
      <c r="B1305"/>
      <c r="C1305"/>
      <c r="D1305"/>
      <c r="E1305"/>
      <c r="F1305"/>
      <c r="G1305"/>
      <c r="H1305"/>
      <c r="I1305"/>
      <c r="J1305"/>
      <c r="K1305"/>
      <c r="L1305"/>
      <c r="M1305"/>
      <c r="N1305"/>
      <c r="O1305"/>
      <c r="P1305"/>
      <c r="Q1305"/>
      <c r="R1305"/>
      <c r="S1305"/>
    </row>
    <row r="1306" spans="1:19" ht="15" x14ac:dyDescent="0.2">
      <c r="A1306"/>
      <c r="B1306"/>
      <c r="C1306"/>
      <c r="D1306"/>
      <c r="E1306"/>
      <c r="F1306"/>
      <c r="G1306"/>
      <c r="H1306"/>
      <c r="I1306"/>
      <c r="J1306"/>
      <c r="K1306"/>
      <c r="L1306"/>
      <c r="M1306"/>
      <c r="N1306"/>
      <c r="O1306"/>
      <c r="P1306"/>
      <c r="Q1306"/>
      <c r="R1306"/>
      <c r="S1306"/>
    </row>
    <row r="1307" spans="1:19" ht="15" x14ac:dyDescent="0.2">
      <c r="A1307"/>
      <c r="B1307"/>
      <c r="C1307"/>
      <c r="D1307"/>
      <c r="E1307"/>
      <c r="F1307"/>
      <c r="G1307"/>
      <c r="H1307"/>
      <c r="I1307"/>
      <c r="J1307"/>
      <c r="K1307"/>
      <c r="L1307"/>
      <c r="M1307"/>
      <c r="N1307"/>
      <c r="O1307"/>
      <c r="P1307"/>
      <c r="Q1307"/>
      <c r="R1307"/>
      <c r="S1307"/>
    </row>
    <row r="1308" spans="1:19" ht="15" x14ac:dyDescent="0.2">
      <c r="A1308"/>
      <c r="B1308"/>
      <c r="C1308"/>
      <c r="D1308"/>
      <c r="E1308"/>
      <c r="F1308"/>
      <c r="G1308"/>
      <c r="H1308"/>
      <c r="I1308"/>
      <c r="J1308"/>
      <c r="K1308"/>
      <c r="L1308"/>
      <c r="M1308"/>
      <c r="N1308"/>
      <c r="O1308"/>
      <c r="P1308"/>
      <c r="Q1308"/>
      <c r="R1308"/>
      <c r="S1308"/>
    </row>
    <row r="1309" spans="1:19" ht="15" x14ac:dyDescent="0.2">
      <c r="A1309"/>
      <c r="B1309"/>
      <c r="C1309"/>
      <c r="D1309"/>
      <c r="E1309"/>
      <c r="F1309"/>
      <c r="G1309"/>
      <c r="H1309"/>
      <c r="I1309"/>
      <c r="J1309"/>
      <c r="K1309"/>
      <c r="L1309"/>
      <c r="M1309"/>
      <c r="N1309"/>
      <c r="O1309"/>
      <c r="P1309"/>
      <c r="Q1309"/>
      <c r="R1309"/>
      <c r="S1309"/>
    </row>
    <row r="1310" spans="1:19" ht="15" x14ac:dyDescent="0.2">
      <c r="A1310"/>
      <c r="B1310"/>
      <c r="C1310"/>
      <c r="D1310"/>
      <c r="E1310"/>
      <c r="F1310"/>
      <c r="G1310"/>
      <c r="H1310"/>
      <c r="I1310"/>
      <c r="J1310"/>
      <c r="K1310"/>
      <c r="L1310"/>
      <c r="M1310"/>
      <c r="N1310"/>
      <c r="O1310"/>
      <c r="P1310"/>
      <c r="Q1310"/>
      <c r="R1310"/>
      <c r="S1310"/>
    </row>
    <row r="1311" spans="1:19" ht="15" x14ac:dyDescent="0.2">
      <c r="A1311"/>
      <c r="B1311"/>
      <c r="C1311"/>
      <c r="D1311"/>
      <c r="E1311"/>
      <c r="F1311"/>
      <c r="G1311"/>
      <c r="H1311"/>
      <c r="I1311"/>
      <c r="J1311"/>
      <c r="K1311"/>
      <c r="L1311"/>
      <c r="M1311"/>
      <c r="N1311"/>
      <c r="O1311"/>
      <c r="P1311"/>
      <c r="Q1311"/>
      <c r="R1311"/>
      <c r="S1311"/>
    </row>
    <row r="1312" spans="1:19" ht="15" x14ac:dyDescent="0.2">
      <c r="A1312"/>
      <c r="B1312"/>
      <c r="C1312"/>
      <c r="D1312"/>
      <c r="E1312"/>
      <c r="F1312"/>
      <c r="G1312"/>
      <c r="H1312"/>
      <c r="I1312"/>
      <c r="J1312"/>
      <c r="K1312"/>
      <c r="L1312"/>
      <c r="M1312"/>
      <c r="N1312"/>
      <c r="O1312"/>
      <c r="P1312"/>
      <c r="Q1312"/>
      <c r="R1312"/>
      <c r="S1312"/>
    </row>
    <row r="1313" spans="1:19" ht="15" x14ac:dyDescent="0.2">
      <c r="A1313"/>
      <c r="B1313"/>
      <c r="C1313"/>
      <c r="D1313"/>
      <c r="E1313"/>
      <c r="F1313"/>
      <c r="G1313"/>
      <c r="H1313"/>
      <c r="I1313"/>
      <c r="J1313"/>
      <c r="K1313"/>
      <c r="L1313"/>
      <c r="M1313"/>
      <c r="N1313"/>
      <c r="O1313"/>
      <c r="P1313"/>
      <c r="Q1313"/>
      <c r="R1313"/>
      <c r="S1313"/>
    </row>
    <row r="1314" spans="1:19" ht="15" x14ac:dyDescent="0.2">
      <c r="A1314"/>
      <c r="B1314"/>
      <c r="C1314"/>
      <c r="D1314"/>
      <c r="E1314"/>
      <c r="F1314"/>
      <c r="G1314"/>
      <c r="H1314"/>
      <c r="I1314"/>
      <c r="J1314"/>
      <c r="K1314"/>
      <c r="L1314"/>
      <c r="M1314"/>
      <c r="N1314"/>
      <c r="O1314"/>
      <c r="P1314"/>
      <c r="Q1314"/>
      <c r="R1314"/>
      <c r="S1314"/>
    </row>
    <row r="1315" spans="1:19" ht="15" x14ac:dyDescent="0.2">
      <c r="A1315"/>
      <c r="B1315"/>
      <c r="C1315"/>
      <c r="D1315"/>
      <c r="E1315"/>
      <c r="F1315"/>
      <c r="G1315"/>
      <c r="H1315"/>
      <c r="I1315"/>
      <c r="J1315"/>
      <c r="K1315"/>
      <c r="L1315"/>
      <c r="M1315"/>
      <c r="N1315"/>
      <c r="O1315"/>
      <c r="P1315"/>
      <c r="Q1315"/>
      <c r="R1315"/>
      <c r="S1315"/>
    </row>
    <row r="1316" spans="1:19" ht="15" x14ac:dyDescent="0.2">
      <c r="A1316"/>
      <c r="B1316"/>
      <c r="C1316"/>
      <c r="D1316"/>
      <c r="E1316"/>
      <c r="F1316"/>
      <c r="G1316"/>
      <c r="H1316"/>
      <c r="I1316"/>
      <c r="J1316"/>
      <c r="K1316"/>
      <c r="L1316"/>
      <c r="M1316"/>
      <c r="N1316"/>
      <c r="O1316"/>
      <c r="P1316"/>
      <c r="Q1316"/>
      <c r="R1316"/>
      <c r="S1316"/>
    </row>
    <row r="1317" spans="1:19" ht="15" x14ac:dyDescent="0.2">
      <c r="A1317"/>
      <c r="B1317"/>
      <c r="C1317"/>
      <c r="D1317"/>
      <c r="E1317"/>
      <c r="F1317"/>
      <c r="G1317"/>
      <c r="H1317"/>
      <c r="I1317"/>
      <c r="J1317"/>
      <c r="K1317"/>
      <c r="L1317"/>
      <c r="M1317"/>
      <c r="N1317"/>
      <c r="O1317"/>
      <c r="P1317"/>
      <c r="Q1317"/>
      <c r="R1317"/>
      <c r="S1317"/>
    </row>
    <row r="1318" spans="1:19" ht="15" x14ac:dyDescent="0.2">
      <c r="A1318"/>
      <c r="B1318"/>
      <c r="C1318"/>
      <c r="D1318"/>
      <c r="E1318"/>
      <c r="F1318"/>
      <c r="G1318"/>
      <c r="H1318"/>
      <c r="I1318"/>
      <c r="J1318"/>
      <c r="K1318"/>
      <c r="L1318"/>
      <c r="M1318"/>
      <c r="N1318"/>
      <c r="O1318"/>
      <c r="P1318"/>
      <c r="Q1318"/>
      <c r="R1318"/>
      <c r="S1318"/>
    </row>
    <row r="1319" spans="1:19" ht="15" x14ac:dyDescent="0.2">
      <c r="A1319"/>
      <c r="B1319"/>
      <c r="C1319"/>
      <c r="D1319"/>
      <c r="E1319"/>
      <c r="F1319"/>
      <c r="G1319"/>
      <c r="H1319"/>
      <c r="I1319"/>
      <c r="J1319"/>
      <c r="K1319"/>
      <c r="L1319"/>
      <c r="M1319"/>
      <c r="N1319"/>
      <c r="O1319"/>
      <c r="P1319"/>
      <c r="Q1319"/>
      <c r="R1319"/>
      <c r="S1319"/>
    </row>
    <row r="1320" spans="1:19" ht="15" x14ac:dyDescent="0.2">
      <c r="A1320"/>
      <c r="B1320"/>
      <c r="C1320"/>
      <c r="D1320"/>
      <c r="E1320"/>
      <c r="F1320"/>
      <c r="G1320"/>
      <c r="H1320"/>
      <c r="I1320"/>
      <c r="J1320"/>
      <c r="K1320"/>
      <c r="L1320"/>
      <c r="M1320"/>
      <c r="N1320"/>
      <c r="O1320"/>
      <c r="P1320"/>
      <c r="Q1320"/>
      <c r="R1320"/>
      <c r="S1320"/>
    </row>
    <row r="1321" spans="1:19" ht="15" x14ac:dyDescent="0.2">
      <c r="A1321"/>
      <c r="B1321"/>
      <c r="C1321"/>
      <c r="D1321"/>
      <c r="E1321"/>
      <c r="F1321"/>
      <c r="G1321"/>
      <c r="H1321"/>
      <c r="I1321"/>
      <c r="J1321"/>
      <c r="K1321"/>
      <c r="L1321"/>
      <c r="M1321"/>
      <c r="N1321"/>
      <c r="O1321"/>
      <c r="P1321"/>
      <c r="Q1321"/>
      <c r="R1321"/>
      <c r="S1321"/>
    </row>
    <row r="1322" spans="1:19" ht="15" x14ac:dyDescent="0.2">
      <c r="A1322"/>
      <c r="B1322"/>
      <c r="C1322"/>
      <c r="D1322"/>
      <c r="E1322"/>
      <c r="F1322"/>
      <c r="G1322"/>
      <c r="H1322"/>
      <c r="I1322"/>
      <c r="J1322"/>
      <c r="K1322"/>
      <c r="L1322"/>
      <c r="M1322"/>
      <c r="N1322"/>
      <c r="O1322"/>
      <c r="P1322"/>
      <c r="Q1322"/>
      <c r="R1322"/>
      <c r="S1322"/>
    </row>
    <row r="1323" spans="1:19" ht="15" x14ac:dyDescent="0.2">
      <c r="A1323"/>
      <c r="B1323"/>
      <c r="C1323"/>
      <c r="D1323"/>
      <c r="E1323"/>
      <c r="F1323"/>
      <c r="G1323"/>
      <c r="H1323"/>
      <c r="I1323"/>
      <c r="J1323"/>
      <c r="K1323"/>
      <c r="L1323"/>
      <c r="M1323"/>
      <c r="N1323"/>
      <c r="O1323"/>
      <c r="P1323"/>
      <c r="Q1323"/>
      <c r="R1323"/>
      <c r="S1323"/>
    </row>
    <row r="1324" spans="1:19" ht="15" x14ac:dyDescent="0.2">
      <c r="A1324"/>
      <c r="B1324"/>
      <c r="C1324"/>
      <c r="D1324"/>
      <c r="E1324"/>
      <c r="F1324"/>
      <c r="G1324"/>
      <c r="H1324"/>
      <c r="I1324"/>
      <c r="J1324"/>
      <c r="K1324"/>
      <c r="L1324"/>
      <c r="M1324"/>
      <c r="N1324"/>
      <c r="O1324"/>
      <c r="P1324"/>
      <c r="Q1324"/>
      <c r="R1324"/>
      <c r="S1324"/>
    </row>
    <row r="1325" spans="1:19" ht="15" x14ac:dyDescent="0.2">
      <c r="A1325"/>
      <c r="B1325"/>
      <c r="C1325"/>
      <c r="D1325"/>
      <c r="E1325"/>
      <c r="F1325"/>
      <c r="G1325"/>
      <c r="H1325"/>
      <c r="I1325"/>
      <c r="J1325"/>
      <c r="K1325"/>
      <c r="L1325"/>
      <c r="M1325"/>
      <c r="N1325"/>
      <c r="O1325"/>
      <c r="P1325"/>
      <c r="Q1325"/>
      <c r="R1325"/>
      <c r="S1325"/>
    </row>
    <row r="1326" spans="1:19" ht="15" x14ac:dyDescent="0.2">
      <c r="A1326"/>
      <c r="B1326"/>
      <c r="C1326"/>
      <c r="D1326"/>
      <c r="E1326"/>
      <c r="F1326"/>
      <c r="G1326"/>
      <c r="H1326"/>
      <c r="I1326"/>
      <c r="J1326"/>
      <c r="K1326"/>
      <c r="L1326"/>
      <c r="M1326"/>
      <c r="N1326"/>
      <c r="O1326"/>
      <c r="P1326"/>
      <c r="Q1326"/>
      <c r="R1326"/>
      <c r="S1326"/>
    </row>
    <row r="1327" spans="1:19" ht="15" x14ac:dyDescent="0.2">
      <c r="A1327"/>
      <c r="B1327"/>
      <c r="C1327"/>
      <c r="D1327"/>
      <c r="E1327"/>
      <c r="F1327"/>
      <c r="G1327"/>
      <c r="H1327"/>
      <c r="I1327"/>
      <c r="J1327"/>
      <c r="K1327"/>
      <c r="L1327"/>
      <c r="M1327"/>
      <c r="N1327"/>
      <c r="O1327"/>
      <c r="P1327"/>
      <c r="Q1327"/>
      <c r="R1327"/>
      <c r="S1327"/>
    </row>
    <row r="1328" spans="1:19" ht="15" x14ac:dyDescent="0.2">
      <c r="A1328"/>
      <c r="B1328"/>
      <c r="C1328"/>
      <c r="D1328"/>
      <c r="E1328"/>
      <c r="F1328"/>
      <c r="G1328"/>
      <c r="H1328"/>
      <c r="I1328"/>
      <c r="J1328"/>
      <c r="K1328"/>
      <c r="L1328"/>
      <c r="M1328"/>
      <c r="N1328"/>
      <c r="O1328"/>
      <c r="P1328"/>
      <c r="Q1328"/>
      <c r="R1328"/>
      <c r="S1328"/>
    </row>
    <row r="1329" spans="1:19" ht="15" x14ac:dyDescent="0.2">
      <c r="A1329"/>
      <c r="B1329"/>
      <c r="C1329"/>
      <c r="D1329"/>
      <c r="E1329"/>
      <c r="F1329"/>
      <c r="G1329"/>
      <c r="H1329"/>
      <c r="I1329"/>
      <c r="J1329"/>
      <c r="K1329"/>
      <c r="L1329"/>
      <c r="M1329"/>
      <c r="N1329"/>
      <c r="O1329"/>
      <c r="P1329"/>
      <c r="Q1329"/>
      <c r="R1329"/>
      <c r="S1329"/>
    </row>
    <row r="1330" spans="1:19" ht="15" x14ac:dyDescent="0.2">
      <c r="A1330"/>
      <c r="B1330"/>
      <c r="C1330"/>
      <c r="D1330"/>
      <c r="E1330"/>
      <c r="F1330"/>
      <c r="G1330"/>
      <c r="H1330"/>
      <c r="I1330"/>
      <c r="J1330"/>
      <c r="K1330"/>
      <c r="L1330"/>
      <c r="M1330"/>
      <c r="N1330"/>
      <c r="O1330"/>
      <c r="P1330"/>
      <c r="Q1330"/>
      <c r="R1330"/>
      <c r="S1330"/>
    </row>
    <row r="1331" spans="1:19" ht="15" x14ac:dyDescent="0.2">
      <c r="A1331"/>
      <c r="B1331"/>
      <c r="C1331"/>
      <c r="D1331"/>
      <c r="E1331"/>
      <c r="F1331"/>
      <c r="G1331"/>
      <c r="H1331"/>
      <c r="I1331"/>
      <c r="J1331"/>
      <c r="K1331"/>
      <c r="L1331"/>
      <c r="M1331"/>
      <c r="N1331"/>
      <c r="O1331"/>
      <c r="P1331"/>
      <c r="Q1331"/>
      <c r="R1331"/>
      <c r="S1331"/>
    </row>
    <row r="1332" spans="1:19" ht="15" x14ac:dyDescent="0.2">
      <c r="A1332"/>
      <c r="B1332"/>
      <c r="C1332"/>
      <c r="D1332"/>
      <c r="E1332"/>
      <c r="F1332"/>
      <c r="G1332"/>
      <c r="H1332"/>
      <c r="I1332"/>
      <c r="J1332"/>
      <c r="K1332"/>
      <c r="L1332"/>
      <c r="M1332"/>
      <c r="N1332"/>
      <c r="O1332"/>
      <c r="P1332"/>
      <c r="Q1332"/>
      <c r="R1332"/>
      <c r="S1332"/>
    </row>
    <row r="1333" spans="1:19" ht="15" x14ac:dyDescent="0.2">
      <c r="A1333"/>
      <c r="B1333"/>
      <c r="C1333"/>
      <c r="D1333"/>
      <c r="E1333"/>
      <c r="F1333"/>
      <c r="G1333"/>
      <c r="H1333"/>
      <c r="I1333"/>
      <c r="J1333"/>
      <c r="K1333"/>
      <c r="L1333"/>
      <c r="M1333"/>
      <c r="N1333"/>
      <c r="O1333"/>
      <c r="P1333"/>
      <c r="Q1333"/>
      <c r="R1333"/>
      <c r="S1333"/>
    </row>
    <row r="1334" spans="1:19" ht="15" x14ac:dyDescent="0.2">
      <c r="A1334"/>
      <c r="B1334"/>
      <c r="C1334"/>
      <c r="D1334"/>
      <c r="E1334"/>
      <c r="F1334"/>
      <c r="G1334"/>
      <c r="H1334"/>
      <c r="I1334"/>
      <c r="J1334"/>
      <c r="K1334"/>
      <c r="L1334"/>
      <c r="M1334"/>
      <c r="N1334"/>
      <c r="O1334"/>
      <c r="P1334"/>
      <c r="Q1334"/>
      <c r="R1334"/>
      <c r="S1334"/>
    </row>
    <row r="1335" spans="1:19" ht="15" x14ac:dyDescent="0.2">
      <c r="A1335"/>
      <c r="B1335"/>
      <c r="C1335"/>
      <c r="D1335"/>
      <c r="E1335"/>
      <c r="F1335"/>
      <c r="G1335"/>
      <c r="H1335"/>
      <c r="I1335"/>
      <c r="J1335"/>
      <c r="K1335"/>
      <c r="L1335"/>
      <c r="M1335"/>
      <c r="N1335"/>
      <c r="O1335"/>
      <c r="P1335"/>
      <c r="Q1335"/>
      <c r="R1335"/>
      <c r="S1335"/>
    </row>
    <row r="1336" spans="1:19" ht="15" x14ac:dyDescent="0.2">
      <c r="A1336"/>
      <c r="B1336"/>
      <c r="C1336"/>
      <c r="D1336"/>
      <c r="E1336"/>
      <c r="F1336"/>
      <c r="G1336"/>
      <c r="H1336"/>
      <c r="I1336"/>
      <c r="J1336"/>
      <c r="K1336"/>
      <c r="L1336"/>
      <c r="M1336"/>
      <c r="N1336"/>
      <c r="O1336"/>
      <c r="P1336"/>
      <c r="Q1336"/>
      <c r="R1336"/>
      <c r="S1336"/>
    </row>
    <row r="1337" spans="1:19" ht="15" x14ac:dyDescent="0.2">
      <c r="A1337"/>
      <c r="B1337"/>
      <c r="C1337"/>
      <c r="D1337"/>
      <c r="E1337"/>
      <c r="F1337"/>
      <c r="G1337"/>
      <c r="H1337"/>
      <c r="I1337"/>
      <c r="J1337"/>
      <c r="K1337"/>
      <c r="L1337"/>
      <c r="M1337"/>
      <c r="N1337"/>
      <c r="O1337"/>
      <c r="P1337"/>
      <c r="Q1337"/>
      <c r="R1337"/>
      <c r="S1337"/>
    </row>
    <row r="1338" spans="1:19" ht="15" x14ac:dyDescent="0.2">
      <c r="A1338"/>
      <c r="B1338"/>
      <c r="C1338"/>
      <c r="D1338"/>
      <c r="E1338"/>
      <c r="F1338"/>
      <c r="G1338"/>
      <c r="H1338"/>
      <c r="I1338"/>
      <c r="J1338"/>
      <c r="K1338"/>
      <c r="L1338"/>
      <c r="M1338"/>
      <c r="N1338"/>
      <c r="O1338"/>
      <c r="P1338"/>
      <c r="Q1338"/>
      <c r="R1338"/>
      <c r="S1338"/>
    </row>
    <row r="1339" spans="1:19" ht="15" x14ac:dyDescent="0.2">
      <c r="A1339"/>
      <c r="B1339"/>
      <c r="C1339"/>
      <c r="D1339"/>
      <c r="E1339"/>
      <c r="F1339"/>
      <c r="G1339"/>
      <c r="H1339"/>
      <c r="I1339"/>
      <c r="J1339"/>
      <c r="K1339"/>
      <c r="L1339"/>
      <c r="M1339"/>
      <c r="N1339"/>
      <c r="O1339"/>
      <c r="P1339"/>
      <c r="Q1339"/>
      <c r="R1339"/>
      <c r="S1339"/>
    </row>
    <row r="1340" spans="1:19" ht="15" x14ac:dyDescent="0.2">
      <c r="A1340"/>
      <c r="B1340"/>
      <c r="C1340"/>
      <c r="D1340"/>
      <c r="E1340"/>
      <c r="F1340"/>
      <c r="G1340"/>
      <c r="H1340"/>
      <c r="I1340"/>
      <c r="J1340"/>
      <c r="K1340"/>
      <c r="L1340"/>
      <c r="M1340"/>
      <c r="N1340"/>
      <c r="O1340"/>
      <c r="P1340"/>
      <c r="Q1340"/>
      <c r="R1340"/>
      <c r="S1340"/>
    </row>
    <row r="1341" spans="1:19" ht="15" x14ac:dyDescent="0.2">
      <c r="A1341"/>
      <c r="B1341"/>
      <c r="C1341"/>
      <c r="D1341"/>
      <c r="E1341"/>
      <c r="F1341"/>
      <c r="G1341"/>
      <c r="H1341"/>
      <c r="I1341"/>
      <c r="J1341"/>
      <c r="K1341"/>
      <c r="L1341"/>
      <c r="M1341"/>
      <c r="N1341"/>
      <c r="O1341"/>
      <c r="P1341"/>
      <c r="Q1341"/>
      <c r="R1341"/>
      <c r="S1341"/>
    </row>
    <row r="1342" spans="1:19" ht="15" x14ac:dyDescent="0.2">
      <c r="A1342"/>
      <c r="B1342"/>
      <c r="C1342"/>
      <c r="D1342"/>
      <c r="E1342"/>
      <c r="F1342"/>
      <c r="G1342"/>
      <c r="H1342"/>
      <c r="I1342"/>
      <c r="J1342"/>
      <c r="K1342"/>
      <c r="L1342"/>
      <c r="M1342"/>
      <c r="N1342"/>
      <c r="O1342"/>
      <c r="P1342"/>
      <c r="Q1342"/>
      <c r="R1342"/>
      <c r="S1342"/>
    </row>
    <row r="1343" spans="1:19" ht="15" x14ac:dyDescent="0.2">
      <c r="A1343"/>
      <c r="B1343"/>
      <c r="C1343"/>
      <c r="D1343"/>
      <c r="E1343"/>
      <c r="F1343"/>
      <c r="G1343"/>
      <c r="H1343"/>
      <c r="I1343"/>
      <c r="J1343"/>
      <c r="K1343"/>
      <c r="L1343"/>
      <c r="M1343"/>
      <c r="N1343"/>
      <c r="O1343"/>
      <c r="P1343"/>
      <c r="Q1343"/>
      <c r="R1343"/>
      <c r="S1343"/>
    </row>
    <row r="1344" spans="1:19" ht="15" x14ac:dyDescent="0.2">
      <c r="A1344"/>
      <c r="B1344"/>
      <c r="C1344"/>
      <c r="D1344"/>
      <c r="E1344"/>
      <c r="F1344"/>
      <c r="G1344"/>
      <c r="H1344"/>
      <c r="I1344"/>
      <c r="J1344"/>
      <c r="K1344"/>
      <c r="L1344"/>
      <c r="M1344"/>
      <c r="N1344"/>
      <c r="O1344"/>
      <c r="P1344"/>
      <c r="Q1344"/>
      <c r="R1344"/>
      <c r="S1344"/>
    </row>
    <row r="1345" spans="1:19" ht="15" x14ac:dyDescent="0.2">
      <c r="A1345"/>
      <c r="B1345"/>
      <c r="C1345"/>
      <c r="D1345"/>
      <c r="E1345"/>
      <c r="F1345"/>
      <c r="G1345"/>
      <c r="H1345"/>
      <c r="I1345"/>
      <c r="J1345"/>
      <c r="K1345"/>
      <c r="L1345"/>
      <c r="M1345"/>
      <c r="N1345"/>
      <c r="O1345"/>
      <c r="P1345"/>
      <c r="Q1345"/>
      <c r="R1345"/>
      <c r="S1345"/>
    </row>
    <row r="1346" spans="1:19" ht="15" x14ac:dyDescent="0.2">
      <c r="A1346"/>
      <c r="B1346"/>
      <c r="C1346"/>
      <c r="D1346"/>
      <c r="E1346"/>
      <c r="F1346"/>
      <c r="G1346"/>
      <c r="H1346"/>
      <c r="I1346"/>
      <c r="J1346"/>
      <c r="K1346"/>
      <c r="L1346"/>
      <c r="M1346"/>
      <c r="N1346"/>
      <c r="O1346"/>
      <c r="P1346"/>
      <c r="Q1346"/>
      <c r="R1346"/>
      <c r="S1346"/>
    </row>
    <row r="1347" spans="1:19" ht="15" x14ac:dyDescent="0.2">
      <c r="A1347"/>
      <c r="B1347"/>
      <c r="C1347"/>
      <c r="D1347"/>
      <c r="E1347"/>
      <c r="F1347"/>
      <c r="G1347"/>
      <c r="H1347"/>
      <c r="I1347"/>
      <c r="J1347"/>
      <c r="K1347"/>
      <c r="L1347"/>
      <c r="M1347"/>
      <c r="N1347"/>
      <c r="O1347"/>
      <c r="P1347"/>
      <c r="Q1347"/>
      <c r="R1347"/>
      <c r="S1347"/>
    </row>
    <row r="1348" spans="1:19" ht="15" x14ac:dyDescent="0.2">
      <c r="A1348"/>
      <c r="B1348"/>
      <c r="C1348"/>
      <c r="D1348"/>
      <c r="E1348"/>
      <c r="F1348"/>
      <c r="G1348"/>
      <c r="H1348"/>
      <c r="I1348"/>
      <c r="J1348"/>
      <c r="K1348"/>
      <c r="L1348"/>
      <c r="M1348"/>
      <c r="N1348"/>
      <c r="O1348"/>
      <c r="P1348"/>
      <c r="Q1348"/>
      <c r="R1348"/>
      <c r="S1348"/>
    </row>
    <row r="1349" spans="1:19" ht="15" x14ac:dyDescent="0.2">
      <c r="A1349"/>
      <c r="B1349"/>
      <c r="C1349"/>
      <c r="D1349"/>
      <c r="E1349"/>
      <c r="F1349"/>
      <c r="G1349"/>
      <c r="H1349"/>
      <c r="I1349"/>
      <c r="J1349"/>
      <c r="K1349"/>
      <c r="L1349"/>
      <c r="M1349"/>
      <c r="N1349"/>
      <c r="O1349"/>
      <c r="P1349"/>
      <c r="Q1349"/>
      <c r="R1349"/>
      <c r="S1349"/>
    </row>
    <row r="1350" spans="1:19" ht="15" x14ac:dyDescent="0.2">
      <c r="A1350"/>
      <c r="B1350"/>
      <c r="C1350"/>
      <c r="D1350"/>
      <c r="E1350"/>
      <c r="F1350"/>
      <c r="G1350"/>
      <c r="H1350"/>
      <c r="I1350"/>
      <c r="J1350"/>
      <c r="K1350"/>
      <c r="L1350"/>
      <c r="M1350"/>
      <c r="N1350"/>
      <c r="O1350"/>
      <c r="P1350"/>
      <c r="Q1350"/>
      <c r="R1350"/>
      <c r="S1350"/>
    </row>
    <row r="1351" spans="1:19" ht="15" x14ac:dyDescent="0.2">
      <c r="A1351"/>
      <c r="B1351"/>
      <c r="C1351"/>
      <c r="D1351"/>
      <c r="E1351"/>
      <c r="F1351"/>
      <c r="G1351"/>
      <c r="H1351"/>
      <c r="I1351"/>
      <c r="J1351"/>
      <c r="K1351"/>
      <c r="L1351"/>
      <c r="M1351"/>
      <c r="N1351"/>
      <c r="O1351"/>
      <c r="P1351"/>
      <c r="Q1351"/>
      <c r="R1351"/>
      <c r="S1351"/>
    </row>
    <row r="1352" spans="1:19" ht="15" x14ac:dyDescent="0.2">
      <c r="A1352"/>
      <c r="B1352"/>
      <c r="C1352"/>
      <c r="D1352"/>
      <c r="E1352"/>
      <c r="F1352"/>
      <c r="G1352"/>
      <c r="H1352"/>
      <c r="I1352"/>
      <c r="J1352"/>
      <c r="K1352"/>
      <c r="L1352"/>
      <c r="M1352"/>
      <c r="N1352"/>
      <c r="O1352"/>
      <c r="P1352"/>
      <c r="Q1352"/>
      <c r="R1352"/>
      <c r="S1352"/>
    </row>
    <row r="1353" spans="1:19" ht="15" x14ac:dyDescent="0.2">
      <c r="A1353"/>
      <c r="B1353"/>
      <c r="C1353"/>
      <c r="D1353"/>
      <c r="E1353"/>
      <c r="F1353"/>
      <c r="G1353"/>
      <c r="H1353"/>
      <c r="I1353"/>
      <c r="J1353"/>
      <c r="K1353"/>
      <c r="L1353"/>
      <c r="M1353"/>
      <c r="N1353"/>
      <c r="O1353"/>
      <c r="P1353"/>
      <c r="Q1353"/>
      <c r="R1353"/>
      <c r="S1353"/>
    </row>
    <row r="1354" spans="1:19" ht="15" x14ac:dyDescent="0.2">
      <c r="A1354"/>
      <c r="B1354"/>
      <c r="C1354"/>
      <c r="D1354"/>
      <c r="E1354"/>
      <c r="F1354"/>
      <c r="G1354"/>
      <c r="H1354"/>
      <c r="I1354"/>
      <c r="J1354"/>
      <c r="K1354"/>
      <c r="L1354"/>
      <c r="M1354"/>
      <c r="N1354"/>
      <c r="O1354"/>
      <c r="P1354"/>
      <c r="Q1354"/>
      <c r="R1354"/>
      <c r="S1354"/>
    </row>
    <row r="1355" spans="1:19" ht="15" x14ac:dyDescent="0.2">
      <c r="A1355"/>
      <c r="B1355"/>
      <c r="C1355"/>
      <c r="D1355"/>
      <c r="E1355"/>
      <c r="F1355"/>
      <c r="G1355"/>
      <c r="H1355"/>
      <c r="I1355"/>
      <c r="J1355"/>
      <c r="K1355"/>
      <c r="L1355"/>
      <c r="M1355"/>
      <c r="N1355"/>
      <c r="O1355"/>
      <c r="P1355"/>
      <c r="Q1355"/>
      <c r="R1355"/>
      <c r="S1355"/>
    </row>
    <row r="1356" spans="1:19" ht="15" x14ac:dyDescent="0.2">
      <c r="A1356"/>
      <c r="B1356"/>
      <c r="C1356"/>
      <c r="D1356"/>
      <c r="E1356"/>
      <c r="F1356"/>
      <c r="G1356"/>
      <c r="H1356"/>
      <c r="I1356"/>
      <c r="J1356"/>
      <c r="K1356"/>
      <c r="L1356"/>
      <c r="M1356"/>
      <c r="N1356"/>
      <c r="O1356"/>
      <c r="P1356"/>
      <c r="Q1356"/>
      <c r="R1356"/>
      <c r="S1356"/>
    </row>
    <row r="1357" spans="1:19" ht="15" x14ac:dyDescent="0.2">
      <c r="A1357"/>
      <c r="B1357"/>
      <c r="C1357"/>
      <c r="D1357"/>
      <c r="E1357"/>
      <c r="F1357"/>
      <c r="G1357"/>
      <c r="H1357"/>
      <c r="I1357"/>
      <c r="J1357"/>
      <c r="K1357"/>
      <c r="L1357"/>
      <c r="M1357"/>
      <c r="N1357"/>
      <c r="O1357"/>
      <c r="P1357"/>
      <c r="Q1357"/>
      <c r="R1357"/>
      <c r="S1357"/>
    </row>
    <row r="1358" spans="1:19" ht="15" x14ac:dyDescent="0.2">
      <c r="A1358"/>
      <c r="B1358"/>
      <c r="C1358"/>
      <c r="D1358"/>
      <c r="E1358"/>
      <c r="F1358"/>
      <c r="G1358"/>
      <c r="H1358"/>
      <c r="I1358"/>
      <c r="J1358"/>
      <c r="K1358"/>
      <c r="L1358"/>
      <c r="M1358"/>
      <c r="N1358"/>
      <c r="O1358"/>
      <c r="P1358"/>
      <c r="Q1358"/>
      <c r="R1358"/>
      <c r="S1358"/>
    </row>
    <row r="1359" spans="1:19" ht="15" x14ac:dyDescent="0.2">
      <c r="A1359"/>
      <c r="B1359"/>
      <c r="C1359"/>
      <c r="D1359"/>
      <c r="E1359"/>
      <c r="F1359"/>
      <c r="G1359"/>
      <c r="H1359"/>
      <c r="I1359"/>
      <c r="J1359"/>
      <c r="K1359"/>
      <c r="L1359"/>
      <c r="M1359"/>
      <c r="N1359"/>
      <c r="O1359"/>
      <c r="P1359"/>
      <c r="Q1359"/>
      <c r="R1359"/>
      <c r="S1359"/>
    </row>
    <row r="1360" spans="1:19" ht="15" x14ac:dyDescent="0.2">
      <c r="A1360"/>
      <c r="B1360"/>
      <c r="C1360"/>
      <c r="D1360"/>
      <c r="E1360"/>
      <c r="F1360"/>
      <c r="G1360"/>
      <c r="H1360"/>
      <c r="I1360"/>
      <c r="J1360"/>
      <c r="K1360"/>
      <c r="L1360"/>
      <c r="M1360"/>
      <c r="N1360"/>
      <c r="O1360"/>
      <c r="P1360"/>
      <c r="Q1360"/>
      <c r="R1360"/>
      <c r="S1360"/>
    </row>
    <row r="1361" spans="1:19" ht="15" x14ac:dyDescent="0.2">
      <c r="A1361"/>
      <c r="B1361"/>
      <c r="C1361"/>
      <c r="D1361"/>
      <c r="E1361"/>
      <c r="F1361"/>
      <c r="G1361"/>
      <c r="H1361"/>
      <c r="I1361"/>
      <c r="J1361"/>
      <c r="K1361"/>
      <c r="L1361"/>
      <c r="M1361"/>
      <c r="N1361"/>
      <c r="O1361"/>
      <c r="P1361"/>
      <c r="Q1361"/>
      <c r="R1361"/>
      <c r="S1361"/>
    </row>
    <row r="1362" spans="1:19" ht="15" x14ac:dyDescent="0.2">
      <c r="A1362"/>
      <c r="B1362"/>
      <c r="C1362"/>
      <c r="D1362"/>
      <c r="E1362"/>
      <c r="F1362"/>
      <c r="G1362"/>
      <c r="H1362"/>
      <c r="I1362"/>
      <c r="J1362"/>
      <c r="K1362"/>
      <c r="L1362"/>
      <c r="M1362"/>
      <c r="N1362"/>
      <c r="O1362"/>
      <c r="P1362"/>
      <c r="Q1362"/>
      <c r="R1362"/>
      <c r="S1362"/>
    </row>
    <row r="1363" spans="1:19" ht="15" x14ac:dyDescent="0.2">
      <c r="A1363"/>
      <c r="B1363"/>
      <c r="C1363"/>
      <c r="D1363"/>
      <c r="E1363"/>
      <c r="F1363"/>
      <c r="G1363"/>
      <c r="H1363"/>
      <c r="I1363"/>
      <c r="J1363"/>
      <c r="K1363"/>
      <c r="L1363"/>
      <c r="M1363"/>
      <c r="N1363"/>
      <c r="O1363"/>
      <c r="P1363"/>
      <c r="Q1363"/>
      <c r="R1363"/>
      <c r="S1363"/>
    </row>
    <row r="1364" spans="1:19" ht="15" x14ac:dyDescent="0.2">
      <c r="A1364"/>
      <c r="B1364"/>
      <c r="C1364"/>
      <c r="D1364"/>
      <c r="E1364"/>
      <c r="F1364"/>
      <c r="G1364"/>
      <c r="H1364"/>
      <c r="I1364"/>
      <c r="J1364"/>
      <c r="K1364"/>
      <c r="L1364"/>
      <c r="M1364"/>
      <c r="N1364"/>
      <c r="O1364"/>
      <c r="P1364"/>
      <c r="Q1364"/>
      <c r="R1364"/>
      <c r="S1364"/>
    </row>
    <row r="1365" spans="1:19" ht="15" x14ac:dyDescent="0.2">
      <c r="A1365"/>
      <c r="B1365"/>
      <c r="C1365"/>
      <c r="D1365"/>
      <c r="E1365"/>
      <c r="F1365"/>
      <c r="G1365"/>
      <c r="H1365"/>
      <c r="I1365"/>
      <c r="J1365"/>
      <c r="K1365"/>
      <c r="L1365"/>
      <c r="M1365"/>
      <c r="N1365"/>
      <c r="O1365"/>
      <c r="P1365"/>
      <c r="Q1365"/>
      <c r="R1365"/>
      <c r="S1365"/>
    </row>
    <row r="1366" spans="1:19" ht="15" x14ac:dyDescent="0.2">
      <c r="A1366"/>
      <c r="B1366"/>
      <c r="C1366"/>
      <c r="D1366"/>
      <c r="E1366"/>
      <c r="F1366"/>
      <c r="G1366"/>
      <c r="H1366"/>
      <c r="I1366"/>
      <c r="J1366"/>
      <c r="K1366"/>
      <c r="L1366"/>
      <c r="M1366"/>
      <c r="N1366"/>
      <c r="O1366"/>
      <c r="P1366"/>
      <c r="Q1366"/>
      <c r="R1366"/>
      <c r="S1366"/>
    </row>
    <row r="1367" spans="1:19" ht="15" x14ac:dyDescent="0.2">
      <c r="A1367"/>
      <c r="B1367"/>
      <c r="C1367"/>
      <c r="D1367"/>
      <c r="E1367"/>
      <c r="F1367"/>
      <c r="G1367"/>
      <c r="H1367"/>
      <c r="I1367"/>
      <c r="J1367"/>
      <c r="K1367"/>
      <c r="L1367"/>
      <c r="M1367"/>
      <c r="N1367"/>
      <c r="O1367"/>
      <c r="P1367"/>
      <c r="Q1367"/>
      <c r="R1367"/>
      <c r="S1367"/>
    </row>
    <row r="1368" spans="1:19" ht="15" x14ac:dyDescent="0.2">
      <c r="A1368"/>
      <c r="B1368"/>
      <c r="C1368"/>
      <c r="D1368"/>
      <c r="E1368"/>
      <c r="F1368"/>
      <c r="G1368"/>
      <c r="H1368"/>
      <c r="I1368"/>
      <c r="J1368"/>
      <c r="K1368"/>
      <c r="L1368"/>
      <c r="M1368"/>
      <c r="N1368"/>
      <c r="O1368"/>
      <c r="P1368"/>
      <c r="Q1368"/>
      <c r="R1368"/>
      <c r="S1368"/>
    </row>
    <row r="1369" spans="1:19" ht="15" x14ac:dyDescent="0.2">
      <c r="A1369"/>
      <c r="B1369"/>
      <c r="C1369"/>
      <c r="D1369"/>
      <c r="E1369"/>
      <c r="F1369"/>
      <c r="G1369"/>
      <c r="H1369"/>
      <c r="I1369"/>
      <c r="J1369"/>
      <c r="K1369"/>
      <c r="L1369"/>
      <c r="M1369"/>
      <c r="N1369"/>
      <c r="O1369"/>
      <c r="P1369"/>
      <c r="Q1369"/>
      <c r="R1369"/>
      <c r="S1369"/>
    </row>
    <row r="1370" spans="1:19" ht="15" x14ac:dyDescent="0.2">
      <c r="A1370"/>
      <c r="B1370"/>
      <c r="C1370"/>
      <c r="D1370"/>
      <c r="E1370"/>
      <c r="F1370"/>
      <c r="G1370"/>
      <c r="H1370"/>
      <c r="I1370"/>
      <c r="J1370"/>
      <c r="K1370"/>
      <c r="L1370"/>
      <c r="M1370"/>
      <c r="N1370"/>
      <c r="O1370"/>
      <c r="P1370"/>
      <c r="Q1370"/>
      <c r="R1370"/>
      <c r="S1370"/>
    </row>
    <row r="1371" spans="1:19" ht="15" x14ac:dyDescent="0.2">
      <c r="A1371"/>
      <c r="B1371"/>
      <c r="C1371"/>
      <c r="D1371"/>
      <c r="E1371"/>
      <c r="F1371"/>
      <c r="G1371"/>
      <c r="H1371"/>
      <c r="I1371"/>
      <c r="J1371"/>
      <c r="K1371"/>
      <c r="L1371"/>
      <c r="M1371"/>
      <c r="N1371"/>
      <c r="O1371"/>
      <c r="P1371"/>
      <c r="Q1371"/>
      <c r="R1371"/>
      <c r="S1371"/>
    </row>
    <row r="1372" spans="1:19" ht="15" x14ac:dyDescent="0.2">
      <c r="A1372"/>
      <c r="B1372"/>
      <c r="C1372"/>
      <c r="D1372"/>
      <c r="E1372"/>
      <c r="F1372"/>
      <c r="G1372"/>
      <c r="H1372"/>
      <c r="I1372"/>
      <c r="J1372"/>
      <c r="K1372"/>
      <c r="L1372"/>
      <c r="M1372"/>
      <c r="N1372"/>
      <c r="O1372"/>
      <c r="P1372"/>
      <c r="Q1372"/>
      <c r="R1372"/>
      <c r="S1372"/>
    </row>
    <row r="1373" spans="1:19" ht="15" x14ac:dyDescent="0.2">
      <c r="A1373"/>
      <c r="B1373"/>
      <c r="C1373"/>
      <c r="D1373"/>
      <c r="E1373"/>
      <c r="F1373"/>
      <c r="G1373"/>
      <c r="H1373"/>
      <c r="I1373"/>
      <c r="J1373"/>
      <c r="K1373"/>
      <c r="L1373"/>
      <c r="M1373"/>
      <c r="N1373"/>
      <c r="O1373"/>
      <c r="P1373"/>
      <c r="Q1373"/>
      <c r="R1373"/>
      <c r="S1373"/>
    </row>
    <row r="1374" spans="1:19" ht="15" x14ac:dyDescent="0.2">
      <c r="A1374"/>
      <c r="B1374"/>
      <c r="C1374"/>
      <c r="D1374"/>
      <c r="E1374"/>
      <c r="F1374"/>
      <c r="G1374"/>
      <c r="H1374"/>
      <c r="I1374"/>
      <c r="J1374"/>
      <c r="K1374"/>
      <c r="L1374"/>
      <c r="M1374"/>
      <c r="N1374"/>
      <c r="O1374"/>
      <c r="P1374"/>
      <c r="Q1374"/>
      <c r="R1374"/>
      <c r="S1374"/>
    </row>
    <row r="1375" spans="1:19" ht="15" x14ac:dyDescent="0.2">
      <c r="A1375"/>
      <c r="B1375"/>
      <c r="C1375"/>
      <c r="D1375"/>
      <c r="E1375"/>
      <c r="F1375"/>
      <c r="G1375"/>
      <c r="H1375"/>
      <c r="I1375"/>
      <c r="J1375"/>
      <c r="K1375"/>
      <c r="L1375"/>
      <c r="M1375"/>
      <c r="N1375"/>
      <c r="O1375"/>
      <c r="P1375"/>
      <c r="Q1375"/>
      <c r="R1375"/>
      <c r="S1375"/>
    </row>
    <row r="1376" spans="1:19" ht="15" x14ac:dyDescent="0.2">
      <c r="A1376"/>
      <c r="B1376"/>
      <c r="C1376"/>
      <c r="D1376"/>
      <c r="E1376"/>
      <c r="F1376"/>
      <c r="G1376"/>
      <c r="H1376"/>
      <c r="I1376"/>
      <c r="J1376"/>
      <c r="K1376"/>
      <c r="L1376"/>
      <c r="M1376"/>
      <c r="N1376"/>
      <c r="O1376"/>
      <c r="P1376"/>
      <c r="Q1376"/>
      <c r="R1376"/>
      <c r="S1376"/>
    </row>
    <row r="1377" spans="1:19" ht="15" x14ac:dyDescent="0.2">
      <c r="A1377"/>
      <c r="B1377"/>
      <c r="C1377"/>
      <c r="D1377"/>
      <c r="E1377"/>
      <c r="F1377"/>
      <c r="G1377"/>
      <c r="H1377"/>
      <c r="I1377"/>
      <c r="J1377"/>
      <c r="K1377"/>
      <c r="L1377"/>
      <c r="M1377"/>
      <c r="N1377"/>
      <c r="O1377"/>
      <c r="P1377"/>
      <c r="Q1377"/>
      <c r="R1377"/>
      <c r="S1377"/>
    </row>
    <row r="1378" spans="1:19" ht="15" x14ac:dyDescent="0.2">
      <c r="A1378"/>
      <c r="B1378"/>
      <c r="C1378"/>
      <c r="D1378"/>
      <c r="E1378"/>
      <c r="F1378"/>
      <c r="G1378"/>
      <c r="H1378"/>
      <c r="I1378"/>
      <c r="J1378"/>
      <c r="K1378"/>
      <c r="L1378"/>
      <c r="M1378"/>
      <c r="N1378"/>
      <c r="O1378"/>
      <c r="P1378"/>
      <c r="Q1378"/>
      <c r="R1378"/>
      <c r="S1378"/>
    </row>
    <row r="1379" spans="1:19" ht="15" x14ac:dyDescent="0.2">
      <c r="A1379"/>
      <c r="B1379"/>
      <c r="C1379"/>
      <c r="D1379"/>
      <c r="E1379"/>
      <c r="F1379"/>
      <c r="G1379"/>
      <c r="H1379"/>
      <c r="I1379"/>
      <c r="J1379"/>
      <c r="K1379"/>
      <c r="L1379"/>
      <c r="M1379"/>
      <c r="N1379"/>
      <c r="O1379"/>
      <c r="P1379"/>
      <c r="Q1379"/>
      <c r="R1379"/>
      <c r="S1379"/>
    </row>
    <row r="1380" spans="1:19" ht="15" x14ac:dyDescent="0.2">
      <c r="A1380"/>
      <c r="B1380"/>
      <c r="C1380"/>
      <c r="D1380"/>
      <c r="E1380"/>
      <c r="F1380"/>
      <c r="G1380"/>
      <c r="H1380"/>
      <c r="I1380"/>
      <c r="J1380"/>
      <c r="K1380"/>
      <c r="L1380"/>
      <c r="M1380"/>
      <c r="N1380"/>
      <c r="O1380"/>
      <c r="P1380"/>
      <c r="Q1380"/>
      <c r="R1380"/>
      <c r="S1380"/>
    </row>
    <row r="1381" spans="1:19" ht="15" x14ac:dyDescent="0.2">
      <c r="A1381"/>
      <c r="B1381"/>
      <c r="C1381"/>
      <c r="D1381"/>
      <c r="E1381"/>
      <c r="F1381"/>
      <c r="G1381"/>
      <c r="H1381"/>
      <c r="I1381"/>
      <c r="J1381"/>
      <c r="K1381"/>
      <c r="L1381"/>
      <c r="M1381"/>
      <c r="N1381"/>
      <c r="O1381"/>
      <c r="P1381"/>
      <c r="Q1381"/>
      <c r="R1381"/>
      <c r="S1381"/>
    </row>
    <row r="1382" spans="1:19" ht="15" x14ac:dyDescent="0.2">
      <c r="A1382"/>
      <c r="B1382"/>
      <c r="C1382"/>
      <c r="D1382"/>
      <c r="E1382"/>
      <c r="F1382"/>
      <c r="G1382"/>
      <c r="H1382"/>
      <c r="I1382"/>
      <c r="J1382"/>
      <c r="K1382"/>
      <c r="L1382"/>
      <c r="M1382"/>
      <c r="N1382"/>
      <c r="O1382"/>
      <c r="P1382"/>
      <c r="Q1382"/>
      <c r="R1382"/>
      <c r="S1382"/>
    </row>
    <row r="1383" spans="1:19" ht="15" x14ac:dyDescent="0.2">
      <c r="A1383"/>
      <c r="B1383"/>
      <c r="C1383"/>
      <c r="D1383"/>
      <c r="E1383"/>
      <c r="F1383"/>
      <c r="G1383"/>
      <c r="H1383"/>
      <c r="I1383"/>
      <c r="J1383"/>
      <c r="K1383"/>
      <c r="L1383"/>
      <c r="M1383"/>
      <c r="N1383"/>
      <c r="O1383"/>
      <c r="P1383"/>
      <c r="Q1383"/>
      <c r="R1383"/>
      <c r="S1383"/>
    </row>
    <row r="1384" spans="1:19" ht="15" x14ac:dyDescent="0.2">
      <c r="A1384"/>
      <c r="B1384"/>
      <c r="C1384"/>
      <c r="D1384"/>
      <c r="E1384"/>
      <c r="F1384"/>
      <c r="G1384"/>
      <c r="H1384"/>
      <c r="I1384"/>
      <c r="J1384"/>
      <c r="K1384"/>
      <c r="L1384"/>
      <c r="M1384"/>
      <c r="N1384"/>
      <c r="O1384"/>
      <c r="P1384"/>
      <c r="Q1384"/>
      <c r="R1384"/>
      <c r="S1384"/>
    </row>
    <row r="1385" spans="1:19" ht="15" x14ac:dyDescent="0.2">
      <c r="A1385"/>
      <c r="B1385"/>
      <c r="C1385"/>
      <c r="D1385"/>
      <c r="E1385"/>
      <c r="F1385"/>
      <c r="G1385"/>
      <c r="H1385"/>
      <c r="I1385"/>
      <c r="J1385"/>
      <c r="K1385"/>
      <c r="L1385"/>
      <c r="M1385"/>
      <c r="N1385"/>
      <c r="O1385"/>
      <c r="P1385"/>
      <c r="Q1385"/>
      <c r="R1385"/>
      <c r="S1385"/>
    </row>
    <row r="1386" spans="1:19" ht="15" x14ac:dyDescent="0.2">
      <c r="A1386"/>
      <c r="B1386"/>
      <c r="C1386"/>
      <c r="D1386"/>
      <c r="E1386"/>
      <c r="F1386"/>
      <c r="G1386"/>
      <c r="H1386"/>
      <c r="I1386"/>
      <c r="J1386"/>
      <c r="K1386"/>
      <c r="L1386"/>
      <c r="M1386"/>
      <c r="N1386"/>
      <c r="O1386"/>
      <c r="P1386"/>
      <c r="Q1386"/>
      <c r="R1386"/>
      <c r="S1386"/>
    </row>
    <row r="1387" spans="1:19" ht="15" x14ac:dyDescent="0.2">
      <c r="A1387"/>
      <c r="B1387"/>
      <c r="C1387"/>
      <c r="D1387"/>
      <c r="E1387"/>
      <c r="F1387"/>
      <c r="G1387"/>
      <c r="H1387"/>
      <c r="I1387"/>
      <c r="J1387"/>
      <c r="K1387"/>
      <c r="L1387"/>
      <c r="M1387"/>
      <c r="N1387"/>
      <c r="O1387"/>
      <c r="P1387"/>
      <c r="Q1387"/>
      <c r="R1387"/>
      <c r="S1387"/>
    </row>
    <row r="1388" spans="1:19" ht="15" x14ac:dyDescent="0.2">
      <c r="A1388"/>
      <c r="B1388"/>
      <c r="C1388"/>
      <c r="D1388"/>
      <c r="E1388"/>
      <c r="F1388"/>
      <c r="G1388"/>
      <c r="H1388"/>
      <c r="I1388"/>
      <c r="J1388"/>
      <c r="K1388"/>
      <c r="L1388"/>
      <c r="M1388"/>
      <c r="N1388"/>
      <c r="O1388"/>
      <c r="P1388"/>
      <c r="Q1388"/>
      <c r="R1388"/>
      <c r="S1388"/>
    </row>
    <row r="1389" spans="1:19" ht="15" x14ac:dyDescent="0.2">
      <c r="A1389"/>
      <c r="B1389"/>
      <c r="C1389"/>
      <c r="D1389"/>
      <c r="E1389"/>
      <c r="F1389"/>
      <c r="G1389"/>
      <c r="H1389"/>
      <c r="I1389"/>
      <c r="J1389"/>
      <c r="K1389"/>
      <c r="L1389"/>
      <c r="M1389"/>
      <c r="N1389"/>
      <c r="O1389"/>
      <c r="P1389"/>
      <c r="Q1389"/>
      <c r="R1389"/>
      <c r="S1389"/>
    </row>
    <row r="1390" spans="1:19" ht="15" x14ac:dyDescent="0.2">
      <c r="A1390"/>
      <c r="B1390"/>
      <c r="C1390"/>
      <c r="D1390"/>
      <c r="E1390"/>
      <c r="F1390"/>
      <c r="G1390"/>
      <c r="H1390"/>
      <c r="I1390"/>
      <c r="J1390"/>
      <c r="K1390"/>
      <c r="L1390"/>
      <c r="M1390"/>
      <c r="N1390"/>
      <c r="O1390"/>
      <c r="P1390"/>
      <c r="Q1390"/>
      <c r="R1390"/>
      <c r="S1390"/>
    </row>
    <row r="1391" spans="1:19" ht="15" x14ac:dyDescent="0.2">
      <c r="A1391"/>
      <c r="B1391"/>
      <c r="C1391"/>
      <c r="D1391"/>
      <c r="E1391"/>
      <c r="F1391"/>
      <c r="G1391"/>
      <c r="H1391"/>
      <c r="I1391"/>
      <c r="J1391"/>
      <c r="K1391"/>
      <c r="L1391"/>
      <c r="M1391"/>
      <c r="N1391"/>
      <c r="O1391"/>
      <c r="P1391"/>
      <c r="Q1391"/>
      <c r="R1391"/>
      <c r="S1391"/>
    </row>
    <row r="1392" spans="1:19" ht="15" x14ac:dyDescent="0.2">
      <c r="A1392"/>
      <c r="B1392"/>
      <c r="C1392"/>
      <c r="D1392"/>
      <c r="E1392"/>
      <c r="F1392"/>
      <c r="G1392"/>
      <c r="H1392"/>
      <c r="I1392"/>
      <c r="J1392"/>
      <c r="K1392"/>
      <c r="L1392"/>
      <c r="M1392"/>
      <c r="N1392"/>
      <c r="O1392"/>
      <c r="P1392"/>
      <c r="Q1392"/>
      <c r="R1392"/>
      <c r="S1392"/>
    </row>
    <row r="1393" spans="1:19" ht="15" x14ac:dyDescent="0.2">
      <c r="A1393"/>
      <c r="B1393"/>
      <c r="C1393"/>
      <c r="D1393"/>
      <c r="E1393"/>
      <c r="F1393"/>
      <c r="G1393"/>
      <c r="H1393"/>
      <c r="I1393"/>
      <c r="J1393"/>
      <c r="K1393"/>
      <c r="L1393"/>
      <c r="M1393"/>
      <c r="N1393"/>
      <c r="O1393"/>
      <c r="P1393"/>
      <c r="Q1393"/>
      <c r="R1393"/>
      <c r="S1393"/>
    </row>
    <row r="1394" spans="1:19" ht="15" x14ac:dyDescent="0.2">
      <c r="A1394"/>
      <c r="B1394"/>
      <c r="C1394"/>
      <c r="D1394"/>
      <c r="E1394"/>
      <c r="F1394"/>
      <c r="G1394"/>
      <c r="H1394"/>
      <c r="I1394"/>
      <c r="J1394"/>
      <c r="K1394"/>
      <c r="L1394"/>
      <c r="M1394"/>
      <c r="N1394"/>
      <c r="O1394"/>
      <c r="P1394"/>
      <c r="Q1394"/>
      <c r="R1394"/>
      <c r="S1394"/>
    </row>
    <row r="1395" spans="1:19" ht="15" x14ac:dyDescent="0.2">
      <c r="A1395"/>
      <c r="B1395"/>
      <c r="C1395"/>
      <c r="D1395"/>
      <c r="E1395"/>
      <c r="F1395"/>
      <c r="G1395"/>
      <c r="H1395"/>
      <c r="I1395"/>
      <c r="J1395"/>
      <c r="K1395"/>
      <c r="L1395"/>
      <c r="M1395"/>
      <c r="N1395"/>
      <c r="O1395"/>
      <c r="P1395"/>
      <c r="Q1395"/>
      <c r="R1395"/>
      <c r="S1395"/>
    </row>
    <row r="1396" spans="1:19" ht="15" x14ac:dyDescent="0.2">
      <c r="A1396"/>
      <c r="B1396"/>
      <c r="C1396"/>
      <c r="D1396"/>
      <c r="E1396"/>
      <c r="F1396"/>
      <c r="G1396"/>
      <c r="H1396"/>
      <c r="I1396"/>
      <c r="J1396"/>
      <c r="K1396"/>
      <c r="L1396"/>
      <c r="M1396"/>
      <c r="N1396"/>
      <c r="O1396"/>
      <c r="P1396"/>
      <c r="Q1396"/>
      <c r="R1396"/>
      <c r="S1396"/>
    </row>
    <row r="1397" spans="1:19" ht="15" x14ac:dyDescent="0.2">
      <c r="A1397"/>
      <c r="B1397"/>
      <c r="C1397"/>
      <c r="D1397"/>
      <c r="E1397"/>
      <c r="F1397"/>
      <c r="G1397"/>
      <c r="H1397"/>
      <c r="I1397"/>
      <c r="J1397"/>
      <c r="K1397"/>
      <c r="L1397"/>
      <c r="M1397"/>
      <c r="N1397"/>
      <c r="O1397"/>
      <c r="P1397"/>
      <c r="Q1397"/>
      <c r="R1397"/>
      <c r="S1397"/>
    </row>
    <row r="1398" spans="1:19" ht="15" x14ac:dyDescent="0.2">
      <c r="A1398"/>
      <c r="B1398"/>
      <c r="C1398"/>
      <c r="D1398"/>
      <c r="E1398"/>
      <c r="F1398"/>
      <c r="G1398"/>
      <c r="H1398"/>
      <c r="I1398"/>
      <c r="J1398"/>
      <c r="K1398"/>
      <c r="L1398"/>
      <c r="M1398"/>
      <c r="N1398"/>
      <c r="O1398"/>
      <c r="P1398"/>
      <c r="Q1398"/>
      <c r="R1398"/>
      <c r="S1398"/>
    </row>
    <row r="1399" spans="1:19" ht="15" x14ac:dyDescent="0.2">
      <c r="A1399"/>
      <c r="B1399"/>
      <c r="C1399"/>
      <c r="D1399"/>
      <c r="E1399"/>
      <c r="F1399"/>
      <c r="G1399"/>
      <c r="H1399"/>
      <c r="I1399"/>
      <c r="J1399"/>
      <c r="K1399"/>
      <c r="L1399"/>
      <c r="M1399"/>
      <c r="N1399"/>
      <c r="O1399"/>
      <c r="P1399"/>
      <c r="Q1399"/>
      <c r="R1399"/>
      <c r="S1399"/>
    </row>
    <row r="1400" spans="1:19" ht="15" x14ac:dyDescent="0.2">
      <c r="A1400"/>
      <c r="B1400"/>
      <c r="C1400"/>
      <c r="D1400"/>
      <c r="E1400"/>
      <c r="F1400"/>
      <c r="G1400"/>
      <c r="H1400"/>
      <c r="I1400"/>
      <c r="J1400"/>
      <c r="K1400"/>
      <c r="L1400"/>
      <c r="M1400"/>
      <c r="N1400"/>
      <c r="O1400"/>
      <c r="P1400"/>
      <c r="Q1400"/>
      <c r="R1400"/>
      <c r="S1400"/>
    </row>
    <row r="1401" spans="1:19" ht="15" x14ac:dyDescent="0.2">
      <c r="A1401"/>
      <c r="B1401"/>
      <c r="C1401"/>
      <c r="D1401"/>
      <c r="E1401"/>
      <c r="F1401"/>
      <c r="G1401"/>
      <c r="H1401"/>
      <c r="I1401"/>
      <c r="J1401"/>
      <c r="K1401"/>
      <c r="L1401"/>
      <c r="M1401"/>
      <c r="N1401"/>
      <c r="O1401"/>
      <c r="P1401"/>
      <c r="Q1401"/>
      <c r="R1401"/>
      <c r="S1401"/>
    </row>
    <row r="1402" spans="1:19" ht="15" x14ac:dyDescent="0.2">
      <c r="A1402"/>
      <c r="B1402"/>
      <c r="C1402"/>
      <c r="D1402"/>
      <c r="E1402"/>
      <c r="F1402"/>
      <c r="G1402"/>
      <c r="H1402"/>
      <c r="I1402"/>
      <c r="J1402"/>
      <c r="K1402"/>
      <c r="L1402"/>
      <c r="M1402"/>
      <c r="N1402"/>
      <c r="O1402"/>
      <c r="P1402"/>
      <c r="Q1402"/>
      <c r="R1402"/>
      <c r="S1402"/>
    </row>
    <row r="1403" spans="1:19" ht="15" x14ac:dyDescent="0.2">
      <c r="A1403"/>
      <c r="B1403"/>
      <c r="C1403"/>
      <c r="D1403"/>
      <c r="E1403"/>
      <c r="F1403"/>
      <c r="G1403"/>
      <c r="H1403"/>
      <c r="I1403"/>
      <c r="J1403"/>
      <c r="K1403"/>
      <c r="L1403"/>
      <c r="M1403"/>
      <c r="N1403"/>
      <c r="O1403"/>
      <c r="P1403"/>
      <c r="Q1403"/>
      <c r="R1403"/>
      <c r="S1403"/>
    </row>
    <row r="1404" spans="1:19" ht="15" x14ac:dyDescent="0.2">
      <c r="A1404"/>
      <c r="B1404"/>
      <c r="C1404"/>
      <c r="D1404"/>
      <c r="E1404"/>
      <c r="F1404"/>
      <c r="G1404"/>
      <c r="H1404"/>
      <c r="I1404"/>
      <c r="J1404"/>
      <c r="K1404"/>
      <c r="L1404"/>
      <c r="M1404"/>
      <c r="N1404"/>
      <c r="O1404"/>
      <c r="P1404"/>
      <c r="Q1404"/>
      <c r="R1404"/>
      <c r="S1404"/>
    </row>
    <row r="1405" spans="1:19" ht="15" x14ac:dyDescent="0.2">
      <c r="A1405"/>
      <c r="B1405"/>
      <c r="C1405"/>
      <c r="D1405"/>
      <c r="E1405"/>
      <c r="F1405"/>
      <c r="G1405"/>
      <c r="H1405"/>
      <c r="I1405"/>
      <c r="J1405"/>
      <c r="K1405"/>
      <c r="L1405"/>
      <c r="M1405"/>
      <c r="N1405"/>
      <c r="O1405"/>
      <c r="P1405"/>
      <c r="Q1405"/>
      <c r="R1405"/>
      <c r="S1405"/>
    </row>
    <row r="1406" spans="1:19" ht="15" x14ac:dyDescent="0.2">
      <c r="A1406"/>
      <c r="B1406"/>
      <c r="C1406"/>
      <c r="D1406"/>
      <c r="E1406"/>
      <c r="F1406"/>
      <c r="G1406"/>
      <c r="H1406"/>
      <c r="I1406"/>
      <c r="J1406"/>
      <c r="K1406"/>
      <c r="L1406"/>
      <c r="M1406"/>
      <c r="N1406"/>
      <c r="O1406"/>
      <c r="P1406"/>
      <c r="Q1406"/>
      <c r="R1406"/>
      <c r="S1406"/>
    </row>
    <row r="1407" spans="1:19" ht="15" x14ac:dyDescent="0.2">
      <c r="A1407"/>
      <c r="B1407"/>
      <c r="C1407"/>
      <c r="D1407"/>
      <c r="E1407"/>
      <c r="F1407"/>
      <c r="G1407"/>
      <c r="H1407"/>
      <c r="I1407"/>
      <c r="J1407"/>
      <c r="K1407"/>
      <c r="L1407"/>
      <c r="M1407"/>
      <c r="N1407"/>
      <c r="O1407"/>
      <c r="P1407"/>
      <c r="Q1407"/>
      <c r="R1407"/>
      <c r="S1407"/>
    </row>
    <row r="1408" spans="1:19" ht="15" x14ac:dyDescent="0.2">
      <c r="A1408"/>
      <c r="B1408"/>
      <c r="C1408"/>
      <c r="D1408"/>
      <c r="E1408"/>
      <c r="F1408"/>
      <c r="G1408"/>
      <c r="H1408"/>
      <c r="I1408"/>
      <c r="J1408"/>
      <c r="K1408"/>
      <c r="L1408"/>
      <c r="M1408"/>
      <c r="N1408"/>
      <c r="O1408"/>
      <c r="P1408"/>
      <c r="Q1408"/>
      <c r="R1408"/>
      <c r="S1408"/>
    </row>
    <row r="1409" spans="1:19" ht="15" x14ac:dyDescent="0.2">
      <c r="A1409"/>
      <c r="B1409"/>
      <c r="C1409"/>
      <c r="D1409"/>
      <c r="E1409"/>
      <c r="F1409"/>
      <c r="G1409"/>
      <c r="H1409"/>
      <c r="I1409"/>
      <c r="J1409"/>
      <c r="K1409"/>
      <c r="L1409"/>
      <c r="M1409"/>
      <c r="N1409"/>
      <c r="O1409"/>
      <c r="P1409"/>
      <c r="Q1409"/>
      <c r="R1409"/>
      <c r="S1409"/>
    </row>
    <row r="1410" spans="1:19" ht="15" x14ac:dyDescent="0.2">
      <c r="A1410"/>
      <c r="B1410"/>
      <c r="C1410"/>
      <c r="D1410"/>
      <c r="E1410"/>
      <c r="F1410"/>
      <c r="G1410"/>
      <c r="H1410"/>
      <c r="I1410"/>
      <c r="J1410"/>
      <c r="K1410"/>
      <c r="L1410"/>
      <c r="M1410"/>
      <c r="N1410"/>
      <c r="O1410"/>
      <c r="P1410"/>
      <c r="Q1410"/>
      <c r="R1410"/>
      <c r="S1410"/>
    </row>
    <row r="1411" spans="1:19" ht="15" x14ac:dyDescent="0.2">
      <c r="A1411"/>
      <c r="B1411"/>
      <c r="C1411"/>
      <c r="D1411"/>
      <c r="E1411"/>
      <c r="F1411"/>
      <c r="G1411"/>
      <c r="H1411"/>
      <c r="I1411"/>
      <c r="J1411"/>
      <c r="K1411"/>
      <c r="L1411"/>
      <c r="M1411"/>
      <c r="N1411"/>
      <c r="O1411"/>
      <c r="P1411"/>
      <c r="Q1411"/>
      <c r="R1411"/>
      <c r="S1411"/>
    </row>
    <row r="1412" spans="1:19" ht="15" x14ac:dyDescent="0.2">
      <c r="A1412"/>
      <c r="B1412"/>
      <c r="C1412"/>
      <c r="D1412"/>
      <c r="E1412"/>
      <c r="F1412"/>
      <c r="G1412"/>
      <c r="H1412"/>
      <c r="I1412"/>
      <c r="J1412"/>
      <c r="K1412"/>
      <c r="L1412"/>
      <c r="M1412"/>
      <c r="N1412"/>
      <c r="O1412"/>
      <c r="P1412"/>
      <c r="Q1412"/>
      <c r="R1412"/>
      <c r="S1412"/>
    </row>
    <row r="1413" spans="1:19" ht="15" x14ac:dyDescent="0.2">
      <c r="A1413"/>
      <c r="B1413"/>
      <c r="C1413"/>
      <c r="D1413"/>
      <c r="E1413"/>
      <c r="F1413"/>
      <c r="G1413"/>
      <c r="H1413"/>
      <c r="I1413"/>
      <c r="J1413"/>
      <c r="K1413"/>
      <c r="L1413"/>
      <c r="M1413"/>
      <c r="N1413"/>
      <c r="O1413"/>
      <c r="P1413"/>
      <c r="Q1413"/>
      <c r="R1413"/>
      <c r="S1413"/>
    </row>
    <row r="1414" spans="1:19" ht="15" x14ac:dyDescent="0.2">
      <c r="A1414"/>
      <c r="B1414"/>
      <c r="C1414"/>
      <c r="D1414"/>
      <c r="E1414"/>
      <c r="F1414"/>
      <c r="G1414"/>
      <c r="H1414"/>
      <c r="I1414"/>
      <c r="J1414"/>
      <c r="K1414"/>
      <c r="L1414"/>
      <c r="M1414"/>
      <c r="N1414"/>
      <c r="O1414"/>
      <c r="P1414"/>
      <c r="Q1414"/>
      <c r="R1414"/>
      <c r="S1414"/>
    </row>
    <row r="1415" spans="1:19" ht="15" x14ac:dyDescent="0.2">
      <c r="A1415"/>
      <c r="B1415"/>
      <c r="C1415"/>
      <c r="D1415"/>
      <c r="E1415"/>
      <c r="F1415"/>
      <c r="G1415"/>
      <c r="H1415"/>
      <c r="I1415"/>
      <c r="J1415"/>
      <c r="K1415"/>
      <c r="L1415"/>
      <c r="M1415"/>
      <c r="N1415"/>
      <c r="O1415"/>
      <c r="P1415"/>
      <c r="Q1415"/>
      <c r="R1415"/>
      <c r="S1415"/>
    </row>
    <row r="1416" spans="1:19" ht="15" x14ac:dyDescent="0.2">
      <c r="A1416"/>
      <c r="B1416"/>
      <c r="C1416"/>
      <c r="D1416"/>
      <c r="E1416"/>
      <c r="F1416"/>
      <c r="G1416"/>
      <c r="H1416"/>
      <c r="I1416"/>
      <c r="J1416"/>
      <c r="K1416"/>
      <c r="L1416"/>
      <c r="M1416"/>
      <c r="N1416"/>
      <c r="O1416"/>
      <c r="P1416"/>
      <c r="Q1416"/>
      <c r="R1416"/>
      <c r="S1416"/>
    </row>
    <row r="1417" spans="1:19" ht="15" x14ac:dyDescent="0.2">
      <c r="A1417"/>
      <c r="B1417"/>
      <c r="C1417"/>
      <c r="D1417"/>
      <c r="E1417"/>
      <c r="F1417"/>
      <c r="G1417"/>
      <c r="H1417"/>
      <c r="I1417"/>
      <c r="J1417"/>
      <c r="K1417"/>
      <c r="L1417"/>
      <c r="M1417"/>
      <c r="N1417"/>
      <c r="O1417"/>
      <c r="P1417"/>
      <c r="Q1417"/>
      <c r="R1417"/>
      <c r="S1417"/>
    </row>
    <row r="1418" spans="1:19" ht="15" x14ac:dyDescent="0.2">
      <c r="A1418"/>
      <c r="B1418"/>
      <c r="C1418"/>
      <c r="D1418"/>
      <c r="E1418"/>
      <c r="F1418"/>
      <c r="G1418"/>
      <c r="H1418"/>
      <c r="I1418"/>
      <c r="J1418"/>
      <c r="K1418"/>
      <c r="L1418"/>
      <c r="M1418"/>
      <c r="N1418"/>
      <c r="O1418"/>
      <c r="P1418"/>
      <c r="Q1418"/>
      <c r="R1418"/>
      <c r="S1418"/>
    </row>
    <row r="1419" spans="1:19" ht="15" x14ac:dyDescent="0.2">
      <c r="A1419"/>
      <c r="B1419"/>
      <c r="C1419"/>
      <c r="D1419"/>
      <c r="E1419"/>
      <c r="F1419"/>
      <c r="G1419"/>
      <c r="H1419"/>
      <c r="I1419"/>
      <c r="J1419"/>
      <c r="K1419"/>
      <c r="L1419"/>
      <c r="M1419"/>
      <c r="N1419"/>
      <c r="O1419"/>
      <c r="P1419"/>
      <c r="Q1419"/>
      <c r="R1419"/>
      <c r="S1419"/>
    </row>
    <row r="1420" spans="1:19" ht="15" x14ac:dyDescent="0.2">
      <c r="A1420"/>
      <c r="B1420"/>
      <c r="C1420"/>
      <c r="D1420"/>
      <c r="E1420"/>
      <c r="F1420"/>
      <c r="G1420"/>
      <c r="H1420"/>
      <c r="I1420"/>
      <c r="J1420"/>
      <c r="K1420"/>
      <c r="L1420"/>
      <c r="M1420"/>
      <c r="N1420"/>
      <c r="O1420"/>
      <c r="P1420"/>
      <c r="Q1420"/>
      <c r="R1420"/>
      <c r="S1420"/>
    </row>
    <row r="1421" spans="1:19" ht="15" x14ac:dyDescent="0.2">
      <c r="A1421"/>
      <c r="B1421"/>
      <c r="C1421"/>
      <c r="D1421"/>
      <c r="E1421"/>
      <c r="F1421"/>
      <c r="G1421"/>
      <c r="H1421"/>
      <c r="I1421"/>
      <c r="J1421"/>
      <c r="K1421"/>
      <c r="L1421"/>
      <c r="M1421"/>
      <c r="N1421"/>
      <c r="O1421"/>
      <c r="P1421"/>
      <c r="Q1421"/>
      <c r="R1421"/>
      <c r="S1421"/>
    </row>
    <row r="1422" spans="1:19" ht="15" x14ac:dyDescent="0.2">
      <c r="A1422"/>
      <c r="B1422"/>
      <c r="C1422"/>
      <c r="D1422"/>
      <c r="E1422"/>
      <c r="F1422"/>
      <c r="G1422"/>
      <c r="H1422"/>
      <c r="I1422"/>
      <c r="J1422"/>
      <c r="K1422"/>
      <c r="L1422"/>
      <c r="M1422"/>
      <c r="N1422"/>
      <c r="O1422"/>
      <c r="P1422"/>
      <c r="Q1422"/>
      <c r="R1422"/>
      <c r="S1422"/>
    </row>
    <row r="1423" spans="1:19" ht="15" x14ac:dyDescent="0.2">
      <c r="A1423"/>
      <c r="B1423"/>
      <c r="C1423"/>
      <c r="D1423"/>
      <c r="E1423"/>
      <c r="F1423"/>
      <c r="G1423"/>
      <c r="H1423"/>
      <c r="I1423"/>
      <c r="J1423"/>
      <c r="K1423"/>
      <c r="L1423"/>
      <c r="M1423"/>
      <c r="N1423"/>
      <c r="O1423"/>
      <c r="P1423"/>
      <c r="Q1423"/>
      <c r="R1423"/>
      <c r="S1423"/>
    </row>
    <row r="1424" spans="1:19" ht="15" x14ac:dyDescent="0.2">
      <c r="A1424"/>
      <c r="B1424"/>
      <c r="C1424"/>
      <c r="D1424"/>
      <c r="E1424"/>
      <c r="F1424"/>
      <c r="G1424"/>
      <c r="H1424"/>
      <c r="I1424"/>
      <c r="J1424"/>
      <c r="K1424"/>
      <c r="L1424"/>
      <c r="M1424"/>
      <c r="N1424"/>
      <c r="O1424"/>
      <c r="P1424"/>
      <c r="Q1424"/>
      <c r="R1424"/>
      <c r="S1424"/>
    </row>
    <row r="1425" spans="1:19" ht="15" x14ac:dyDescent="0.2">
      <c r="A1425"/>
      <c r="B1425"/>
      <c r="C1425"/>
      <c r="D1425"/>
      <c r="E1425"/>
      <c r="F1425"/>
      <c r="G1425"/>
      <c r="H1425"/>
      <c r="I1425"/>
      <c r="J1425"/>
      <c r="K1425"/>
      <c r="L1425"/>
      <c r="M1425"/>
      <c r="N1425"/>
      <c r="O1425"/>
      <c r="P1425"/>
      <c r="Q1425"/>
      <c r="R1425"/>
      <c r="S1425"/>
    </row>
    <row r="1426" spans="1:19" ht="15" x14ac:dyDescent="0.2">
      <c r="A1426"/>
      <c r="B1426"/>
      <c r="C1426"/>
      <c r="D1426"/>
      <c r="E1426"/>
      <c r="F1426"/>
      <c r="G1426"/>
      <c r="H1426"/>
      <c r="I1426"/>
      <c r="J1426"/>
      <c r="K1426"/>
      <c r="L1426"/>
      <c r="M1426"/>
      <c r="N1426"/>
      <c r="O1426"/>
      <c r="P1426"/>
      <c r="Q1426"/>
      <c r="R1426"/>
      <c r="S1426"/>
    </row>
    <row r="1427" spans="1:19" ht="15" x14ac:dyDescent="0.2">
      <c r="A1427"/>
      <c r="B1427"/>
      <c r="C1427"/>
      <c r="D1427"/>
      <c r="E1427"/>
      <c r="F1427"/>
      <c r="G1427"/>
      <c r="H1427"/>
      <c r="I1427"/>
      <c r="J1427"/>
      <c r="K1427"/>
      <c r="L1427"/>
      <c r="M1427"/>
      <c r="N1427"/>
      <c r="O1427"/>
      <c r="P1427"/>
      <c r="Q1427"/>
      <c r="R1427"/>
      <c r="S1427"/>
    </row>
    <row r="1428" spans="1:19" ht="15" x14ac:dyDescent="0.2">
      <c r="A1428"/>
      <c r="B1428"/>
      <c r="C1428"/>
      <c r="D1428"/>
      <c r="E1428"/>
      <c r="F1428"/>
      <c r="G1428"/>
      <c r="H1428"/>
      <c r="I1428"/>
      <c r="J1428"/>
      <c r="K1428"/>
      <c r="L1428"/>
      <c r="M1428"/>
      <c r="N1428"/>
      <c r="O1428"/>
      <c r="P1428"/>
      <c r="Q1428"/>
      <c r="R1428"/>
      <c r="S1428"/>
    </row>
    <row r="1429" spans="1:19" ht="15" x14ac:dyDescent="0.2">
      <c r="A1429"/>
      <c r="B1429"/>
      <c r="C1429"/>
      <c r="D1429"/>
      <c r="E1429"/>
      <c r="F1429"/>
      <c r="G1429"/>
      <c r="H1429"/>
      <c r="I1429"/>
      <c r="J1429"/>
      <c r="K1429"/>
      <c r="L1429"/>
      <c r="M1429"/>
      <c r="N1429"/>
      <c r="O1429"/>
      <c r="P1429"/>
      <c r="Q1429"/>
      <c r="R1429"/>
      <c r="S1429"/>
    </row>
    <row r="1430" spans="1:19" ht="15" x14ac:dyDescent="0.2">
      <c r="A1430"/>
      <c r="B1430"/>
      <c r="C1430"/>
      <c r="D1430"/>
      <c r="E1430"/>
      <c r="F1430"/>
      <c r="G1430"/>
      <c r="H1430"/>
      <c r="I1430"/>
      <c r="J1430"/>
      <c r="K1430"/>
      <c r="L1430"/>
      <c r="M1430"/>
      <c r="N1430"/>
      <c r="O1430"/>
      <c r="P1430"/>
      <c r="Q1430"/>
      <c r="R1430"/>
      <c r="S1430"/>
    </row>
    <row r="1431" spans="1:19" ht="15" x14ac:dyDescent="0.2">
      <c r="A1431"/>
      <c r="B1431"/>
      <c r="C1431"/>
      <c r="D1431"/>
      <c r="E1431"/>
      <c r="F1431"/>
      <c r="G1431"/>
      <c r="H1431"/>
      <c r="I1431"/>
      <c r="J1431"/>
      <c r="K1431"/>
      <c r="L1431"/>
      <c r="M1431"/>
      <c r="N1431"/>
      <c r="O1431"/>
      <c r="P1431"/>
      <c r="Q1431"/>
      <c r="R1431"/>
      <c r="S1431"/>
    </row>
    <row r="1432" spans="1:19" ht="15" x14ac:dyDescent="0.2">
      <c r="A1432"/>
      <c r="B1432"/>
      <c r="C1432"/>
      <c r="D1432"/>
      <c r="E1432"/>
      <c r="F1432"/>
      <c r="G1432"/>
      <c r="H1432"/>
      <c r="I1432"/>
      <c r="J1432"/>
      <c r="K1432"/>
      <c r="L1432"/>
      <c r="M1432"/>
      <c r="N1432"/>
      <c r="O1432"/>
      <c r="P1432"/>
      <c r="Q1432"/>
      <c r="R1432"/>
      <c r="S1432"/>
    </row>
    <row r="1433" spans="1:19" ht="15" x14ac:dyDescent="0.2">
      <c r="A1433"/>
      <c r="B1433"/>
      <c r="C1433"/>
      <c r="D1433"/>
      <c r="E1433"/>
      <c r="F1433"/>
      <c r="G1433"/>
      <c r="H1433"/>
      <c r="I1433"/>
      <c r="J1433"/>
      <c r="K1433"/>
      <c r="L1433"/>
      <c r="M1433"/>
      <c r="N1433"/>
      <c r="O1433"/>
      <c r="P1433"/>
      <c r="Q1433"/>
      <c r="R1433"/>
      <c r="S1433"/>
    </row>
    <row r="1434" spans="1:19" ht="15" x14ac:dyDescent="0.2">
      <c r="A1434"/>
      <c r="B1434"/>
      <c r="C1434"/>
      <c r="D1434"/>
      <c r="E1434"/>
      <c r="F1434"/>
      <c r="G1434"/>
      <c r="H1434"/>
      <c r="I1434"/>
      <c r="J1434"/>
      <c r="K1434"/>
      <c r="L1434"/>
      <c r="M1434"/>
      <c r="N1434"/>
      <c r="O1434"/>
      <c r="P1434"/>
      <c r="Q1434"/>
      <c r="R1434"/>
      <c r="S1434"/>
    </row>
    <row r="1435" spans="1:19" ht="15" x14ac:dyDescent="0.2">
      <c r="A1435"/>
      <c r="B1435"/>
      <c r="C1435"/>
      <c r="D1435"/>
      <c r="E1435"/>
      <c r="F1435"/>
      <c r="G1435"/>
      <c r="H1435"/>
      <c r="I1435"/>
      <c r="J1435"/>
      <c r="K1435"/>
      <c r="L1435"/>
      <c r="M1435"/>
      <c r="N1435"/>
      <c r="O1435"/>
      <c r="P1435"/>
      <c r="Q1435"/>
      <c r="R1435"/>
      <c r="S1435"/>
    </row>
    <row r="1436" spans="1:19" ht="15" x14ac:dyDescent="0.2">
      <c r="A1436"/>
      <c r="B1436"/>
      <c r="C1436"/>
      <c r="D1436"/>
      <c r="E1436"/>
      <c r="F1436"/>
      <c r="G1436"/>
      <c r="H1436"/>
      <c r="I1436"/>
      <c r="J1436"/>
      <c r="K1436"/>
      <c r="L1436"/>
      <c r="M1436"/>
      <c r="N1436"/>
      <c r="O1436"/>
      <c r="P1436"/>
      <c r="Q1436"/>
      <c r="R1436"/>
      <c r="S1436"/>
    </row>
    <row r="1437" spans="1:19" ht="15" x14ac:dyDescent="0.2">
      <c r="A1437"/>
      <c r="B1437"/>
      <c r="C1437"/>
      <c r="D1437"/>
      <c r="E1437"/>
      <c r="F1437"/>
      <c r="G1437"/>
      <c r="H1437"/>
      <c r="I1437"/>
      <c r="J1437"/>
      <c r="K1437"/>
      <c r="L1437"/>
      <c r="M1437"/>
      <c r="N1437"/>
      <c r="O1437"/>
      <c r="P1437"/>
      <c r="Q1437"/>
      <c r="R1437"/>
      <c r="S1437"/>
    </row>
    <row r="1438" spans="1:19" ht="15" x14ac:dyDescent="0.2">
      <c r="A1438"/>
      <c r="B1438"/>
      <c r="C1438"/>
      <c r="D1438"/>
      <c r="E1438"/>
      <c r="F1438"/>
      <c r="G1438"/>
      <c r="H1438"/>
      <c r="I1438"/>
      <c r="J1438"/>
      <c r="K1438"/>
      <c r="L1438"/>
      <c r="M1438"/>
      <c r="N1438"/>
      <c r="O1438"/>
      <c r="P1438"/>
      <c r="Q1438"/>
      <c r="R1438"/>
      <c r="S1438"/>
    </row>
    <row r="1439" spans="1:19" ht="15" x14ac:dyDescent="0.2">
      <c r="A1439"/>
      <c r="B1439"/>
      <c r="C1439"/>
      <c r="D1439"/>
      <c r="E1439"/>
      <c r="F1439"/>
      <c r="G1439"/>
      <c r="H1439"/>
      <c r="I1439"/>
      <c r="J1439"/>
      <c r="K1439"/>
      <c r="L1439"/>
      <c r="M1439"/>
      <c r="N1439"/>
      <c r="O1439"/>
      <c r="P1439"/>
      <c r="Q1439"/>
      <c r="R1439"/>
      <c r="S1439"/>
    </row>
    <row r="1440" spans="1:19" ht="15" x14ac:dyDescent="0.2">
      <c r="A1440"/>
      <c r="B1440"/>
      <c r="C1440"/>
      <c r="D1440"/>
      <c r="E1440"/>
      <c r="F1440"/>
      <c r="G1440"/>
      <c r="H1440"/>
      <c r="I1440"/>
      <c r="J1440"/>
      <c r="K1440"/>
      <c r="L1440"/>
      <c r="M1440"/>
      <c r="N1440"/>
      <c r="O1440"/>
      <c r="P1440"/>
      <c r="Q1440"/>
      <c r="R1440"/>
      <c r="S1440"/>
    </row>
    <row r="1441" spans="1:19" ht="15" x14ac:dyDescent="0.2">
      <c r="A1441"/>
      <c r="B1441"/>
      <c r="C1441"/>
      <c r="D1441"/>
      <c r="E1441"/>
      <c r="F1441"/>
      <c r="G1441"/>
      <c r="H1441"/>
      <c r="I1441"/>
      <c r="J1441"/>
      <c r="K1441"/>
      <c r="L1441"/>
      <c r="M1441"/>
      <c r="N1441"/>
      <c r="O1441"/>
      <c r="P1441"/>
      <c r="Q1441"/>
      <c r="R1441"/>
      <c r="S1441"/>
    </row>
    <row r="1442" spans="1:19" ht="15" x14ac:dyDescent="0.2">
      <c r="A1442"/>
      <c r="B1442"/>
      <c r="C1442"/>
      <c r="D1442"/>
      <c r="E1442"/>
      <c r="F1442"/>
      <c r="G1442"/>
      <c r="H1442"/>
      <c r="I1442"/>
      <c r="J1442"/>
      <c r="K1442"/>
      <c r="L1442"/>
      <c r="M1442"/>
      <c r="N1442"/>
      <c r="O1442"/>
      <c r="P1442"/>
      <c r="Q1442"/>
      <c r="R1442"/>
      <c r="S1442"/>
    </row>
    <row r="1443" spans="1:19" ht="15" x14ac:dyDescent="0.2">
      <c r="A1443"/>
      <c r="B1443"/>
      <c r="C1443"/>
      <c r="D1443"/>
      <c r="E1443"/>
      <c r="F1443"/>
      <c r="G1443"/>
      <c r="H1443"/>
      <c r="I1443"/>
      <c r="J1443"/>
      <c r="K1443"/>
      <c r="L1443"/>
      <c r="M1443"/>
      <c r="N1443"/>
      <c r="O1443"/>
      <c r="P1443"/>
      <c r="Q1443"/>
      <c r="R1443"/>
      <c r="S1443"/>
    </row>
    <row r="1444" spans="1:19" ht="15" x14ac:dyDescent="0.2">
      <c r="A1444"/>
      <c r="B1444"/>
      <c r="C1444"/>
      <c r="D1444"/>
      <c r="E1444"/>
      <c r="F1444"/>
      <c r="G1444"/>
      <c r="H1444"/>
      <c r="I1444"/>
      <c r="J1444"/>
      <c r="K1444"/>
      <c r="L1444"/>
      <c r="M1444"/>
      <c r="N1444"/>
      <c r="O1444"/>
      <c r="P1444"/>
      <c r="Q1444"/>
      <c r="R1444"/>
      <c r="S1444"/>
    </row>
    <row r="1445" spans="1:19" ht="15" x14ac:dyDescent="0.2">
      <c r="A1445"/>
      <c r="B1445"/>
      <c r="C1445"/>
      <c r="D1445"/>
      <c r="E1445"/>
      <c r="F1445"/>
      <c r="G1445"/>
      <c r="H1445"/>
      <c r="I1445"/>
      <c r="J1445"/>
      <c r="K1445"/>
      <c r="L1445"/>
      <c r="M1445"/>
      <c r="N1445"/>
      <c r="O1445"/>
      <c r="P1445"/>
      <c r="Q1445"/>
      <c r="R1445"/>
      <c r="S1445"/>
    </row>
    <row r="1446" spans="1:19" ht="15" x14ac:dyDescent="0.2">
      <c r="A1446"/>
      <c r="B1446"/>
      <c r="C1446"/>
      <c r="D1446"/>
      <c r="E1446"/>
      <c r="F1446"/>
      <c r="G1446"/>
      <c r="H1446"/>
      <c r="I1446"/>
      <c r="J1446"/>
      <c r="K1446"/>
      <c r="L1446"/>
      <c r="M1446"/>
      <c r="N1446"/>
      <c r="O1446"/>
      <c r="P1446"/>
      <c r="Q1446"/>
      <c r="R1446"/>
      <c r="S1446"/>
    </row>
    <row r="1447" spans="1:19" ht="15" x14ac:dyDescent="0.2">
      <c r="A1447"/>
      <c r="B1447"/>
      <c r="C1447"/>
      <c r="D1447"/>
      <c r="E1447"/>
      <c r="F1447"/>
      <c r="G1447"/>
      <c r="H1447"/>
      <c r="I1447"/>
      <c r="J1447"/>
      <c r="K1447"/>
      <c r="L1447"/>
      <c r="M1447"/>
      <c r="N1447"/>
      <c r="O1447"/>
      <c r="P1447"/>
      <c r="Q1447"/>
      <c r="R1447"/>
      <c r="S1447"/>
    </row>
    <row r="1448" spans="1:19" ht="15" x14ac:dyDescent="0.2">
      <c r="A1448"/>
      <c r="B1448"/>
      <c r="C1448"/>
      <c r="D1448"/>
      <c r="E1448"/>
      <c r="F1448"/>
      <c r="G1448"/>
      <c r="H1448"/>
      <c r="I1448"/>
      <c r="J1448"/>
      <c r="K1448"/>
      <c r="L1448"/>
      <c r="M1448"/>
      <c r="N1448"/>
      <c r="O1448"/>
      <c r="P1448"/>
      <c r="Q1448"/>
      <c r="R1448"/>
      <c r="S1448"/>
    </row>
    <row r="1449" spans="1:19" ht="15" x14ac:dyDescent="0.2">
      <c r="A1449"/>
      <c r="B1449"/>
      <c r="C1449"/>
      <c r="D1449"/>
      <c r="E1449"/>
      <c r="F1449"/>
      <c r="G1449"/>
      <c r="H1449"/>
      <c r="I1449"/>
      <c r="J1449"/>
      <c r="K1449"/>
      <c r="L1449"/>
      <c r="M1449"/>
      <c r="N1449"/>
      <c r="O1449"/>
      <c r="P1449"/>
      <c r="Q1449"/>
      <c r="R1449"/>
      <c r="S1449"/>
    </row>
    <row r="1450" spans="1:19" ht="15" x14ac:dyDescent="0.2">
      <c r="A1450"/>
      <c r="B1450"/>
      <c r="C1450"/>
      <c r="D1450"/>
      <c r="E1450"/>
      <c r="F1450"/>
      <c r="G1450"/>
      <c r="H1450"/>
      <c r="I1450"/>
      <c r="J1450"/>
      <c r="K1450"/>
      <c r="L1450"/>
      <c r="M1450"/>
      <c r="N1450"/>
      <c r="O1450"/>
      <c r="P1450"/>
      <c r="Q1450"/>
      <c r="R1450"/>
      <c r="S1450"/>
    </row>
    <row r="1451" spans="1:19" ht="15" x14ac:dyDescent="0.2">
      <c r="A1451"/>
      <c r="B1451"/>
      <c r="C1451"/>
      <c r="D1451"/>
      <c r="E1451"/>
      <c r="F1451"/>
      <c r="G1451"/>
      <c r="H1451"/>
      <c r="I1451"/>
      <c r="J1451"/>
      <c r="K1451"/>
      <c r="L1451"/>
      <c r="M1451"/>
      <c r="N1451"/>
      <c r="O1451"/>
      <c r="P1451"/>
      <c r="Q1451"/>
      <c r="R1451"/>
      <c r="S1451"/>
    </row>
    <row r="1452" spans="1:19" ht="15" x14ac:dyDescent="0.2">
      <c r="A1452"/>
      <c r="B1452"/>
      <c r="C1452"/>
      <c r="D1452"/>
      <c r="E1452"/>
      <c r="F1452"/>
      <c r="G1452"/>
      <c r="H1452"/>
      <c r="I1452"/>
      <c r="J1452"/>
      <c r="K1452"/>
      <c r="L1452"/>
      <c r="M1452"/>
      <c r="N1452"/>
      <c r="O1452"/>
      <c r="P1452"/>
      <c r="Q1452"/>
      <c r="R1452"/>
      <c r="S1452"/>
    </row>
    <row r="1453" spans="1:19" ht="15" x14ac:dyDescent="0.2">
      <c r="A1453"/>
      <c r="B1453"/>
      <c r="C1453"/>
      <c r="D1453"/>
      <c r="E1453"/>
      <c r="F1453"/>
      <c r="G1453"/>
      <c r="H1453"/>
      <c r="I1453"/>
      <c r="J1453"/>
      <c r="K1453"/>
      <c r="L1453"/>
      <c r="M1453"/>
      <c r="N1453"/>
      <c r="O1453"/>
      <c r="P1453"/>
      <c r="Q1453"/>
      <c r="R1453"/>
      <c r="S1453"/>
    </row>
    <row r="1454" spans="1:19" ht="15" x14ac:dyDescent="0.2">
      <c r="A1454"/>
      <c r="B1454"/>
      <c r="C1454"/>
      <c r="D1454"/>
      <c r="E1454"/>
      <c r="F1454"/>
      <c r="G1454"/>
      <c r="H1454"/>
      <c r="I1454"/>
      <c r="J1454"/>
      <c r="K1454"/>
      <c r="L1454"/>
      <c r="M1454"/>
      <c r="N1454"/>
      <c r="O1454"/>
      <c r="P1454"/>
      <c r="Q1454"/>
      <c r="R1454"/>
      <c r="S1454"/>
    </row>
    <row r="1455" spans="1:19" ht="15" x14ac:dyDescent="0.2">
      <c r="A1455"/>
      <c r="B1455"/>
      <c r="C1455"/>
      <c r="D1455"/>
      <c r="E1455"/>
      <c r="F1455"/>
      <c r="G1455"/>
      <c r="H1455"/>
      <c r="I1455"/>
      <c r="J1455"/>
      <c r="K1455"/>
      <c r="L1455"/>
      <c r="M1455"/>
      <c r="N1455"/>
      <c r="O1455"/>
      <c r="P1455"/>
      <c r="Q1455"/>
      <c r="R1455"/>
      <c r="S1455"/>
    </row>
    <row r="1456" spans="1:19" ht="15" x14ac:dyDescent="0.2">
      <c r="A1456"/>
      <c r="B1456"/>
      <c r="C1456"/>
      <c r="D1456"/>
      <c r="E1456"/>
      <c r="F1456"/>
      <c r="G1456"/>
      <c r="H1456"/>
      <c r="I1456"/>
      <c r="J1456"/>
      <c r="K1456"/>
      <c r="L1456"/>
      <c r="M1456"/>
      <c r="N1456"/>
      <c r="O1456"/>
      <c r="P1456"/>
      <c r="Q1456"/>
      <c r="R1456"/>
      <c r="S1456"/>
    </row>
    <row r="1457" spans="1:19" ht="15" x14ac:dyDescent="0.2">
      <c r="A1457"/>
      <c r="B1457"/>
      <c r="C1457"/>
      <c r="D1457"/>
      <c r="E1457"/>
      <c r="F1457"/>
      <c r="G1457"/>
      <c r="H1457"/>
      <c r="I1457"/>
      <c r="J1457"/>
      <c r="K1457"/>
      <c r="L1457"/>
      <c r="M1457"/>
      <c r="N1457"/>
      <c r="O1457"/>
      <c r="P1457"/>
      <c r="Q1457"/>
      <c r="R1457"/>
      <c r="S1457"/>
    </row>
    <row r="1458" spans="1:19" ht="15" x14ac:dyDescent="0.2">
      <c r="A1458"/>
      <c r="B1458"/>
      <c r="C1458"/>
      <c r="D1458"/>
      <c r="E1458"/>
      <c r="F1458"/>
      <c r="G1458"/>
      <c r="H1458"/>
      <c r="I1458"/>
      <c r="J1458"/>
      <c r="K1458"/>
      <c r="L1458"/>
      <c r="M1458"/>
      <c r="N1458"/>
      <c r="O1458"/>
      <c r="P1458"/>
      <c r="Q1458"/>
      <c r="R1458"/>
      <c r="S1458"/>
    </row>
    <row r="1459" spans="1:19" ht="15" x14ac:dyDescent="0.2">
      <c r="A1459"/>
      <c r="B1459"/>
      <c r="C1459"/>
      <c r="D1459"/>
      <c r="E1459"/>
      <c r="F1459"/>
      <c r="G1459"/>
      <c r="H1459"/>
      <c r="I1459"/>
      <c r="J1459"/>
      <c r="K1459"/>
      <c r="L1459"/>
      <c r="M1459"/>
      <c r="N1459"/>
      <c r="O1459"/>
      <c r="P1459"/>
      <c r="Q1459"/>
      <c r="R1459"/>
      <c r="S1459"/>
    </row>
    <row r="1460" spans="1:19" ht="15" x14ac:dyDescent="0.2">
      <c r="A1460"/>
      <c r="B1460"/>
      <c r="C1460"/>
      <c r="D1460"/>
      <c r="E1460"/>
      <c r="F1460"/>
      <c r="G1460"/>
      <c r="H1460"/>
      <c r="I1460"/>
      <c r="J1460"/>
      <c r="K1460"/>
      <c r="L1460"/>
      <c r="M1460"/>
      <c r="N1460"/>
      <c r="O1460"/>
      <c r="P1460"/>
      <c r="Q1460"/>
      <c r="R1460"/>
      <c r="S1460"/>
    </row>
    <row r="1461" spans="1:19" ht="15" x14ac:dyDescent="0.2">
      <c r="A1461"/>
      <c r="B1461"/>
      <c r="C1461"/>
      <c r="D1461"/>
      <c r="E1461"/>
      <c r="F1461"/>
      <c r="G1461"/>
      <c r="H1461"/>
      <c r="I1461"/>
      <c r="J1461"/>
      <c r="K1461"/>
      <c r="L1461"/>
      <c r="M1461"/>
      <c r="N1461"/>
      <c r="O1461"/>
      <c r="P1461"/>
      <c r="Q1461"/>
      <c r="R1461"/>
      <c r="S1461"/>
    </row>
    <row r="1462" spans="1:19" ht="15" x14ac:dyDescent="0.2">
      <c r="A1462"/>
      <c r="B1462"/>
      <c r="C1462"/>
      <c r="D1462"/>
      <c r="E1462"/>
      <c r="F1462"/>
      <c r="G1462"/>
      <c r="H1462"/>
      <c r="I1462"/>
      <c r="J1462"/>
      <c r="K1462"/>
      <c r="L1462"/>
      <c r="M1462"/>
      <c r="N1462"/>
      <c r="O1462"/>
      <c r="P1462"/>
      <c r="Q1462"/>
      <c r="R1462"/>
      <c r="S1462"/>
    </row>
    <row r="1463" spans="1:19" ht="15" x14ac:dyDescent="0.2">
      <c r="A1463"/>
      <c r="B1463"/>
      <c r="C1463"/>
      <c r="D1463"/>
      <c r="E1463"/>
      <c r="F1463"/>
      <c r="G1463"/>
      <c r="H1463"/>
      <c r="I1463"/>
      <c r="J1463"/>
      <c r="K1463"/>
      <c r="L1463"/>
      <c r="M1463"/>
      <c r="N1463"/>
      <c r="O1463"/>
      <c r="P1463"/>
      <c r="Q1463"/>
      <c r="R1463"/>
      <c r="S1463"/>
    </row>
    <row r="1464" spans="1:19" ht="15" x14ac:dyDescent="0.2">
      <c r="A1464"/>
      <c r="B1464"/>
      <c r="C1464"/>
      <c r="D1464"/>
      <c r="E1464"/>
      <c r="F1464"/>
      <c r="G1464"/>
      <c r="H1464"/>
      <c r="I1464"/>
      <c r="J1464"/>
      <c r="K1464"/>
      <c r="L1464"/>
      <c r="M1464"/>
      <c r="N1464"/>
      <c r="O1464"/>
      <c r="P1464"/>
      <c r="Q1464"/>
      <c r="R1464"/>
      <c r="S1464"/>
    </row>
    <row r="1465" spans="1:19" ht="15" x14ac:dyDescent="0.2">
      <c r="A1465"/>
      <c r="B1465"/>
      <c r="C1465"/>
      <c r="D1465"/>
      <c r="E1465"/>
      <c r="F1465"/>
      <c r="G1465"/>
      <c r="H1465"/>
      <c r="I1465"/>
      <c r="J1465"/>
      <c r="K1465"/>
      <c r="L1465"/>
      <c r="M1465"/>
      <c r="N1465"/>
      <c r="O1465"/>
      <c r="P1465"/>
      <c r="Q1465"/>
      <c r="R1465"/>
      <c r="S1465"/>
    </row>
    <row r="1466" spans="1:19" ht="15" x14ac:dyDescent="0.2">
      <c r="A1466"/>
      <c r="B1466"/>
      <c r="C1466"/>
      <c r="D1466"/>
      <c r="E1466"/>
      <c r="F1466"/>
      <c r="G1466"/>
      <c r="H1466"/>
      <c r="I1466"/>
      <c r="J1466"/>
      <c r="K1466"/>
      <c r="L1466"/>
      <c r="M1466"/>
      <c r="N1466"/>
      <c r="O1466"/>
      <c r="P1466"/>
      <c r="Q1466"/>
      <c r="R1466"/>
      <c r="S1466"/>
    </row>
    <row r="1467" spans="1:19" ht="15" x14ac:dyDescent="0.2">
      <c r="A1467"/>
      <c r="B1467"/>
      <c r="C1467"/>
      <c r="D1467"/>
      <c r="E1467"/>
      <c r="F1467"/>
      <c r="G1467"/>
      <c r="H1467"/>
      <c r="I1467"/>
      <c r="J1467"/>
      <c r="K1467"/>
      <c r="L1467"/>
      <c r="M1467"/>
      <c r="N1467"/>
      <c r="O1467"/>
      <c r="P1467"/>
      <c r="Q1467"/>
      <c r="R1467"/>
      <c r="S1467"/>
    </row>
    <row r="1468" spans="1:19" ht="15" x14ac:dyDescent="0.2">
      <c r="A1468"/>
      <c r="B1468"/>
      <c r="C1468"/>
      <c r="D1468"/>
      <c r="E1468"/>
      <c r="F1468"/>
      <c r="G1468"/>
      <c r="H1468"/>
      <c r="I1468"/>
      <c r="J1468"/>
      <c r="K1468"/>
      <c r="L1468"/>
      <c r="M1468"/>
      <c r="N1468"/>
      <c r="O1468"/>
      <c r="P1468"/>
      <c r="Q1468"/>
      <c r="R1468"/>
      <c r="S1468"/>
    </row>
    <row r="1469" spans="1:19" ht="15" x14ac:dyDescent="0.2">
      <c r="A1469"/>
      <c r="B1469"/>
      <c r="C1469"/>
      <c r="D1469"/>
      <c r="E1469"/>
      <c r="F1469"/>
      <c r="G1469"/>
      <c r="H1469"/>
      <c r="I1469"/>
      <c r="J1469"/>
      <c r="K1469"/>
      <c r="L1469"/>
      <c r="M1469"/>
      <c r="N1469"/>
      <c r="O1469"/>
      <c r="P1469"/>
      <c r="Q1469"/>
      <c r="R1469"/>
      <c r="S1469"/>
    </row>
    <row r="1470" spans="1:19" ht="15" x14ac:dyDescent="0.2">
      <c r="A1470"/>
      <c r="B1470"/>
      <c r="C1470"/>
      <c r="D1470"/>
      <c r="E1470"/>
      <c r="F1470"/>
      <c r="G1470"/>
      <c r="H1470"/>
      <c r="I1470"/>
      <c r="J1470"/>
      <c r="K1470"/>
      <c r="L1470"/>
      <c r="M1470"/>
      <c r="N1470"/>
      <c r="O1470"/>
      <c r="P1470"/>
      <c r="Q1470"/>
      <c r="R1470"/>
      <c r="S1470"/>
    </row>
    <row r="1471" spans="1:19" ht="15" x14ac:dyDescent="0.2">
      <c r="A1471"/>
      <c r="B1471"/>
      <c r="C1471"/>
      <c r="D1471"/>
      <c r="E1471"/>
      <c r="F1471"/>
      <c r="G1471"/>
      <c r="H1471"/>
      <c r="I1471"/>
      <c r="J1471"/>
      <c r="K1471"/>
      <c r="L1471"/>
      <c r="M1471"/>
      <c r="N1471"/>
      <c r="O1471"/>
      <c r="P1471"/>
      <c r="Q1471"/>
      <c r="R1471"/>
      <c r="S1471"/>
    </row>
    <row r="1472" spans="1:19" ht="15" x14ac:dyDescent="0.2">
      <c r="A1472"/>
      <c r="B1472"/>
      <c r="C1472"/>
      <c r="D1472"/>
      <c r="E1472"/>
      <c r="F1472"/>
      <c r="G1472"/>
      <c r="H1472"/>
      <c r="I1472"/>
      <c r="J1472"/>
      <c r="K1472"/>
      <c r="L1472"/>
      <c r="M1472"/>
      <c r="N1472"/>
      <c r="O1472"/>
      <c r="P1472"/>
      <c r="Q1472"/>
      <c r="R1472"/>
      <c r="S1472"/>
    </row>
    <row r="1473" spans="1:19" ht="15" x14ac:dyDescent="0.2">
      <c r="A1473"/>
      <c r="B1473"/>
      <c r="C1473"/>
      <c r="D1473"/>
      <c r="E1473"/>
      <c r="F1473"/>
      <c r="G1473"/>
      <c r="H1473"/>
      <c r="I1473"/>
      <c r="J1473"/>
      <c r="K1473"/>
      <c r="L1473"/>
      <c r="M1473"/>
      <c r="N1473"/>
      <c r="O1473"/>
      <c r="P1473"/>
      <c r="Q1473"/>
      <c r="R1473"/>
      <c r="S1473"/>
    </row>
    <row r="1474" spans="1:19" ht="15" x14ac:dyDescent="0.2">
      <c r="A1474"/>
      <c r="B1474"/>
      <c r="C1474"/>
      <c r="D1474"/>
      <c r="E1474"/>
      <c r="F1474"/>
      <c r="G1474"/>
      <c r="H1474"/>
      <c r="I1474"/>
      <c r="J1474"/>
      <c r="K1474"/>
      <c r="L1474"/>
      <c r="M1474"/>
      <c r="N1474"/>
      <c r="O1474"/>
      <c r="P1474"/>
      <c r="Q1474"/>
      <c r="R1474"/>
      <c r="S1474"/>
    </row>
    <row r="1475" spans="1:19" ht="15" x14ac:dyDescent="0.2">
      <c r="A1475"/>
      <c r="B1475"/>
      <c r="C1475"/>
      <c r="D1475"/>
      <c r="E1475"/>
      <c r="F1475"/>
      <c r="G1475"/>
      <c r="H1475"/>
      <c r="I1475"/>
      <c r="J1475"/>
      <c r="K1475"/>
      <c r="L1475"/>
      <c r="M1475"/>
      <c r="N1475"/>
      <c r="O1475"/>
      <c r="P1475"/>
      <c r="Q1475"/>
      <c r="R1475"/>
      <c r="S1475"/>
    </row>
    <row r="1476" spans="1:19" ht="15" x14ac:dyDescent="0.2">
      <c r="A1476"/>
      <c r="B1476"/>
      <c r="C1476"/>
      <c r="D1476"/>
      <c r="E1476"/>
      <c r="F1476"/>
      <c r="G1476"/>
      <c r="H1476"/>
      <c r="I1476"/>
      <c r="J1476"/>
      <c r="K1476"/>
      <c r="L1476"/>
      <c r="M1476"/>
      <c r="N1476"/>
      <c r="O1476"/>
      <c r="P1476"/>
      <c r="Q1476"/>
      <c r="R1476"/>
      <c r="S1476"/>
    </row>
    <row r="1477" spans="1:19" ht="15" x14ac:dyDescent="0.2">
      <c r="A1477"/>
      <c r="B1477"/>
      <c r="C1477"/>
      <c r="D1477"/>
      <c r="E1477"/>
      <c r="F1477"/>
      <c r="G1477"/>
      <c r="H1477"/>
      <c r="I1477"/>
      <c r="J1477"/>
      <c r="K1477"/>
      <c r="L1477"/>
      <c r="M1477"/>
      <c r="N1477"/>
      <c r="O1477"/>
      <c r="P1477"/>
      <c r="Q1477"/>
      <c r="R1477"/>
      <c r="S1477"/>
    </row>
    <row r="1478" spans="1:19" ht="15" x14ac:dyDescent="0.2">
      <c r="A1478"/>
      <c r="B1478"/>
      <c r="C1478"/>
      <c r="D1478"/>
      <c r="E1478"/>
      <c r="F1478"/>
      <c r="G1478"/>
      <c r="H1478"/>
      <c r="I1478"/>
      <c r="J1478"/>
      <c r="K1478"/>
      <c r="L1478"/>
      <c r="M1478"/>
      <c r="N1478"/>
      <c r="O1478"/>
      <c r="P1478"/>
      <c r="Q1478"/>
      <c r="R1478"/>
      <c r="S1478"/>
    </row>
    <row r="1479" spans="1:19" ht="15" x14ac:dyDescent="0.2">
      <c r="A1479"/>
      <c r="B1479"/>
      <c r="C1479"/>
      <c r="D1479"/>
      <c r="E1479"/>
      <c r="F1479"/>
      <c r="G1479"/>
      <c r="H1479"/>
      <c r="I1479"/>
      <c r="J1479"/>
      <c r="K1479"/>
      <c r="L1479"/>
      <c r="M1479"/>
      <c r="N1479"/>
      <c r="O1479"/>
      <c r="P1479"/>
      <c r="Q1479"/>
      <c r="R1479"/>
      <c r="S1479"/>
    </row>
    <row r="1480" spans="1:19" ht="15" x14ac:dyDescent="0.2">
      <c r="A1480"/>
      <c r="B1480"/>
      <c r="C1480"/>
      <c r="D1480"/>
      <c r="E1480"/>
      <c r="F1480"/>
      <c r="G1480"/>
      <c r="H1480"/>
      <c r="I1480"/>
      <c r="J1480"/>
      <c r="K1480"/>
      <c r="L1480"/>
      <c r="M1480"/>
      <c r="N1480"/>
      <c r="O1480"/>
      <c r="P1480"/>
      <c r="Q1480"/>
      <c r="R1480"/>
      <c r="S1480"/>
    </row>
    <row r="1481" spans="1:19" ht="15" x14ac:dyDescent="0.2">
      <c r="A1481"/>
      <c r="B1481"/>
      <c r="C1481"/>
      <c r="D1481"/>
      <c r="E1481"/>
      <c r="F1481"/>
      <c r="G1481"/>
      <c r="H1481"/>
      <c r="I1481"/>
      <c r="J1481"/>
      <c r="K1481"/>
      <c r="L1481"/>
      <c r="M1481"/>
      <c r="N1481"/>
      <c r="O1481"/>
      <c r="P1481"/>
      <c r="Q1481"/>
      <c r="R1481"/>
      <c r="S1481"/>
    </row>
    <row r="1482" spans="1:19" ht="15" x14ac:dyDescent="0.2">
      <c r="A1482"/>
      <c r="B1482"/>
      <c r="C1482"/>
      <c r="D1482"/>
      <c r="E1482"/>
      <c r="F1482"/>
      <c r="G1482"/>
      <c r="H1482"/>
      <c r="I1482"/>
      <c r="J1482"/>
      <c r="K1482"/>
      <c r="L1482"/>
      <c r="M1482"/>
      <c r="N1482"/>
      <c r="O1482"/>
      <c r="P1482"/>
      <c r="Q1482"/>
      <c r="R1482"/>
      <c r="S1482"/>
    </row>
    <row r="1483" spans="1:19" ht="15" x14ac:dyDescent="0.2">
      <c r="A1483"/>
      <c r="B1483"/>
      <c r="C1483"/>
      <c r="D1483"/>
      <c r="E1483"/>
      <c r="F1483"/>
      <c r="G1483"/>
      <c r="H1483"/>
      <c r="I1483"/>
      <c r="J1483"/>
      <c r="K1483"/>
      <c r="L1483"/>
      <c r="M1483"/>
      <c r="N1483"/>
      <c r="O1483"/>
      <c r="P1483"/>
      <c r="Q1483"/>
      <c r="R1483"/>
      <c r="S1483"/>
    </row>
    <row r="1484" spans="1:19" ht="15" x14ac:dyDescent="0.2">
      <c r="A1484"/>
      <c r="B1484"/>
      <c r="C1484"/>
      <c r="D1484"/>
      <c r="E1484"/>
      <c r="F1484"/>
      <c r="G1484"/>
      <c r="H1484"/>
      <c r="I1484"/>
      <c r="J1484"/>
      <c r="K1484"/>
      <c r="L1484"/>
      <c r="M1484"/>
      <c r="N1484"/>
      <c r="O1484"/>
      <c r="P1484"/>
      <c r="Q1484"/>
      <c r="R1484"/>
      <c r="S1484"/>
    </row>
    <row r="1485" spans="1:19" ht="15" x14ac:dyDescent="0.2">
      <c r="A1485"/>
      <c r="B1485"/>
      <c r="C1485"/>
      <c r="D1485"/>
      <c r="E1485"/>
      <c r="F1485"/>
      <c r="G1485"/>
      <c r="H1485"/>
      <c r="I1485"/>
      <c r="J1485"/>
      <c r="K1485"/>
      <c r="L1485"/>
      <c r="M1485"/>
      <c r="N1485"/>
      <c r="O1485"/>
      <c r="P1485"/>
      <c r="Q1485"/>
      <c r="R1485"/>
      <c r="S1485"/>
    </row>
    <row r="1486" spans="1:19" ht="15" x14ac:dyDescent="0.2">
      <c r="A1486"/>
      <c r="B1486"/>
      <c r="C1486"/>
      <c r="D1486"/>
      <c r="E1486"/>
      <c r="F1486"/>
      <c r="G1486"/>
      <c r="H1486"/>
      <c r="I1486"/>
      <c r="J1486"/>
      <c r="K1486"/>
      <c r="L1486"/>
      <c r="M1486"/>
      <c r="N1486"/>
      <c r="O1486"/>
      <c r="P1486"/>
      <c r="Q1486"/>
      <c r="R1486"/>
      <c r="S1486"/>
    </row>
    <row r="1487" spans="1:19" ht="15" x14ac:dyDescent="0.2">
      <c r="A1487"/>
      <c r="B1487"/>
      <c r="C1487"/>
      <c r="D1487"/>
      <c r="E1487"/>
      <c r="F1487"/>
      <c r="G1487"/>
      <c r="H1487"/>
      <c r="I1487"/>
      <c r="J1487"/>
      <c r="K1487"/>
      <c r="L1487"/>
      <c r="M1487"/>
      <c r="N1487"/>
      <c r="O1487"/>
      <c r="P1487"/>
      <c r="Q1487"/>
      <c r="R1487"/>
      <c r="S1487"/>
    </row>
    <row r="1488" spans="1:19" ht="15" x14ac:dyDescent="0.2">
      <c r="A1488"/>
      <c r="B1488"/>
      <c r="C1488"/>
      <c r="D1488"/>
      <c r="E1488"/>
      <c r="F1488"/>
      <c r="G1488"/>
      <c r="H1488"/>
      <c r="I1488"/>
      <c r="J1488"/>
      <c r="K1488"/>
      <c r="L1488"/>
      <c r="M1488"/>
      <c r="N1488"/>
      <c r="O1488"/>
      <c r="P1488"/>
      <c r="Q1488"/>
      <c r="R1488"/>
      <c r="S1488"/>
    </row>
    <row r="1489" spans="1:19" ht="15" x14ac:dyDescent="0.2">
      <c r="A1489"/>
      <c r="B1489"/>
      <c r="C1489"/>
      <c r="D1489"/>
      <c r="E1489"/>
      <c r="F1489"/>
      <c r="G1489"/>
      <c r="H1489"/>
      <c r="I1489"/>
      <c r="J1489"/>
      <c r="K1489"/>
      <c r="L1489"/>
      <c r="M1489"/>
      <c r="N1489"/>
      <c r="O1489"/>
      <c r="P1489"/>
      <c r="Q1489"/>
      <c r="R1489"/>
      <c r="S1489"/>
    </row>
    <row r="1490" spans="1:19" ht="15" x14ac:dyDescent="0.2">
      <c r="A1490"/>
      <c r="B1490"/>
      <c r="C1490"/>
      <c r="D1490"/>
      <c r="E1490"/>
      <c r="F1490"/>
      <c r="G1490"/>
      <c r="H1490"/>
      <c r="I1490"/>
      <c r="J1490"/>
      <c r="K1490"/>
      <c r="L1490"/>
      <c r="M1490"/>
      <c r="N1490"/>
      <c r="O1490"/>
      <c r="P1490"/>
      <c r="Q1490"/>
      <c r="R1490"/>
      <c r="S1490"/>
    </row>
    <row r="1491" spans="1:19" ht="15" x14ac:dyDescent="0.2">
      <c r="A1491"/>
      <c r="B1491"/>
      <c r="C1491"/>
      <c r="D1491"/>
      <c r="E1491"/>
      <c r="F1491"/>
      <c r="G1491"/>
      <c r="H1491"/>
      <c r="I1491"/>
      <c r="J1491"/>
      <c r="K1491"/>
      <c r="L1491"/>
      <c r="M1491"/>
      <c r="N1491"/>
      <c r="O1491"/>
      <c r="P1491"/>
      <c r="Q1491"/>
      <c r="R1491"/>
      <c r="S1491"/>
    </row>
    <row r="1492" spans="1:19" ht="15" x14ac:dyDescent="0.2">
      <c r="A1492"/>
      <c r="B1492"/>
      <c r="C1492"/>
      <c r="D1492"/>
      <c r="E1492"/>
      <c r="F1492"/>
      <c r="G1492"/>
      <c r="H1492"/>
      <c r="I1492"/>
      <c r="J1492"/>
      <c r="K1492"/>
      <c r="L1492"/>
      <c r="M1492"/>
      <c r="N1492"/>
      <c r="O1492"/>
      <c r="P1492"/>
      <c r="Q1492"/>
      <c r="R1492"/>
      <c r="S1492"/>
    </row>
    <row r="1493" spans="1:19" ht="15" x14ac:dyDescent="0.2">
      <c r="A1493"/>
      <c r="B1493"/>
      <c r="C1493"/>
      <c r="D1493"/>
      <c r="E1493"/>
      <c r="F1493"/>
      <c r="G1493"/>
      <c r="H1493"/>
      <c r="I1493"/>
      <c r="J1493"/>
      <c r="K1493"/>
      <c r="L1493"/>
      <c r="M1493"/>
      <c r="N1493"/>
      <c r="O1493"/>
      <c r="P1493"/>
      <c r="Q1493"/>
      <c r="R1493"/>
      <c r="S1493"/>
    </row>
    <row r="1494" spans="1:19" ht="15" x14ac:dyDescent="0.2">
      <c r="A1494"/>
      <c r="B1494"/>
      <c r="C1494"/>
      <c r="D1494"/>
      <c r="E1494"/>
      <c r="F1494"/>
      <c r="G1494"/>
      <c r="H1494"/>
      <c r="I1494"/>
      <c r="J1494"/>
      <c r="K1494"/>
      <c r="L1494"/>
      <c r="M1494"/>
      <c r="N1494"/>
      <c r="O1494"/>
      <c r="P1494"/>
      <c r="Q1494"/>
      <c r="R1494"/>
      <c r="S1494"/>
    </row>
    <row r="1495" spans="1:19" ht="15" x14ac:dyDescent="0.2">
      <c r="A1495"/>
      <c r="B1495"/>
      <c r="C1495"/>
      <c r="D1495"/>
      <c r="E1495"/>
      <c r="F1495"/>
      <c r="G1495"/>
      <c r="H1495"/>
      <c r="I1495"/>
      <c r="J1495"/>
      <c r="K1495"/>
      <c r="L1495"/>
      <c r="M1495"/>
      <c r="N1495"/>
      <c r="O1495"/>
      <c r="P1495"/>
      <c r="Q1495"/>
      <c r="R1495"/>
      <c r="S1495"/>
    </row>
    <row r="1496" spans="1:19" ht="15" x14ac:dyDescent="0.2">
      <c r="A1496"/>
      <c r="B1496"/>
      <c r="C1496"/>
      <c r="D1496"/>
      <c r="E1496"/>
      <c r="F1496"/>
      <c r="G1496"/>
      <c r="H1496"/>
      <c r="I1496"/>
      <c r="J1496"/>
      <c r="K1496"/>
      <c r="L1496"/>
      <c r="M1496"/>
      <c r="N1496"/>
      <c r="O1496"/>
      <c r="P1496"/>
      <c r="Q1496"/>
      <c r="R1496"/>
      <c r="S1496"/>
    </row>
    <row r="1497" spans="1:19" ht="15" x14ac:dyDescent="0.2">
      <c r="A1497"/>
      <c r="B1497"/>
      <c r="C1497"/>
      <c r="D1497"/>
      <c r="E1497"/>
      <c r="F1497"/>
      <c r="G1497"/>
      <c r="H1497"/>
      <c r="I1497"/>
      <c r="J1497"/>
      <c r="K1497"/>
      <c r="L1497"/>
      <c r="M1497"/>
      <c r="N1497"/>
      <c r="O1497"/>
      <c r="P1497"/>
      <c r="Q1497"/>
      <c r="R1497"/>
      <c r="S1497"/>
    </row>
    <row r="1498" spans="1:19" ht="15" x14ac:dyDescent="0.2">
      <c r="A1498"/>
      <c r="B1498"/>
      <c r="C1498"/>
      <c r="D1498"/>
      <c r="E1498"/>
      <c r="F1498"/>
      <c r="G1498"/>
      <c r="H1498"/>
      <c r="I1498"/>
      <c r="J1498"/>
      <c r="K1498"/>
      <c r="L1498"/>
      <c r="M1498"/>
      <c r="N1498"/>
      <c r="O1498"/>
      <c r="P1498"/>
      <c r="Q1498"/>
      <c r="R1498"/>
      <c r="S1498"/>
    </row>
    <row r="1499" spans="1:19" ht="15" x14ac:dyDescent="0.2">
      <c r="A1499"/>
      <c r="B1499"/>
      <c r="C1499"/>
      <c r="D1499"/>
      <c r="E1499"/>
      <c r="F1499"/>
      <c r="G1499"/>
      <c r="H1499"/>
      <c r="I1499"/>
      <c r="J1499"/>
      <c r="K1499"/>
      <c r="L1499"/>
      <c r="M1499"/>
      <c r="N1499"/>
      <c r="O1499"/>
      <c r="P1499"/>
      <c r="Q1499"/>
      <c r="R1499"/>
      <c r="S1499"/>
    </row>
    <row r="1500" spans="1:19" ht="15" x14ac:dyDescent="0.2">
      <c r="A1500"/>
      <c r="B1500"/>
      <c r="C1500"/>
      <c r="D1500"/>
      <c r="E1500"/>
      <c r="F1500"/>
      <c r="G1500"/>
      <c r="H1500"/>
      <c r="I1500"/>
      <c r="J1500"/>
      <c r="K1500"/>
      <c r="L1500"/>
      <c r="M1500"/>
      <c r="N1500"/>
      <c r="O1500"/>
      <c r="P1500"/>
      <c r="Q1500"/>
      <c r="R1500"/>
      <c r="S1500"/>
    </row>
    <row r="1501" spans="1:19" ht="15" x14ac:dyDescent="0.2">
      <c r="A1501"/>
      <c r="B1501"/>
      <c r="C1501"/>
      <c r="D1501"/>
      <c r="E1501"/>
      <c r="F1501"/>
      <c r="G1501"/>
      <c r="H1501"/>
      <c r="I1501"/>
      <c r="J1501"/>
      <c r="K1501"/>
      <c r="L1501"/>
      <c r="M1501"/>
      <c r="N1501"/>
      <c r="O1501"/>
      <c r="P1501"/>
      <c r="Q1501"/>
      <c r="R1501"/>
      <c r="S1501"/>
    </row>
    <row r="1502" spans="1:19" ht="15" x14ac:dyDescent="0.2">
      <c r="A1502"/>
      <c r="B1502"/>
      <c r="C1502"/>
      <c r="D1502"/>
      <c r="E1502"/>
      <c r="F1502"/>
      <c r="G1502"/>
      <c r="H1502"/>
      <c r="I1502"/>
      <c r="J1502"/>
      <c r="K1502"/>
      <c r="L1502"/>
      <c r="M1502"/>
      <c r="N1502"/>
      <c r="O1502"/>
      <c r="P1502"/>
      <c r="Q1502"/>
      <c r="R1502"/>
      <c r="S1502"/>
    </row>
    <row r="1503" spans="1:19" ht="15" x14ac:dyDescent="0.2">
      <c r="A1503"/>
      <c r="B1503"/>
      <c r="C1503"/>
      <c r="D1503"/>
      <c r="E1503"/>
      <c r="F1503"/>
      <c r="G1503"/>
      <c r="H1503"/>
      <c r="I1503"/>
      <c r="J1503"/>
      <c r="K1503"/>
      <c r="L1503"/>
      <c r="M1503"/>
      <c r="N1503"/>
      <c r="O1503"/>
      <c r="P1503"/>
      <c r="Q1503"/>
      <c r="R1503"/>
      <c r="S1503"/>
    </row>
    <row r="1504" spans="1:19" ht="15" x14ac:dyDescent="0.2">
      <c r="A1504"/>
      <c r="B1504"/>
      <c r="C1504"/>
      <c r="D1504"/>
      <c r="E1504"/>
      <c r="F1504"/>
      <c r="G1504"/>
      <c r="H1504"/>
      <c r="I1504"/>
      <c r="J1504"/>
      <c r="K1504"/>
      <c r="L1504"/>
      <c r="M1504"/>
      <c r="N1504"/>
      <c r="O1504"/>
      <c r="P1504"/>
      <c r="Q1504"/>
      <c r="R1504"/>
      <c r="S1504"/>
    </row>
    <row r="1505" spans="1:19" ht="15" x14ac:dyDescent="0.2">
      <c r="A1505"/>
      <c r="B1505"/>
      <c r="C1505"/>
      <c r="D1505"/>
      <c r="E1505"/>
      <c r="F1505"/>
      <c r="G1505"/>
      <c r="H1505"/>
      <c r="I1505"/>
      <c r="J1505"/>
      <c r="K1505"/>
      <c r="L1505"/>
      <c r="M1505"/>
      <c r="N1505"/>
      <c r="O1505"/>
      <c r="P1505"/>
      <c r="Q1505"/>
      <c r="R1505"/>
      <c r="S1505"/>
    </row>
    <row r="1506" spans="1:19" ht="15" x14ac:dyDescent="0.2">
      <c r="A1506"/>
      <c r="B1506"/>
      <c r="C1506"/>
      <c r="D1506"/>
      <c r="E1506"/>
      <c r="F1506"/>
      <c r="G1506"/>
      <c r="H1506"/>
      <c r="I1506"/>
      <c r="J1506"/>
      <c r="K1506"/>
      <c r="L1506"/>
      <c r="M1506"/>
      <c r="N1506"/>
      <c r="O1506"/>
      <c r="P1506"/>
      <c r="Q1506"/>
      <c r="R1506"/>
      <c r="S1506"/>
    </row>
    <row r="1507" spans="1:19" ht="15" x14ac:dyDescent="0.2">
      <c r="A1507"/>
      <c r="B1507"/>
      <c r="C1507"/>
      <c r="D1507"/>
      <c r="E1507"/>
      <c r="F1507"/>
      <c r="G1507"/>
      <c r="H1507"/>
      <c r="I1507"/>
      <c r="J1507"/>
      <c r="K1507"/>
      <c r="L1507"/>
      <c r="M1507"/>
      <c r="N1507"/>
      <c r="O1507"/>
      <c r="P1507"/>
      <c r="Q1507"/>
      <c r="R1507"/>
      <c r="S1507"/>
    </row>
    <row r="1508" spans="1:19" ht="15" x14ac:dyDescent="0.2">
      <c r="A1508"/>
      <c r="B1508"/>
      <c r="C1508"/>
      <c r="D1508"/>
      <c r="E1508"/>
      <c r="F1508"/>
      <c r="G1508"/>
      <c r="H1508"/>
      <c r="I1508"/>
      <c r="J1508"/>
      <c r="K1508"/>
      <c r="L1508"/>
      <c r="M1508"/>
      <c r="N1508"/>
      <c r="O1508"/>
      <c r="P1508"/>
      <c r="Q1508"/>
      <c r="R1508"/>
      <c r="S1508"/>
    </row>
    <row r="1509" spans="1:19" ht="15" x14ac:dyDescent="0.2">
      <c r="A1509"/>
      <c r="B1509"/>
      <c r="C1509"/>
      <c r="D1509"/>
      <c r="E1509"/>
      <c r="F1509"/>
      <c r="G1509"/>
      <c r="H1509"/>
      <c r="I1509"/>
      <c r="J1509"/>
      <c r="K1509"/>
      <c r="L1509"/>
      <c r="M1509"/>
      <c r="N1509"/>
      <c r="O1509"/>
      <c r="P1509"/>
      <c r="Q1509"/>
      <c r="R1509"/>
      <c r="S1509"/>
    </row>
    <row r="1510" spans="1:19" ht="15" x14ac:dyDescent="0.2">
      <c r="A1510"/>
      <c r="B1510"/>
      <c r="C1510"/>
      <c r="D1510"/>
      <c r="E1510"/>
      <c r="F1510"/>
      <c r="G1510"/>
      <c r="H1510"/>
      <c r="I1510"/>
      <c r="J1510"/>
      <c r="K1510"/>
      <c r="L1510"/>
      <c r="M1510"/>
      <c r="N1510"/>
      <c r="O1510"/>
      <c r="P1510"/>
      <c r="Q1510"/>
      <c r="R1510"/>
      <c r="S1510"/>
    </row>
    <row r="1511" spans="1:19" ht="15" x14ac:dyDescent="0.2">
      <c r="A1511"/>
      <c r="B1511"/>
      <c r="C1511"/>
      <c r="D1511"/>
      <c r="E1511"/>
      <c r="F1511"/>
      <c r="G1511"/>
      <c r="H1511"/>
      <c r="I1511"/>
      <c r="J1511"/>
      <c r="K1511"/>
      <c r="L1511"/>
      <c r="M1511"/>
      <c r="N1511"/>
      <c r="O1511"/>
      <c r="P1511"/>
      <c r="Q1511"/>
      <c r="R1511"/>
      <c r="S1511"/>
    </row>
    <row r="1512" spans="1:19" ht="15" x14ac:dyDescent="0.2">
      <c r="A1512"/>
      <c r="B1512"/>
      <c r="C1512"/>
      <c r="D1512"/>
      <c r="E1512"/>
      <c r="F1512"/>
      <c r="G1512"/>
      <c r="H1512"/>
      <c r="I1512"/>
      <c r="J1512"/>
      <c r="K1512"/>
      <c r="L1512"/>
      <c r="M1512"/>
      <c r="N1512"/>
      <c r="O1512"/>
      <c r="P1512"/>
      <c r="Q1512"/>
      <c r="R1512"/>
      <c r="S1512"/>
    </row>
    <row r="1513" spans="1:19" ht="15" x14ac:dyDescent="0.2">
      <c r="A1513"/>
      <c r="B1513"/>
      <c r="C1513"/>
      <c r="D1513"/>
      <c r="E1513"/>
      <c r="F1513"/>
      <c r="G1513"/>
      <c r="H1513"/>
      <c r="I1513"/>
      <c r="J1513"/>
      <c r="K1513"/>
      <c r="L1513"/>
      <c r="M1513"/>
      <c r="N1513"/>
      <c r="O1513"/>
      <c r="P1513"/>
      <c r="Q1513"/>
      <c r="R1513"/>
      <c r="S1513"/>
    </row>
    <row r="1514" spans="1:19" ht="15" x14ac:dyDescent="0.2">
      <c r="A1514"/>
      <c r="B1514"/>
      <c r="C1514"/>
      <c r="D1514"/>
      <c r="E1514"/>
      <c r="F1514"/>
      <c r="G1514"/>
      <c r="H1514"/>
      <c r="I1514"/>
      <c r="J1514"/>
      <c r="K1514"/>
      <c r="L1514"/>
      <c r="M1514"/>
      <c r="N1514"/>
      <c r="O1514"/>
      <c r="P1514"/>
      <c r="Q1514"/>
      <c r="R1514"/>
      <c r="S1514"/>
    </row>
    <row r="1515" spans="1:19" ht="15" x14ac:dyDescent="0.2">
      <c r="A1515"/>
      <c r="B1515"/>
      <c r="C1515"/>
      <c r="D1515"/>
      <c r="E1515"/>
      <c r="F1515"/>
      <c r="G1515"/>
      <c r="H1515"/>
      <c r="I1515"/>
      <c r="J1515"/>
      <c r="K1515"/>
      <c r="L1515"/>
      <c r="M1515"/>
      <c r="N1515"/>
      <c r="O1515"/>
      <c r="P1515"/>
      <c r="Q1515"/>
      <c r="R1515"/>
      <c r="S1515"/>
    </row>
    <row r="1516" spans="1:19" ht="15" x14ac:dyDescent="0.2">
      <c r="A1516"/>
      <c r="B1516"/>
      <c r="C1516"/>
      <c r="D1516"/>
      <c r="E1516"/>
      <c r="F1516"/>
      <c r="G1516"/>
      <c r="H1516"/>
      <c r="I1516"/>
      <c r="J1516"/>
      <c r="K1516"/>
      <c r="L1516"/>
      <c r="M1516"/>
      <c r="N1516"/>
      <c r="O1516"/>
      <c r="P1516"/>
      <c r="Q1516"/>
      <c r="R1516"/>
      <c r="S1516"/>
    </row>
    <row r="1517" spans="1:19" ht="15" x14ac:dyDescent="0.2">
      <c r="A1517"/>
      <c r="B1517"/>
      <c r="C1517"/>
      <c r="D1517"/>
      <c r="E1517"/>
      <c r="F1517"/>
      <c r="G1517"/>
      <c r="H1517"/>
      <c r="I1517"/>
      <c r="J1517"/>
      <c r="K1517"/>
      <c r="L1517"/>
      <c r="M1517"/>
      <c r="N1517"/>
      <c r="O1517"/>
      <c r="P1517"/>
      <c r="Q1517"/>
      <c r="R1517"/>
      <c r="S1517"/>
    </row>
    <row r="1518" spans="1:19" ht="15" x14ac:dyDescent="0.2">
      <c r="A1518"/>
      <c r="B1518"/>
      <c r="C1518"/>
      <c r="D1518"/>
      <c r="E1518"/>
      <c r="F1518"/>
      <c r="G1518"/>
      <c r="H1518"/>
      <c r="I1518"/>
      <c r="J1518"/>
      <c r="K1518"/>
      <c r="L1518"/>
      <c r="M1518"/>
      <c r="N1518"/>
      <c r="O1518"/>
      <c r="P1518"/>
      <c r="Q1518"/>
      <c r="R1518"/>
      <c r="S1518"/>
    </row>
    <row r="1519" spans="1:19" ht="15" x14ac:dyDescent="0.2">
      <c r="A1519"/>
      <c r="B1519"/>
      <c r="C1519"/>
      <c r="D1519"/>
      <c r="E1519"/>
      <c r="F1519"/>
      <c r="G1519"/>
      <c r="H1519"/>
      <c r="I1519"/>
      <c r="J1519"/>
      <c r="K1519"/>
      <c r="L1519"/>
      <c r="M1519"/>
      <c r="N1519"/>
      <c r="O1519"/>
      <c r="P1519"/>
      <c r="Q1519"/>
      <c r="R1519"/>
      <c r="S1519"/>
    </row>
    <row r="1520" spans="1:19" ht="15" x14ac:dyDescent="0.2">
      <c r="A1520"/>
      <c r="B1520"/>
      <c r="C1520"/>
      <c r="D1520"/>
      <c r="E1520"/>
      <c r="F1520"/>
      <c r="G1520"/>
      <c r="H1520"/>
      <c r="I1520"/>
      <c r="J1520"/>
      <c r="K1520"/>
      <c r="L1520"/>
      <c r="M1520"/>
      <c r="N1520"/>
      <c r="O1520"/>
      <c r="P1520"/>
      <c r="Q1520"/>
      <c r="R1520"/>
      <c r="S1520"/>
    </row>
    <row r="1521" spans="1:19" ht="15" x14ac:dyDescent="0.2">
      <c r="A1521"/>
      <c r="B1521"/>
      <c r="C1521"/>
      <c r="D1521"/>
      <c r="E1521"/>
      <c r="F1521"/>
      <c r="G1521"/>
      <c r="H1521"/>
      <c r="I1521"/>
      <c r="J1521"/>
      <c r="K1521"/>
      <c r="L1521"/>
      <c r="M1521"/>
      <c r="N1521"/>
      <c r="O1521"/>
      <c r="P1521"/>
      <c r="Q1521"/>
      <c r="R1521"/>
      <c r="S1521"/>
    </row>
    <row r="1522" spans="1:19" ht="15" x14ac:dyDescent="0.2">
      <c r="A1522"/>
      <c r="B1522"/>
      <c r="C1522"/>
      <c r="D1522"/>
      <c r="E1522"/>
      <c r="F1522"/>
      <c r="G1522"/>
      <c r="H1522"/>
      <c r="I1522"/>
      <c r="J1522"/>
      <c r="K1522"/>
      <c r="L1522"/>
      <c r="M1522"/>
      <c r="N1522"/>
      <c r="O1522"/>
      <c r="P1522"/>
      <c r="Q1522"/>
      <c r="R1522"/>
      <c r="S1522"/>
    </row>
    <row r="1523" spans="1:19" ht="15" x14ac:dyDescent="0.2">
      <c r="A1523"/>
      <c r="B1523"/>
      <c r="C1523"/>
      <c r="D1523"/>
      <c r="E1523"/>
      <c r="F1523"/>
      <c r="G1523"/>
      <c r="H1523"/>
      <c r="I1523"/>
      <c r="J1523"/>
      <c r="K1523"/>
      <c r="L1523"/>
      <c r="M1523"/>
      <c r="N1523"/>
      <c r="O1523"/>
      <c r="P1523"/>
      <c r="Q1523"/>
      <c r="R1523"/>
      <c r="S1523"/>
    </row>
    <row r="1524" spans="1:19" ht="15" x14ac:dyDescent="0.2">
      <c r="A1524"/>
      <c r="B1524"/>
      <c r="C1524"/>
      <c r="D1524"/>
      <c r="E1524"/>
      <c r="F1524"/>
      <c r="G1524"/>
      <c r="H1524"/>
      <c r="I1524"/>
      <c r="J1524"/>
      <c r="K1524"/>
      <c r="L1524"/>
      <c r="M1524"/>
      <c r="N1524"/>
      <c r="O1524"/>
      <c r="P1524"/>
      <c r="Q1524"/>
      <c r="R1524"/>
      <c r="S1524"/>
    </row>
    <row r="1525" spans="1:19" ht="15" x14ac:dyDescent="0.2">
      <c r="A1525"/>
      <c r="B1525"/>
      <c r="C1525"/>
      <c r="D1525"/>
      <c r="E1525"/>
      <c r="F1525"/>
      <c r="G1525"/>
      <c r="H1525"/>
      <c r="I1525"/>
      <c r="J1525"/>
      <c r="K1525"/>
      <c r="L1525"/>
      <c r="M1525"/>
      <c r="N1525"/>
      <c r="O1525"/>
      <c r="P1525"/>
      <c r="Q1525"/>
      <c r="R1525"/>
      <c r="S1525"/>
    </row>
    <row r="1526" spans="1:19" ht="15" x14ac:dyDescent="0.2">
      <c r="A1526"/>
      <c r="B1526"/>
      <c r="C1526"/>
      <c r="D1526"/>
      <c r="E1526"/>
      <c r="F1526"/>
      <c r="G1526"/>
      <c r="H1526"/>
      <c r="I1526"/>
      <c r="J1526"/>
      <c r="K1526"/>
      <c r="L1526"/>
      <c r="M1526"/>
      <c r="N1526"/>
      <c r="O1526"/>
      <c r="P1526"/>
      <c r="Q1526"/>
      <c r="R1526"/>
      <c r="S1526"/>
    </row>
    <row r="1527" spans="1:19" ht="15" x14ac:dyDescent="0.2">
      <c r="A1527"/>
      <c r="B1527"/>
      <c r="C1527"/>
      <c r="D1527"/>
      <c r="E1527"/>
      <c r="F1527"/>
      <c r="G1527"/>
      <c r="H1527"/>
      <c r="I1527"/>
      <c r="J1527"/>
      <c r="K1527"/>
      <c r="L1527"/>
      <c r="M1527"/>
      <c r="N1527"/>
      <c r="O1527"/>
      <c r="P1527"/>
      <c r="Q1527"/>
      <c r="R1527"/>
      <c r="S1527"/>
    </row>
    <row r="1528" spans="1:19" ht="15" x14ac:dyDescent="0.2">
      <c r="A1528"/>
      <c r="B1528"/>
      <c r="C1528"/>
      <c r="D1528"/>
      <c r="E1528"/>
      <c r="F1528"/>
      <c r="G1528"/>
      <c r="H1528"/>
      <c r="I1528"/>
      <c r="J1528"/>
      <c r="K1528"/>
      <c r="L1528"/>
      <c r="M1528"/>
      <c r="N1528"/>
      <c r="O1528"/>
      <c r="P1528"/>
      <c r="Q1528"/>
      <c r="R1528"/>
      <c r="S1528"/>
    </row>
    <row r="1529" spans="1:19" ht="15" x14ac:dyDescent="0.2">
      <c r="A1529"/>
      <c r="B1529"/>
      <c r="C1529"/>
      <c r="D1529"/>
      <c r="E1529"/>
      <c r="F1529"/>
      <c r="G1529"/>
      <c r="H1529"/>
      <c r="I1529"/>
      <c r="J1529"/>
      <c r="K1529"/>
      <c r="L1529"/>
      <c r="M1529"/>
      <c r="N1529"/>
      <c r="O1529"/>
      <c r="P1529"/>
      <c r="Q1529"/>
      <c r="R1529"/>
      <c r="S1529"/>
    </row>
    <row r="1530" spans="1:19" ht="15" x14ac:dyDescent="0.2">
      <c r="A1530"/>
      <c r="B1530"/>
      <c r="C1530"/>
      <c r="D1530"/>
      <c r="E1530"/>
      <c r="F1530"/>
      <c r="G1530"/>
      <c r="H1530"/>
      <c r="I1530"/>
      <c r="J1530"/>
      <c r="K1530"/>
      <c r="L1530"/>
      <c r="M1530"/>
      <c r="N1530"/>
      <c r="O1530"/>
      <c r="P1530"/>
      <c r="Q1530"/>
      <c r="R1530"/>
      <c r="S1530"/>
    </row>
    <row r="1531" spans="1:19" ht="15" x14ac:dyDescent="0.2">
      <c r="A1531"/>
      <c r="B1531"/>
      <c r="C1531"/>
      <c r="D1531"/>
      <c r="E1531"/>
      <c r="F1531"/>
      <c r="G1531"/>
      <c r="H1531"/>
      <c r="I1531"/>
      <c r="J1531"/>
      <c r="K1531"/>
      <c r="L1531"/>
      <c r="M1531"/>
      <c r="N1531"/>
      <c r="O1531"/>
      <c r="P1531"/>
      <c r="Q1531"/>
      <c r="R1531"/>
      <c r="S1531"/>
    </row>
    <row r="1532" spans="1:19" ht="15" x14ac:dyDescent="0.2">
      <c r="A1532"/>
      <c r="B1532"/>
      <c r="C1532"/>
      <c r="D1532"/>
      <c r="E1532"/>
      <c r="F1532"/>
      <c r="G1532"/>
      <c r="H1532"/>
      <c r="I1532"/>
      <c r="J1532"/>
      <c r="K1532"/>
      <c r="L1532"/>
      <c r="M1532"/>
      <c r="N1532"/>
      <c r="O1532"/>
      <c r="P1532"/>
      <c r="Q1532"/>
      <c r="R1532"/>
      <c r="S1532"/>
    </row>
    <row r="1533" spans="1:19" ht="15" x14ac:dyDescent="0.2">
      <c r="A1533"/>
      <c r="B1533"/>
      <c r="C1533"/>
      <c r="D1533"/>
      <c r="E1533"/>
      <c r="F1533"/>
      <c r="G1533"/>
      <c r="H1533"/>
      <c r="I1533"/>
      <c r="J1533"/>
      <c r="K1533"/>
      <c r="L1533"/>
      <c r="M1533"/>
      <c r="N1533"/>
      <c r="O1533"/>
      <c r="P1533"/>
      <c r="Q1533"/>
      <c r="R1533"/>
      <c r="S1533"/>
    </row>
    <row r="1534" spans="1:19" ht="15" x14ac:dyDescent="0.2">
      <c r="A1534"/>
      <c r="B1534"/>
      <c r="C1534"/>
      <c r="D1534"/>
      <c r="E1534"/>
      <c r="F1534"/>
      <c r="G1534"/>
      <c r="H1534"/>
      <c r="I1534"/>
      <c r="J1534"/>
      <c r="K1534"/>
      <c r="L1534"/>
      <c r="M1534"/>
      <c r="N1534"/>
      <c r="O1534"/>
      <c r="P1534"/>
      <c r="Q1534"/>
      <c r="R1534"/>
      <c r="S1534"/>
    </row>
    <row r="1535" spans="1:19" ht="15" x14ac:dyDescent="0.2">
      <c r="A1535"/>
      <c r="B1535"/>
      <c r="C1535"/>
      <c r="D1535"/>
      <c r="E1535"/>
      <c r="F1535"/>
      <c r="G1535"/>
      <c r="H1535"/>
      <c r="I1535"/>
      <c r="J1535"/>
      <c r="K1535"/>
      <c r="L1535"/>
      <c r="M1535"/>
      <c r="N1535"/>
      <c r="O1535"/>
      <c r="P1535"/>
      <c r="Q1535"/>
      <c r="R1535"/>
      <c r="S1535"/>
    </row>
    <row r="1536" spans="1:19" ht="15" x14ac:dyDescent="0.2">
      <c r="A1536"/>
      <c r="B1536"/>
      <c r="C1536"/>
      <c r="D1536"/>
      <c r="E1536"/>
      <c r="F1536"/>
      <c r="G1536"/>
      <c r="H1536"/>
      <c r="I1536"/>
      <c r="J1536"/>
      <c r="K1536"/>
      <c r="L1536"/>
      <c r="M1536"/>
      <c r="N1536"/>
      <c r="O1536"/>
      <c r="P1536"/>
      <c r="Q1536"/>
      <c r="R1536"/>
      <c r="S1536"/>
    </row>
    <row r="1537" spans="1:19" ht="15" x14ac:dyDescent="0.2">
      <c r="A1537"/>
      <c r="B1537"/>
      <c r="C1537"/>
      <c r="D1537"/>
      <c r="E1537"/>
      <c r="F1537"/>
      <c r="G1537"/>
      <c r="H1537"/>
      <c r="I1537"/>
      <c r="J1537"/>
      <c r="K1537"/>
      <c r="L1537"/>
      <c r="M1537"/>
      <c r="N1537"/>
      <c r="O1537"/>
      <c r="P1537"/>
      <c r="Q1537"/>
      <c r="R1537"/>
      <c r="S1537"/>
    </row>
    <row r="1538" spans="1:19" ht="15" x14ac:dyDescent="0.2">
      <c r="A1538"/>
      <c r="B1538"/>
      <c r="C1538"/>
      <c r="D1538"/>
      <c r="E1538"/>
      <c r="F1538"/>
      <c r="G1538"/>
      <c r="H1538"/>
      <c r="I1538"/>
      <c r="J1538"/>
      <c r="K1538"/>
      <c r="L1538"/>
      <c r="M1538"/>
      <c r="N1538"/>
      <c r="O1538"/>
      <c r="P1538"/>
      <c r="Q1538"/>
      <c r="R1538"/>
      <c r="S1538"/>
    </row>
    <row r="1539" spans="1:19" ht="15" x14ac:dyDescent="0.2">
      <c r="A1539"/>
      <c r="B1539"/>
      <c r="C1539"/>
      <c r="D1539"/>
      <c r="E1539"/>
      <c r="F1539"/>
      <c r="G1539"/>
      <c r="H1539"/>
      <c r="I1539"/>
      <c r="J1539"/>
      <c r="K1539"/>
      <c r="L1539"/>
      <c r="M1539"/>
      <c r="N1539"/>
      <c r="O1539"/>
      <c r="P1539"/>
      <c r="Q1539"/>
      <c r="R1539"/>
      <c r="S1539"/>
    </row>
    <row r="1540" spans="1:19" ht="15" x14ac:dyDescent="0.2">
      <c r="A1540"/>
      <c r="B1540"/>
      <c r="C1540"/>
      <c r="D1540"/>
      <c r="E1540"/>
      <c r="F1540"/>
      <c r="G1540"/>
      <c r="H1540"/>
      <c r="I1540"/>
      <c r="J1540"/>
      <c r="K1540"/>
      <c r="L1540"/>
      <c r="M1540"/>
      <c r="N1540"/>
      <c r="O1540"/>
      <c r="P1540"/>
      <c r="Q1540"/>
      <c r="R1540"/>
      <c r="S1540"/>
    </row>
    <row r="1541" spans="1:19" ht="15" x14ac:dyDescent="0.2">
      <c r="A1541"/>
      <c r="B1541"/>
      <c r="C1541"/>
      <c r="D1541"/>
      <c r="E1541"/>
      <c r="F1541"/>
      <c r="G1541"/>
      <c r="H1541"/>
      <c r="I1541"/>
      <c r="J1541"/>
      <c r="K1541"/>
      <c r="L1541"/>
      <c r="M1541"/>
      <c r="N1541"/>
      <c r="O1541"/>
      <c r="P1541"/>
      <c r="Q1541"/>
      <c r="R1541"/>
      <c r="S1541"/>
    </row>
    <row r="1542" spans="1:19" ht="15" x14ac:dyDescent="0.2">
      <c r="A1542"/>
      <c r="B1542"/>
      <c r="C1542"/>
      <c r="D1542"/>
      <c r="E1542"/>
      <c r="F1542"/>
      <c r="G1542"/>
      <c r="H1542"/>
      <c r="I1542"/>
      <c r="J1542"/>
      <c r="K1542"/>
      <c r="L1542"/>
      <c r="M1542"/>
      <c r="N1542"/>
      <c r="O1542"/>
      <c r="P1542"/>
      <c r="Q1542"/>
      <c r="R1542"/>
      <c r="S1542"/>
    </row>
    <row r="1543" spans="1:19" ht="15" x14ac:dyDescent="0.2">
      <c r="A1543"/>
      <c r="B1543"/>
      <c r="C1543"/>
      <c r="D1543"/>
      <c r="E1543"/>
      <c r="F1543"/>
      <c r="G1543"/>
      <c r="H1543"/>
      <c r="I1543"/>
      <c r="J1543"/>
      <c r="K1543"/>
      <c r="L1543"/>
      <c r="M1543"/>
      <c r="N1543"/>
      <c r="O1543"/>
      <c r="P1543"/>
      <c r="Q1543"/>
      <c r="R1543"/>
      <c r="S1543"/>
    </row>
    <row r="1544" spans="1:19" ht="15" x14ac:dyDescent="0.2">
      <c r="A1544"/>
      <c r="B1544"/>
      <c r="C1544"/>
      <c r="D1544"/>
      <c r="E1544"/>
      <c r="F1544"/>
      <c r="G1544"/>
      <c r="H1544"/>
      <c r="I1544"/>
      <c r="J1544"/>
      <c r="K1544"/>
      <c r="L1544"/>
      <c r="M1544"/>
      <c r="N1544"/>
      <c r="O1544"/>
      <c r="P1544"/>
      <c r="Q1544"/>
      <c r="R1544"/>
      <c r="S1544"/>
    </row>
    <row r="1545" spans="1:19" ht="15" x14ac:dyDescent="0.2">
      <c r="A1545"/>
      <c r="B1545"/>
      <c r="C1545"/>
      <c r="D1545"/>
      <c r="E1545"/>
      <c r="F1545"/>
      <c r="G1545"/>
      <c r="H1545"/>
      <c r="I1545"/>
      <c r="J1545"/>
      <c r="K1545"/>
      <c r="L1545"/>
      <c r="M1545"/>
      <c r="N1545"/>
      <c r="O1545"/>
      <c r="P1545"/>
      <c r="Q1545"/>
      <c r="R1545"/>
      <c r="S1545"/>
    </row>
    <row r="1546" spans="1:19" ht="15" x14ac:dyDescent="0.2">
      <c r="A1546"/>
      <c r="B1546"/>
      <c r="C1546"/>
      <c r="D1546"/>
      <c r="E1546"/>
      <c r="F1546"/>
      <c r="G1546"/>
      <c r="H1546"/>
      <c r="I1546"/>
      <c r="J1546"/>
      <c r="K1546"/>
      <c r="L1546"/>
      <c r="M1546"/>
      <c r="N1546"/>
      <c r="O1546"/>
      <c r="P1546"/>
      <c r="Q1546"/>
      <c r="R1546"/>
      <c r="S1546"/>
    </row>
    <row r="1547" spans="1:19" ht="15" x14ac:dyDescent="0.2">
      <c r="A1547"/>
      <c r="B1547"/>
      <c r="C1547"/>
      <c r="D1547"/>
      <c r="E1547"/>
      <c r="F1547"/>
      <c r="G1547"/>
      <c r="H1547"/>
      <c r="I1547"/>
      <c r="J1547"/>
      <c r="K1547"/>
      <c r="L1547"/>
      <c r="M1547"/>
      <c r="N1547"/>
      <c r="O1547"/>
      <c r="P1547"/>
      <c r="Q1547"/>
      <c r="R1547"/>
      <c r="S1547"/>
    </row>
    <row r="1548" spans="1:19" ht="15" x14ac:dyDescent="0.2">
      <c r="A1548"/>
      <c r="B1548"/>
      <c r="C1548"/>
      <c r="D1548"/>
      <c r="E1548"/>
      <c r="F1548"/>
      <c r="G1548"/>
      <c r="H1548"/>
      <c r="I1548"/>
      <c r="J1548"/>
      <c r="K1548"/>
      <c r="L1548"/>
      <c r="M1548"/>
      <c r="N1548"/>
      <c r="O1548"/>
      <c r="P1548"/>
      <c r="Q1548"/>
      <c r="R1548"/>
      <c r="S1548"/>
    </row>
    <row r="1549" spans="1:19" ht="15" x14ac:dyDescent="0.2">
      <c r="A1549"/>
      <c r="B1549"/>
      <c r="C1549"/>
      <c r="D1549"/>
      <c r="E1549"/>
      <c r="F1549"/>
      <c r="G1549"/>
      <c r="H1549"/>
      <c r="I1549"/>
      <c r="J1549"/>
      <c r="K1549"/>
      <c r="L1549"/>
      <c r="M1549"/>
      <c r="N1549"/>
      <c r="O1549"/>
      <c r="P1549"/>
      <c r="Q1549"/>
      <c r="R1549"/>
      <c r="S1549"/>
    </row>
    <row r="1550" spans="1:19" ht="15" x14ac:dyDescent="0.2">
      <c r="A1550"/>
      <c r="B1550"/>
      <c r="C1550"/>
      <c r="D1550"/>
      <c r="E1550"/>
      <c r="F1550"/>
      <c r="G1550"/>
      <c r="H1550"/>
      <c r="I1550"/>
      <c r="J1550"/>
      <c r="K1550"/>
      <c r="L1550"/>
      <c r="M1550"/>
      <c r="N1550"/>
      <c r="O1550"/>
      <c r="P1550"/>
      <c r="Q1550"/>
      <c r="R1550"/>
      <c r="S1550"/>
    </row>
    <row r="1551" spans="1:19" ht="15" x14ac:dyDescent="0.2">
      <c r="A1551"/>
      <c r="B1551"/>
      <c r="C1551"/>
      <c r="D1551"/>
      <c r="E1551"/>
      <c r="F1551"/>
      <c r="G1551"/>
      <c r="H1551"/>
      <c r="I1551"/>
      <c r="J1551"/>
      <c r="K1551"/>
      <c r="L1551"/>
      <c r="M1551"/>
      <c r="N1551"/>
      <c r="O1551"/>
      <c r="P1551"/>
      <c r="Q1551"/>
      <c r="R1551"/>
      <c r="S1551"/>
    </row>
    <row r="1552" spans="1:19" ht="15" x14ac:dyDescent="0.2">
      <c r="A1552"/>
      <c r="B1552"/>
      <c r="C1552"/>
      <c r="D1552"/>
      <c r="E1552"/>
      <c r="F1552"/>
      <c r="G1552"/>
      <c r="H1552"/>
      <c r="I1552"/>
      <c r="J1552"/>
      <c r="K1552"/>
      <c r="L1552"/>
      <c r="M1552"/>
      <c r="N1552"/>
      <c r="O1552"/>
      <c r="P1552"/>
      <c r="Q1552"/>
      <c r="R1552"/>
      <c r="S1552"/>
    </row>
    <row r="1553" spans="1:19" ht="15" x14ac:dyDescent="0.2">
      <c r="A1553"/>
      <c r="B1553"/>
      <c r="C1553"/>
      <c r="D1553"/>
      <c r="E1553"/>
      <c r="F1553"/>
      <c r="G1553"/>
      <c r="H1553"/>
      <c r="I1553"/>
      <c r="J1553"/>
      <c r="K1553"/>
      <c r="L1553"/>
      <c r="M1553"/>
      <c r="N1553"/>
      <c r="O1553"/>
      <c r="P1553"/>
      <c r="Q1553"/>
      <c r="R1553"/>
      <c r="S1553"/>
    </row>
    <row r="1554" spans="1:19" ht="15" x14ac:dyDescent="0.2">
      <c r="A1554"/>
      <c r="B1554"/>
      <c r="C1554"/>
      <c r="D1554"/>
      <c r="E1554"/>
      <c r="F1554"/>
      <c r="G1554"/>
      <c r="H1554"/>
      <c r="I1554"/>
      <c r="J1554"/>
      <c r="K1554"/>
      <c r="L1554"/>
      <c r="M1554"/>
      <c r="N1554"/>
      <c r="O1554"/>
      <c r="P1554"/>
      <c r="Q1554"/>
      <c r="R1554"/>
      <c r="S1554"/>
    </row>
    <row r="1555" spans="1:19" ht="15" x14ac:dyDescent="0.2">
      <c r="A1555"/>
      <c r="B1555"/>
      <c r="C1555"/>
      <c r="D1555"/>
      <c r="E1555"/>
      <c r="F1555"/>
      <c r="G1555"/>
      <c r="H1555"/>
      <c r="I1555"/>
      <c r="J1555"/>
      <c r="K1555"/>
      <c r="L1555"/>
      <c r="M1555"/>
      <c r="N1555"/>
      <c r="O1555"/>
      <c r="P1555"/>
      <c r="Q1555"/>
      <c r="R1555"/>
      <c r="S1555"/>
    </row>
    <row r="1556" spans="1:19" ht="15" x14ac:dyDescent="0.2">
      <c r="A1556"/>
      <c r="B1556"/>
      <c r="C1556"/>
      <c r="D1556"/>
      <c r="E1556"/>
      <c r="F1556"/>
      <c r="G1556"/>
      <c r="H1556"/>
      <c r="I1556"/>
      <c r="J1556"/>
      <c r="K1556"/>
      <c r="L1556"/>
      <c r="M1556"/>
      <c r="N1556"/>
      <c r="O1556"/>
      <c r="P1556"/>
      <c r="Q1556"/>
      <c r="R1556"/>
      <c r="S1556"/>
    </row>
    <row r="1557" spans="1:19" ht="15" x14ac:dyDescent="0.2">
      <c r="A1557"/>
      <c r="B1557"/>
      <c r="C1557"/>
      <c r="D1557"/>
      <c r="E1557"/>
      <c r="F1557"/>
      <c r="G1557"/>
      <c r="H1557"/>
      <c r="I1557"/>
      <c r="J1557"/>
      <c r="K1557"/>
      <c r="L1557"/>
      <c r="M1557"/>
      <c r="N1557"/>
      <c r="O1557"/>
      <c r="P1557"/>
      <c r="Q1557"/>
      <c r="R1557"/>
      <c r="S1557"/>
    </row>
    <row r="1558" spans="1:19" ht="15" x14ac:dyDescent="0.2">
      <c r="A1558"/>
      <c r="B1558"/>
      <c r="C1558"/>
      <c r="D1558"/>
      <c r="E1558"/>
      <c r="F1558"/>
      <c r="G1558"/>
      <c r="H1558"/>
      <c r="I1558"/>
      <c r="J1558"/>
      <c r="K1558"/>
      <c r="L1558"/>
      <c r="M1558"/>
      <c r="N1558"/>
      <c r="O1558"/>
      <c r="P1558"/>
      <c r="Q1558"/>
      <c r="R1558"/>
      <c r="S1558"/>
    </row>
    <row r="1559" spans="1:19" ht="15" x14ac:dyDescent="0.2">
      <c r="A1559"/>
      <c r="B1559"/>
      <c r="C1559"/>
      <c r="D1559"/>
      <c r="E1559"/>
      <c r="F1559"/>
      <c r="G1559"/>
      <c r="H1559"/>
      <c r="I1559"/>
      <c r="J1559"/>
      <c r="K1559"/>
      <c r="L1559"/>
      <c r="M1559"/>
      <c r="N1559"/>
      <c r="O1559"/>
      <c r="P1559"/>
      <c r="Q1559"/>
      <c r="R1559"/>
      <c r="S1559"/>
    </row>
    <row r="1560" spans="1:19" ht="15" x14ac:dyDescent="0.2">
      <c r="A1560"/>
      <c r="B1560"/>
      <c r="C1560"/>
      <c r="D1560"/>
      <c r="E1560"/>
      <c r="F1560"/>
      <c r="G1560"/>
      <c r="H1560"/>
      <c r="I1560"/>
      <c r="J1560"/>
      <c r="K1560"/>
      <c r="L1560"/>
      <c r="M1560"/>
      <c r="N1560"/>
      <c r="O1560"/>
      <c r="P1560"/>
      <c r="Q1560"/>
      <c r="R1560"/>
      <c r="S1560"/>
    </row>
    <row r="1561" spans="1:19" ht="15" x14ac:dyDescent="0.2">
      <c r="A1561"/>
      <c r="B1561"/>
      <c r="C1561"/>
      <c r="D1561"/>
      <c r="E1561"/>
      <c r="F1561"/>
      <c r="G1561"/>
      <c r="H1561"/>
      <c r="I1561"/>
      <c r="J1561"/>
      <c r="K1561"/>
      <c r="L1561"/>
      <c r="M1561"/>
      <c r="N1561"/>
      <c r="O1561"/>
      <c r="P1561"/>
      <c r="Q1561"/>
      <c r="R1561"/>
      <c r="S1561"/>
    </row>
    <row r="1562" spans="1:19" ht="15" x14ac:dyDescent="0.2">
      <c r="A1562"/>
      <c r="B1562"/>
      <c r="C1562"/>
      <c r="D1562"/>
      <c r="E1562"/>
      <c r="F1562"/>
      <c r="G1562"/>
      <c r="H1562"/>
      <c r="I1562"/>
      <c r="J1562"/>
      <c r="K1562"/>
      <c r="L1562"/>
      <c r="M1562"/>
      <c r="N1562"/>
      <c r="O1562"/>
      <c r="P1562"/>
      <c r="Q1562"/>
      <c r="R1562"/>
      <c r="S1562"/>
    </row>
    <row r="1563" spans="1:19" ht="15" x14ac:dyDescent="0.2">
      <c r="A1563"/>
      <c r="B1563"/>
      <c r="C1563"/>
      <c r="D1563"/>
      <c r="E1563"/>
      <c r="F1563"/>
      <c r="G1563"/>
      <c r="H1563"/>
      <c r="I1563"/>
      <c r="J1563"/>
      <c r="K1563"/>
      <c r="L1563"/>
      <c r="M1563"/>
      <c r="N1563"/>
      <c r="O1563"/>
      <c r="P1563"/>
      <c r="Q1563"/>
      <c r="R1563"/>
      <c r="S1563"/>
    </row>
    <row r="1564" spans="1:19" ht="15" x14ac:dyDescent="0.2">
      <c r="A1564"/>
      <c r="B1564"/>
      <c r="C1564"/>
      <c r="D1564"/>
      <c r="E1564"/>
      <c r="F1564"/>
      <c r="G1564"/>
      <c r="H1564"/>
      <c r="I1564"/>
      <c r="J1564"/>
      <c r="K1564"/>
      <c r="L1564"/>
      <c r="M1564"/>
      <c r="N1564"/>
      <c r="O1564"/>
      <c r="P1564"/>
      <c r="Q1564"/>
      <c r="R1564"/>
      <c r="S1564"/>
    </row>
    <row r="1565" spans="1:19" ht="15" x14ac:dyDescent="0.2">
      <c r="A1565"/>
      <c r="B1565"/>
      <c r="C1565"/>
      <c r="D1565"/>
      <c r="E1565"/>
      <c r="F1565"/>
      <c r="G1565"/>
      <c r="H1565"/>
      <c r="I1565"/>
      <c r="J1565"/>
      <c r="K1565"/>
      <c r="L1565"/>
      <c r="M1565"/>
      <c r="N1565"/>
      <c r="O1565"/>
      <c r="P1565"/>
      <c r="Q1565"/>
      <c r="R1565"/>
      <c r="S1565"/>
    </row>
    <row r="1566" spans="1:19" ht="15" x14ac:dyDescent="0.2">
      <c r="A1566"/>
      <c r="B1566"/>
      <c r="C1566"/>
      <c r="D1566"/>
      <c r="E1566"/>
      <c r="F1566"/>
      <c r="G1566"/>
      <c r="H1566"/>
      <c r="I1566"/>
      <c r="J1566"/>
      <c r="K1566"/>
      <c r="L1566"/>
      <c r="M1566"/>
      <c r="N1566"/>
      <c r="O1566"/>
      <c r="P1566"/>
      <c r="Q1566"/>
      <c r="R1566"/>
      <c r="S1566"/>
    </row>
    <row r="1567" spans="1:19" ht="15" x14ac:dyDescent="0.2">
      <c r="A1567"/>
      <c r="B1567"/>
      <c r="C1567"/>
      <c r="D1567"/>
      <c r="E1567"/>
      <c r="F1567"/>
      <c r="G1567"/>
      <c r="H1567"/>
      <c r="I1567"/>
      <c r="J1567"/>
      <c r="K1567"/>
      <c r="L1567"/>
      <c r="M1567"/>
      <c r="N1567"/>
      <c r="O1567"/>
      <c r="P1567"/>
      <c r="Q1567"/>
      <c r="R1567"/>
      <c r="S1567"/>
    </row>
    <row r="1568" spans="1:19" ht="15" x14ac:dyDescent="0.2">
      <c r="A1568"/>
      <c r="B1568"/>
      <c r="C1568"/>
      <c r="D1568"/>
      <c r="E1568"/>
      <c r="F1568"/>
      <c r="G1568"/>
      <c r="H1568"/>
      <c r="I1568"/>
      <c r="J1568"/>
      <c r="K1568"/>
      <c r="L1568"/>
      <c r="M1568"/>
      <c r="N1568"/>
      <c r="O1568"/>
      <c r="P1568"/>
      <c r="Q1568"/>
      <c r="R1568"/>
      <c r="S1568"/>
    </row>
    <row r="1569" spans="1:19" ht="15" x14ac:dyDescent="0.2">
      <c r="A1569"/>
      <c r="B1569"/>
      <c r="C1569"/>
      <c r="D1569"/>
      <c r="E1569"/>
      <c r="F1569"/>
      <c r="G1569"/>
      <c r="H1569"/>
      <c r="I1569"/>
      <c r="J1569"/>
      <c r="K1569"/>
      <c r="L1569"/>
      <c r="M1569"/>
      <c r="N1569"/>
      <c r="O1569"/>
      <c r="P1569"/>
      <c r="Q1569"/>
      <c r="R1569"/>
      <c r="S1569"/>
    </row>
    <row r="1570" spans="1:19" ht="15" x14ac:dyDescent="0.2">
      <c r="A1570"/>
      <c r="B1570"/>
      <c r="C1570"/>
      <c r="D1570"/>
      <c r="E1570"/>
      <c r="F1570"/>
      <c r="G1570"/>
      <c r="H1570"/>
      <c r="I1570"/>
      <c r="J1570"/>
      <c r="K1570"/>
      <c r="L1570"/>
      <c r="M1570"/>
      <c r="N1570"/>
      <c r="O1570"/>
      <c r="P1570"/>
      <c r="Q1570"/>
      <c r="R1570"/>
      <c r="S1570"/>
    </row>
    <row r="1571" spans="1:19" ht="15" x14ac:dyDescent="0.2">
      <c r="A1571"/>
      <c r="B1571"/>
      <c r="C1571"/>
      <c r="D1571"/>
      <c r="E1571"/>
      <c r="F1571"/>
      <c r="G1571"/>
      <c r="H1571"/>
      <c r="I1571"/>
      <c r="J1571"/>
      <c r="K1571"/>
      <c r="L1571"/>
      <c r="M1571"/>
      <c r="N1571"/>
      <c r="O1571"/>
      <c r="P1571"/>
      <c r="Q1571"/>
      <c r="R1571"/>
      <c r="S1571"/>
    </row>
    <row r="1572" spans="1:19" ht="15" x14ac:dyDescent="0.2">
      <c r="A1572"/>
      <c r="B1572"/>
      <c r="C1572"/>
      <c r="D1572"/>
      <c r="E1572"/>
      <c r="F1572"/>
      <c r="G1572"/>
      <c r="H1572"/>
      <c r="I1572"/>
      <c r="J1572"/>
      <c r="K1572"/>
      <c r="L1572"/>
      <c r="M1572"/>
      <c r="N1572"/>
      <c r="O1572"/>
      <c r="P1572"/>
      <c r="Q1572"/>
      <c r="R1572"/>
      <c r="S1572"/>
    </row>
    <row r="1573" spans="1:19" ht="15" x14ac:dyDescent="0.2">
      <c r="A1573"/>
      <c r="B1573"/>
      <c r="C1573"/>
      <c r="D1573"/>
      <c r="E1573"/>
      <c r="F1573"/>
      <c r="G1573"/>
      <c r="H1573"/>
      <c r="I1573"/>
      <c r="J1573"/>
      <c r="K1573"/>
      <c r="L1573"/>
      <c r="M1573"/>
      <c r="N1573"/>
      <c r="O1573"/>
      <c r="P1573"/>
      <c r="Q1573"/>
      <c r="R1573"/>
      <c r="S1573"/>
    </row>
    <row r="1574" spans="1:19" ht="15" x14ac:dyDescent="0.2">
      <c r="A1574"/>
      <c r="B1574"/>
      <c r="C1574"/>
      <c r="D1574"/>
      <c r="E1574"/>
      <c r="F1574"/>
      <c r="G1574"/>
      <c r="H1574"/>
      <c r="I1574"/>
      <c r="J1574"/>
      <c r="K1574"/>
      <c r="L1574"/>
      <c r="M1574"/>
      <c r="N1574"/>
      <c r="O1574"/>
      <c r="P1574"/>
      <c r="Q1574"/>
      <c r="R1574"/>
      <c r="S1574"/>
    </row>
    <row r="1575" spans="1:19" ht="15" x14ac:dyDescent="0.2">
      <c r="A1575"/>
      <c r="B1575"/>
      <c r="C1575"/>
      <c r="D1575"/>
      <c r="E1575"/>
      <c r="F1575"/>
      <c r="G1575"/>
      <c r="H1575"/>
      <c r="I1575"/>
      <c r="J1575"/>
      <c r="K1575"/>
      <c r="L1575"/>
      <c r="M1575"/>
      <c r="N1575"/>
      <c r="O1575"/>
      <c r="P1575"/>
      <c r="Q1575"/>
      <c r="R1575"/>
      <c r="S1575"/>
    </row>
    <row r="1576" spans="1:19" ht="15" x14ac:dyDescent="0.2">
      <c r="A1576"/>
      <c r="B1576"/>
      <c r="C1576"/>
      <c r="D1576"/>
      <c r="E1576"/>
      <c r="F1576"/>
      <c r="G1576"/>
      <c r="H1576"/>
      <c r="I1576"/>
      <c r="J1576"/>
      <c r="K1576"/>
      <c r="L1576"/>
      <c r="M1576"/>
      <c r="N1576"/>
      <c r="O1576"/>
      <c r="P1576"/>
      <c r="Q1576"/>
      <c r="R1576"/>
      <c r="S1576"/>
    </row>
    <row r="1577" spans="1:19" ht="15" x14ac:dyDescent="0.2">
      <c r="A1577"/>
      <c r="B1577"/>
      <c r="C1577"/>
      <c r="D1577"/>
      <c r="E1577"/>
      <c r="F1577"/>
      <c r="G1577"/>
      <c r="H1577"/>
      <c r="I1577"/>
      <c r="J1577"/>
      <c r="K1577"/>
      <c r="L1577"/>
      <c r="M1577"/>
      <c r="N1577"/>
      <c r="O1577"/>
      <c r="P1577"/>
      <c r="Q1577"/>
      <c r="R1577"/>
      <c r="S1577"/>
    </row>
    <row r="1578" spans="1:19" ht="15" x14ac:dyDescent="0.2">
      <c r="A1578"/>
      <c r="B1578"/>
      <c r="C1578"/>
      <c r="D1578"/>
      <c r="E1578"/>
      <c r="F1578"/>
      <c r="G1578"/>
      <c r="H1578"/>
      <c r="I1578"/>
      <c r="J1578"/>
      <c r="K1578"/>
      <c r="L1578"/>
      <c r="M1578"/>
      <c r="N1578"/>
      <c r="O1578"/>
      <c r="P1578"/>
      <c r="Q1578"/>
      <c r="R1578"/>
      <c r="S1578"/>
    </row>
    <row r="1579" spans="1:19" ht="15" x14ac:dyDescent="0.2">
      <c r="A1579"/>
      <c r="B1579"/>
      <c r="C1579"/>
      <c r="D1579"/>
      <c r="E1579"/>
      <c r="F1579"/>
      <c r="G1579"/>
      <c r="H1579"/>
      <c r="I1579"/>
      <c r="J1579"/>
      <c r="K1579"/>
      <c r="L1579"/>
      <c r="M1579"/>
      <c r="N1579"/>
      <c r="O1579"/>
      <c r="P1579"/>
      <c r="Q1579"/>
      <c r="R1579"/>
      <c r="S1579"/>
    </row>
    <row r="1580" spans="1:19" ht="15" x14ac:dyDescent="0.2">
      <c r="A1580"/>
      <c r="B1580"/>
      <c r="C1580"/>
      <c r="D1580"/>
      <c r="E1580"/>
      <c r="F1580"/>
      <c r="G1580"/>
      <c r="H1580"/>
      <c r="I1580"/>
      <c r="J1580"/>
      <c r="K1580"/>
      <c r="L1580"/>
      <c r="M1580"/>
      <c r="N1580"/>
      <c r="O1580"/>
      <c r="P1580"/>
      <c r="Q1580"/>
      <c r="R1580"/>
      <c r="S1580"/>
    </row>
    <row r="1581" spans="1:19" ht="15" x14ac:dyDescent="0.2">
      <c r="A1581"/>
      <c r="B1581"/>
      <c r="C1581"/>
      <c r="D1581"/>
      <c r="E1581"/>
      <c r="F1581"/>
      <c r="G1581"/>
      <c r="H1581"/>
      <c r="I1581"/>
      <c r="J1581"/>
      <c r="K1581"/>
      <c r="L1581"/>
      <c r="M1581"/>
      <c r="N1581"/>
      <c r="O1581"/>
      <c r="P1581"/>
      <c r="Q1581"/>
      <c r="R1581"/>
      <c r="S1581"/>
    </row>
    <row r="1582" spans="1:19" ht="15" x14ac:dyDescent="0.2">
      <c r="A1582"/>
      <c r="B1582"/>
      <c r="C1582"/>
      <c r="D1582"/>
      <c r="E1582"/>
      <c r="F1582"/>
      <c r="G1582"/>
      <c r="H1582"/>
      <c r="I1582"/>
      <c r="J1582"/>
      <c r="K1582"/>
      <c r="L1582"/>
      <c r="M1582"/>
      <c r="N1582"/>
      <c r="O1582"/>
      <c r="P1582"/>
      <c r="Q1582"/>
      <c r="R1582"/>
      <c r="S1582"/>
    </row>
    <row r="1583" spans="1:19" ht="15" x14ac:dyDescent="0.2">
      <c r="A1583"/>
      <c r="B1583"/>
      <c r="C1583"/>
      <c r="D1583"/>
      <c r="E1583"/>
      <c r="F1583"/>
      <c r="G1583"/>
      <c r="H1583"/>
      <c r="I1583"/>
      <c r="J1583"/>
      <c r="K1583"/>
      <c r="L1583"/>
      <c r="M1583"/>
      <c r="N1583"/>
      <c r="O1583"/>
      <c r="P1583"/>
      <c r="Q1583"/>
      <c r="R1583"/>
      <c r="S1583"/>
    </row>
    <row r="1584" spans="1:19" ht="15" x14ac:dyDescent="0.2">
      <c r="A1584"/>
      <c r="B1584"/>
      <c r="C1584"/>
      <c r="D1584"/>
      <c r="E1584"/>
      <c r="F1584"/>
      <c r="G1584"/>
      <c r="H1584"/>
      <c r="I1584"/>
      <c r="J1584"/>
      <c r="K1584"/>
      <c r="L1584"/>
      <c r="M1584"/>
      <c r="N1584"/>
      <c r="O1584"/>
      <c r="P1584"/>
      <c r="Q1584"/>
      <c r="R1584"/>
      <c r="S1584"/>
    </row>
    <row r="1585" spans="1:19" ht="15" x14ac:dyDescent="0.2">
      <c r="A1585"/>
      <c r="B1585"/>
      <c r="C1585"/>
      <c r="D1585"/>
      <c r="E1585"/>
      <c r="F1585"/>
      <c r="G1585"/>
      <c r="H1585"/>
      <c r="I1585"/>
      <c r="J1585"/>
      <c r="K1585"/>
      <c r="L1585"/>
      <c r="M1585"/>
      <c r="N1585"/>
      <c r="O1585"/>
      <c r="P1585"/>
      <c r="Q1585"/>
      <c r="R1585"/>
      <c r="S1585"/>
    </row>
    <row r="1586" spans="1:19" ht="15" x14ac:dyDescent="0.2">
      <c r="A1586"/>
      <c r="B1586"/>
      <c r="C1586"/>
      <c r="D1586"/>
      <c r="E1586"/>
      <c r="F1586"/>
      <c r="G1586"/>
      <c r="H1586"/>
      <c r="I1586"/>
      <c r="J1586"/>
      <c r="K1586"/>
      <c r="L1586"/>
      <c r="M1586"/>
      <c r="N1586"/>
      <c r="O1586"/>
      <c r="P1586"/>
      <c r="Q1586"/>
      <c r="R1586"/>
      <c r="S1586"/>
    </row>
    <row r="1587" spans="1:19" ht="15" x14ac:dyDescent="0.2">
      <c r="A1587"/>
      <c r="B1587"/>
      <c r="C1587"/>
      <c r="D1587"/>
      <c r="E1587"/>
      <c r="F1587"/>
      <c r="G1587"/>
      <c r="H1587"/>
      <c r="I1587"/>
      <c r="J1587"/>
      <c r="K1587"/>
      <c r="L1587"/>
      <c r="M1587"/>
      <c r="N1587"/>
      <c r="O1587"/>
      <c r="P1587"/>
      <c r="Q1587"/>
      <c r="R1587"/>
      <c r="S1587"/>
    </row>
    <row r="1588" spans="1:19" ht="15" x14ac:dyDescent="0.2">
      <c r="A1588"/>
      <c r="B1588"/>
      <c r="C1588"/>
      <c r="D1588"/>
      <c r="E1588"/>
      <c r="F1588"/>
      <c r="G1588"/>
      <c r="H1588"/>
      <c r="I1588"/>
      <c r="J1588"/>
      <c r="K1588"/>
      <c r="L1588"/>
      <c r="M1588"/>
      <c r="N1588"/>
      <c r="O1588"/>
      <c r="P1588"/>
      <c r="Q1588"/>
      <c r="R1588"/>
      <c r="S1588"/>
    </row>
    <row r="1589" spans="1:19" ht="15" x14ac:dyDescent="0.2">
      <c r="A1589"/>
      <c r="B1589"/>
      <c r="C1589"/>
      <c r="D1589"/>
      <c r="E1589"/>
      <c r="F1589"/>
      <c r="G1589"/>
      <c r="H1589"/>
      <c r="I1589"/>
      <c r="J1589"/>
      <c r="K1589"/>
      <c r="L1589"/>
      <c r="M1589"/>
      <c r="N1589"/>
      <c r="O1589"/>
      <c r="P1589"/>
      <c r="Q1589"/>
      <c r="R1589"/>
      <c r="S1589"/>
    </row>
    <row r="1590" spans="1:19" ht="15" x14ac:dyDescent="0.2">
      <c r="A1590"/>
      <c r="B1590"/>
      <c r="C1590"/>
      <c r="D1590"/>
      <c r="E1590"/>
      <c r="F1590"/>
      <c r="G1590"/>
      <c r="H1590"/>
      <c r="I1590"/>
      <c r="J1590"/>
      <c r="K1590"/>
      <c r="L1590"/>
      <c r="M1590"/>
      <c r="N1590"/>
      <c r="O1590"/>
      <c r="P1590"/>
      <c r="Q1590"/>
      <c r="R1590"/>
      <c r="S1590"/>
    </row>
    <row r="1591" spans="1:19" ht="15" x14ac:dyDescent="0.2">
      <c r="A1591"/>
      <c r="B1591"/>
      <c r="C1591"/>
      <c r="D1591"/>
      <c r="E1591"/>
      <c r="F1591"/>
      <c r="G1591"/>
      <c r="H1591"/>
      <c r="I1591"/>
      <c r="J1591"/>
      <c r="K1591"/>
      <c r="L1591"/>
      <c r="M1591"/>
      <c r="N1591"/>
      <c r="O1591"/>
      <c r="P1591"/>
      <c r="Q1591"/>
      <c r="R1591"/>
      <c r="S1591"/>
    </row>
    <row r="1592" spans="1:19" ht="15" x14ac:dyDescent="0.2">
      <c r="A1592"/>
      <c r="B1592"/>
      <c r="C1592"/>
      <c r="D1592"/>
      <c r="E1592"/>
      <c r="F1592"/>
      <c r="G1592"/>
      <c r="H1592"/>
      <c r="I1592"/>
      <c r="J1592"/>
      <c r="K1592"/>
      <c r="L1592"/>
      <c r="M1592"/>
      <c r="N1592"/>
      <c r="O1592"/>
      <c r="P1592"/>
      <c r="Q1592"/>
      <c r="R1592"/>
      <c r="S1592"/>
    </row>
    <row r="1593" spans="1:19" ht="15" x14ac:dyDescent="0.2">
      <c r="A1593"/>
      <c r="B1593"/>
      <c r="C1593"/>
      <c r="D1593"/>
      <c r="E1593"/>
      <c r="F1593"/>
      <c r="G1593"/>
      <c r="H1593"/>
      <c r="I1593"/>
      <c r="J1593"/>
      <c r="K1593"/>
      <c r="L1593"/>
      <c r="M1593"/>
      <c r="N1593"/>
      <c r="O1593"/>
      <c r="P1593"/>
      <c r="Q1593"/>
      <c r="R1593"/>
      <c r="S1593"/>
    </row>
    <row r="1594" spans="1:19" ht="15" x14ac:dyDescent="0.2">
      <c r="A1594"/>
      <c r="B1594"/>
      <c r="C1594"/>
      <c r="D1594"/>
      <c r="E1594"/>
      <c r="F1594"/>
      <c r="G1594"/>
      <c r="H1594"/>
      <c r="I1594"/>
      <c r="J1594"/>
      <c r="K1594"/>
      <c r="L1594"/>
      <c r="M1594"/>
      <c r="N1594"/>
      <c r="O1594"/>
      <c r="P1594"/>
      <c r="Q1594"/>
      <c r="R1594"/>
      <c r="S1594"/>
    </row>
    <row r="1595" spans="1:19" ht="15" x14ac:dyDescent="0.2">
      <c r="A1595"/>
      <c r="B1595"/>
      <c r="C1595"/>
      <c r="D1595"/>
      <c r="E1595"/>
      <c r="F1595"/>
      <c r="G1595"/>
      <c r="H1595"/>
      <c r="I1595"/>
      <c r="J1595"/>
      <c r="K1595"/>
      <c r="L1595"/>
      <c r="M1595"/>
      <c r="N1595"/>
      <c r="O1595"/>
      <c r="P1595"/>
      <c r="Q1595"/>
      <c r="R1595"/>
      <c r="S1595"/>
    </row>
    <row r="1596" spans="1:19" ht="15" x14ac:dyDescent="0.2">
      <c r="A1596"/>
      <c r="B1596"/>
      <c r="C1596"/>
      <c r="D1596"/>
      <c r="E1596"/>
      <c r="F1596"/>
      <c r="G1596"/>
      <c r="H1596"/>
      <c r="I1596"/>
      <c r="J1596"/>
      <c r="K1596"/>
      <c r="L1596"/>
      <c r="M1596"/>
      <c r="N1596"/>
      <c r="O1596"/>
      <c r="P1596"/>
      <c r="Q1596"/>
      <c r="R1596"/>
      <c r="S1596"/>
    </row>
    <row r="1597" spans="1:19" ht="15" x14ac:dyDescent="0.2">
      <c r="A1597"/>
      <c r="B1597"/>
      <c r="C1597"/>
      <c r="D1597"/>
      <c r="E1597"/>
      <c r="F1597"/>
      <c r="G1597"/>
      <c r="H1597"/>
      <c r="I1597"/>
      <c r="J1597"/>
      <c r="K1597"/>
      <c r="L1597"/>
      <c r="M1597"/>
      <c r="N1597"/>
      <c r="O1597"/>
      <c r="P1597"/>
      <c r="Q1597"/>
      <c r="R1597"/>
      <c r="S1597"/>
    </row>
    <row r="1598" spans="1:19" ht="15" x14ac:dyDescent="0.2">
      <c r="A1598"/>
      <c r="B1598"/>
      <c r="C1598"/>
      <c r="D1598"/>
      <c r="E1598"/>
      <c r="F1598"/>
      <c r="G1598"/>
      <c r="H1598"/>
      <c r="I1598"/>
      <c r="J1598"/>
      <c r="K1598"/>
      <c r="L1598"/>
      <c r="M1598"/>
      <c r="N1598"/>
      <c r="O1598"/>
      <c r="P1598"/>
      <c r="Q1598"/>
      <c r="R1598"/>
      <c r="S1598"/>
    </row>
    <row r="1599" spans="1:19" ht="15" x14ac:dyDescent="0.2">
      <c r="A1599"/>
      <c r="B1599"/>
      <c r="C1599"/>
      <c r="D1599"/>
      <c r="E1599"/>
      <c r="F1599"/>
      <c r="G1599"/>
      <c r="H1599"/>
      <c r="I1599"/>
      <c r="J1599"/>
      <c r="K1599"/>
      <c r="L1599"/>
      <c r="M1599"/>
      <c r="N1599"/>
      <c r="O1599"/>
      <c r="P1599"/>
      <c r="Q1599"/>
      <c r="R1599"/>
      <c r="S1599"/>
    </row>
    <row r="1600" spans="1:19" ht="15" x14ac:dyDescent="0.2">
      <c r="A1600"/>
      <c r="B1600"/>
      <c r="C1600"/>
      <c r="D1600"/>
      <c r="E1600"/>
      <c r="F1600"/>
      <c r="G1600"/>
      <c r="H1600"/>
      <c r="I1600"/>
      <c r="J1600"/>
      <c r="K1600"/>
      <c r="L1600"/>
      <c r="M1600"/>
      <c r="N1600"/>
      <c r="O1600"/>
      <c r="P1600"/>
      <c r="Q1600"/>
      <c r="R1600"/>
      <c r="S1600"/>
    </row>
    <row r="1601" spans="1:19" ht="15" x14ac:dyDescent="0.2">
      <c r="A1601"/>
      <c r="B1601"/>
      <c r="C1601"/>
      <c r="D1601"/>
      <c r="E1601"/>
      <c r="F1601"/>
      <c r="G1601"/>
      <c r="H1601"/>
      <c r="I1601"/>
      <c r="J1601"/>
      <c r="K1601"/>
      <c r="L1601"/>
      <c r="M1601"/>
      <c r="N1601"/>
      <c r="O1601"/>
      <c r="P1601"/>
      <c r="Q1601"/>
      <c r="R1601"/>
      <c r="S1601"/>
    </row>
    <row r="1602" spans="1:19" ht="15" x14ac:dyDescent="0.2">
      <c r="A1602"/>
      <c r="B1602"/>
      <c r="C1602"/>
      <c r="D1602"/>
      <c r="E1602"/>
      <c r="F1602"/>
      <c r="G1602"/>
      <c r="H1602"/>
      <c r="I1602"/>
      <c r="J1602"/>
      <c r="K1602"/>
      <c r="L1602"/>
      <c r="M1602"/>
      <c r="N1602"/>
      <c r="O1602"/>
      <c r="P1602"/>
      <c r="Q1602"/>
      <c r="R1602"/>
      <c r="S1602"/>
    </row>
    <row r="1603" spans="1:19" ht="15" x14ac:dyDescent="0.2">
      <c r="A1603"/>
      <c r="B1603"/>
      <c r="C1603"/>
      <c r="D1603"/>
      <c r="E1603"/>
      <c r="F1603"/>
      <c r="G1603"/>
      <c r="H1603"/>
      <c r="I1603"/>
      <c r="J1603"/>
      <c r="K1603"/>
      <c r="L1603"/>
      <c r="M1603"/>
      <c r="N1603"/>
      <c r="O1603"/>
      <c r="P1603"/>
      <c r="Q1603"/>
      <c r="R1603"/>
      <c r="S1603"/>
    </row>
    <row r="1604" spans="1:19" ht="15" x14ac:dyDescent="0.2">
      <c r="A1604"/>
      <c r="B1604"/>
      <c r="C1604"/>
      <c r="D1604"/>
      <c r="E1604"/>
      <c r="F1604"/>
      <c r="G1604"/>
      <c r="H1604"/>
      <c r="I1604"/>
      <c r="J1604"/>
      <c r="K1604"/>
      <c r="L1604"/>
      <c r="M1604"/>
      <c r="N1604"/>
      <c r="O1604"/>
      <c r="P1604"/>
      <c r="Q1604"/>
      <c r="R1604"/>
      <c r="S1604"/>
    </row>
    <row r="1605" spans="1:19" ht="15" x14ac:dyDescent="0.2">
      <c r="A1605"/>
      <c r="B1605"/>
      <c r="C1605"/>
      <c r="D1605"/>
      <c r="E1605"/>
      <c r="F1605"/>
      <c r="G1605"/>
      <c r="H1605"/>
      <c r="I1605"/>
      <c r="J1605"/>
      <c r="K1605"/>
      <c r="L1605"/>
      <c r="M1605"/>
      <c r="N1605"/>
      <c r="O1605"/>
      <c r="P1605"/>
      <c r="Q1605"/>
      <c r="R1605"/>
      <c r="S1605"/>
    </row>
    <row r="1606" spans="1:19" ht="15" x14ac:dyDescent="0.2">
      <c r="A1606"/>
      <c r="B1606"/>
      <c r="C1606"/>
      <c r="D1606"/>
      <c r="E1606"/>
      <c r="F1606"/>
      <c r="G1606"/>
      <c r="H1606"/>
      <c r="I1606"/>
      <c r="J1606"/>
      <c r="K1606"/>
      <c r="L1606"/>
      <c r="M1606"/>
      <c r="N1606"/>
      <c r="O1606"/>
      <c r="P1606"/>
      <c r="Q1606"/>
      <c r="R1606"/>
      <c r="S1606"/>
    </row>
    <row r="1607" spans="1:19" ht="15" x14ac:dyDescent="0.2">
      <c r="A1607"/>
      <c r="B1607"/>
      <c r="C1607"/>
      <c r="D1607"/>
      <c r="E1607"/>
      <c r="F1607"/>
      <c r="G1607"/>
      <c r="H1607"/>
      <c r="I1607"/>
      <c r="J1607"/>
      <c r="K1607"/>
      <c r="L1607"/>
      <c r="M1607"/>
      <c r="N1607"/>
      <c r="O1607"/>
      <c r="P1607"/>
      <c r="Q1607"/>
      <c r="R1607"/>
      <c r="S1607"/>
    </row>
    <row r="1608" spans="1:19" ht="15" x14ac:dyDescent="0.2">
      <c r="A1608"/>
      <c r="B1608"/>
      <c r="C1608"/>
      <c r="D1608"/>
      <c r="E1608"/>
      <c r="F1608"/>
      <c r="G1608"/>
      <c r="H1608"/>
      <c r="I1608"/>
      <c r="J1608"/>
      <c r="K1608"/>
      <c r="L1608"/>
      <c r="M1608"/>
      <c r="N1608"/>
      <c r="O1608"/>
      <c r="P1608"/>
      <c r="Q1608"/>
      <c r="R1608"/>
      <c r="S1608"/>
    </row>
    <row r="1609" spans="1:19" ht="15" x14ac:dyDescent="0.2">
      <c r="A1609"/>
      <c r="B1609"/>
      <c r="C1609"/>
      <c r="D1609"/>
      <c r="E1609"/>
      <c r="F1609"/>
      <c r="G1609"/>
      <c r="H1609"/>
      <c r="I1609"/>
      <c r="J1609"/>
      <c r="K1609"/>
      <c r="L1609"/>
      <c r="M1609"/>
      <c r="N1609"/>
      <c r="O1609"/>
      <c r="P1609"/>
      <c r="Q1609"/>
      <c r="R1609"/>
      <c r="S1609"/>
    </row>
    <row r="1610" spans="1:19" ht="15" x14ac:dyDescent="0.2">
      <c r="A1610"/>
      <c r="B1610"/>
      <c r="C1610"/>
      <c r="D1610"/>
      <c r="E1610"/>
      <c r="F1610"/>
      <c r="G1610"/>
      <c r="H1610"/>
      <c r="I1610"/>
      <c r="J1610"/>
      <c r="K1610"/>
      <c r="L1610"/>
      <c r="M1610"/>
      <c r="N1610"/>
      <c r="O1610"/>
      <c r="P1610"/>
      <c r="Q1610"/>
      <c r="R1610"/>
      <c r="S1610"/>
    </row>
    <row r="1611" spans="1:19" ht="15" x14ac:dyDescent="0.2">
      <c r="A1611"/>
      <c r="B1611"/>
      <c r="C1611"/>
      <c r="D1611"/>
      <c r="E1611"/>
      <c r="F1611"/>
      <c r="G1611"/>
      <c r="H1611"/>
      <c r="I1611"/>
      <c r="J1611"/>
      <c r="K1611"/>
      <c r="L1611"/>
      <c r="M1611"/>
      <c r="N1611"/>
      <c r="O1611"/>
      <c r="P1611"/>
      <c r="Q1611"/>
      <c r="R1611"/>
      <c r="S1611"/>
    </row>
    <row r="1612" spans="1:19" ht="15" x14ac:dyDescent="0.2">
      <c r="A1612"/>
      <c r="B1612"/>
      <c r="C1612"/>
      <c r="D1612"/>
      <c r="E1612"/>
      <c r="F1612"/>
      <c r="G1612"/>
      <c r="H1612"/>
      <c r="I1612"/>
      <c r="J1612"/>
      <c r="K1612"/>
      <c r="L1612"/>
      <c r="M1612"/>
      <c r="N1612"/>
      <c r="O1612"/>
      <c r="P1612"/>
      <c r="Q1612"/>
      <c r="R1612"/>
      <c r="S1612"/>
    </row>
    <row r="1613" spans="1:19" ht="15" x14ac:dyDescent="0.2">
      <c r="A1613"/>
      <c r="B1613"/>
      <c r="C1613"/>
      <c r="D1613"/>
      <c r="E1613"/>
      <c r="F1613"/>
      <c r="G1613"/>
      <c r="H1613"/>
      <c r="I1613"/>
      <c r="J1613"/>
      <c r="K1613"/>
      <c r="L1613"/>
      <c r="M1613"/>
      <c r="N1613"/>
      <c r="O1613"/>
      <c r="P1613"/>
      <c r="Q1613"/>
      <c r="R1613"/>
      <c r="S1613"/>
    </row>
    <row r="1614" spans="1:19" ht="15" x14ac:dyDescent="0.2">
      <c r="A1614"/>
      <c r="B1614"/>
      <c r="C1614"/>
      <c r="D1614"/>
      <c r="E1614"/>
      <c r="F1614"/>
      <c r="G1614"/>
      <c r="H1614"/>
      <c r="I1614"/>
      <c r="J1614"/>
      <c r="K1614"/>
      <c r="L1614"/>
      <c r="M1614"/>
      <c r="N1614"/>
      <c r="O1614"/>
      <c r="P1614"/>
      <c r="Q1614"/>
      <c r="R1614"/>
      <c r="S1614"/>
    </row>
    <row r="1615" spans="1:19" ht="15" x14ac:dyDescent="0.2">
      <c r="A1615"/>
      <c r="B1615"/>
      <c r="C1615"/>
      <c r="D1615"/>
      <c r="E1615"/>
      <c r="F1615"/>
      <c r="G1615"/>
      <c r="H1615"/>
      <c r="I1615"/>
      <c r="J1615"/>
      <c r="K1615"/>
      <c r="L1615"/>
      <c r="M1615"/>
      <c r="N1615"/>
      <c r="O1615"/>
      <c r="P1615"/>
      <c r="Q1615"/>
      <c r="R1615"/>
      <c r="S1615"/>
    </row>
    <row r="1616" spans="1:19" ht="15" x14ac:dyDescent="0.2">
      <c r="A1616"/>
      <c r="B1616"/>
      <c r="C1616"/>
      <c r="D1616"/>
      <c r="E1616"/>
      <c r="F1616"/>
      <c r="G1616"/>
      <c r="H1616"/>
      <c r="I1616"/>
      <c r="J1616"/>
      <c r="K1616"/>
      <c r="L1616"/>
      <c r="M1616"/>
      <c r="N1616"/>
      <c r="O1616"/>
      <c r="P1616"/>
      <c r="Q1616"/>
      <c r="R1616"/>
      <c r="S1616"/>
    </row>
    <row r="1617" spans="1:19" ht="15" x14ac:dyDescent="0.2">
      <c r="A1617"/>
      <c r="B1617"/>
      <c r="C1617"/>
      <c r="D1617"/>
      <c r="E1617"/>
      <c r="F1617"/>
      <c r="G1617"/>
      <c r="H1617"/>
      <c r="I1617"/>
      <c r="J1617"/>
      <c r="K1617"/>
      <c r="L1617"/>
      <c r="M1617"/>
      <c r="N1617"/>
      <c r="O1617"/>
      <c r="P1617"/>
      <c r="Q1617"/>
      <c r="R1617"/>
      <c r="S1617"/>
    </row>
    <row r="1618" spans="1:19" ht="15" x14ac:dyDescent="0.2">
      <c r="A1618"/>
      <c r="B1618"/>
      <c r="C1618"/>
      <c r="D1618"/>
      <c r="E1618"/>
      <c r="F1618"/>
      <c r="G1618"/>
      <c r="H1618"/>
      <c r="I1618"/>
      <c r="J1618"/>
      <c r="K1618"/>
      <c r="L1618"/>
      <c r="M1618"/>
      <c r="N1618"/>
      <c r="O1618"/>
      <c r="P1618"/>
      <c r="Q1618"/>
      <c r="R1618"/>
      <c r="S1618"/>
    </row>
    <row r="1619" spans="1:19" ht="15" x14ac:dyDescent="0.2">
      <c r="A1619"/>
      <c r="B1619"/>
      <c r="C1619"/>
      <c r="D1619"/>
      <c r="E1619"/>
      <c r="F1619"/>
      <c r="G1619"/>
      <c r="H1619"/>
      <c r="I1619"/>
      <c r="J1619"/>
      <c r="K1619"/>
      <c r="L1619"/>
      <c r="M1619"/>
      <c r="N1619"/>
      <c r="O1619"/>
      <c r="P1619"/>
      <c r="Q1619"/>
      <c r="R1619"/>
      <c r="S1619"/>
    </row>
    <row r="1620" spans="1:19" ht="15" x14ac:dyDescent="0.2">
      <c r="A1620"/>
      <c r="B1620"/>
      <c r="C1620"/>
      <c r="D1620"/>
      <c r="E1620"/>
      <c r="F1620"/>
      <c r="G1620"/>
      <c r="H1620"/>
      <c r="I1620"/>
      <c r="J1620"/>
      <c r="K1620"/>
      <c r="L1620"/>
      <c r="M1620"/>
      <c r="N1620"/>
      <c r="O1620"/>
      <c r="P1620"/>
      <c r="Q1620"/>
      <c r="R1620"/>
      <c r="S1620"/>
    </row>
    <row r="1621" spans="1:19" ht="15" x14ac:dyDescent="0.2">
      <c r="A1621"/>
      <c r="B1621"/>
      <c r="C1621"/>
      <c r="D1621"/>
      <c r="E1621"/>
      <c r="F1621"/>
      <c r="G1621"/>
      <c r="H1621"/>
      <c r="I1621"/>
      <c r="J1621"/>
      <c r="K1621"/>
      <c r="L1621"/>
      <c r="M1621"/>
      <c r="N1621"/>
      <c r="O1621"/>
      <c r="P1621"/>
      <c r="Q1621"/>
      <c r="R1621"/>
      <c r="S1621"/>
    </row>
    <row r="1622" spans="1:19" ht="15" x14ac:dyDescent="0.2">
      <c r="A1622"/>
      <c r="B1622"/>
      <c r="C1622"/>
      <c r="D1622"/>
      <c r="E1622"/>
      <c r="F1622"/>
      <c r="G1622"/>
      <c r="H1622"/>
      <c r="I1622"/>
      <c r="J1622"/>
      <c r="K1622"/>
      <c r="L1622"/>
      <c r="M1622"/>
      <c r="N1622"/>
      <c r="O1622"/>
      <c r="P1622"/>
      <c r="Q1622"/>
      <c r="R1622"/>
      <c r="S1622"/>
    </row>
    <row r="1623" spans="1:19" ht="15" x14ac:dyDescent="0.2">
      <c r="A1623"/>
      <c r="B1623"/>
      <c r="C1623"/>
      <c r="D1623"/>
      <c r="E1623"/>
      <c r="F1623"/>
      <c r="G1623"/>
      <c r="H1623"/>
      <c r="I1623"/>
      <c r="J1623"/>
      <c r="K1623"/>
      <c r="L1623"/>
      <c r="M1623"/>
      <c r="N1623"/>
      <c r="O1623"/>
      <c r="P1623"/>
      <c r="Q1623"/>
      <c r="R1623"/>
      <c r="S1623"/>
    </row>
    <row r="1624" spans="1:19" ht="15" x14ac:dyDescent="0.2">
      <c r="A1624"/>
      <c r="B1624"/>
      <c r="C1624"/>
      <c r="D1624"/>
      <c r="E1624"/>
      <c r="F1624"/>
      <c r="G1624"/>
      <c r="H1624"/>
      <c r="I1624"/>
      <c r="J1624"/>
      <c r="K1624"/>
      <c r="L1624"/>
      <c r="M1624"/>
      <c r="N1624"/>
      <c r="O1624"/>
      <c r="P1624"/>
      <c r="Q1624"/>
      <c r="R1624"/>
      <c r="S1624"/>
    </row>
    <row r="1625" spans="1:19" ht="15" x14ac:dyDescent="0.2">
      <c r="A1625"/>
      <c r="B1625"/>
      <c r="C1625"/>
      <c r="D1625"/>
      <c r="E1625"/>
      <c r="F1625"/>
      <c r="G1625"/>
      <c r="H1625"/>
      <c r="I1625"/>
      <c r="J1625"/>
      <c r="K1625"/>
      <c r="L1625"/>
      <c r="M1625"/>
      <c r="N1625"/>
      <c r="O1625"/>
      <c r="P1625"/>
      <c r="Q1625"/>
      <c r="R1625"/>
      <c r="S1625"/>
    </row>
    <row r="1626" spans="1:19" ht="15" x14ac:dyDescent="0.2">
      <c r="A1626"/>
      <c r="B1626"/>
      <c r="C1626"/>
      <c r="D1626"/>
      <c r="E1626"/>
      <c r="F1626"/>
      <c r="G1626"/>
      <c r="H1626"/>
      <c r="I1626"/>
      <c r="J1626"/>
      <c r="K1626"/>
      <c r="L1626"/>
      <c r="M1626"/>
      <c r="N1626"/>
      <c r="O1626"/>
      <c r="P1626"/>
      <c r="Q1626"/>
      <c r="R1626"/>
      <c r="S1626"/>
    </row>
    <row r="1627" spans="1:19" ht="15" x14ac:dyDescent="0.2">
      <c r="A1627"/>
      <c r="B1627"/>
      <c r="C1627"/>
      <c r="D1627"/>
      <c r="E1627"/>
      <c r="F1627"/>
      <c r="G1627"/>
      <c r="H1627"/>
      <c r="I1627"/>
      <c r="J1627"/>
      <c r="K1627"/>
      <c r="L1627"/>
      <c r="M1627"/>
      <c r="N1627"/>
      <c r="O1627"/>
      <c r="P1627"/>
      <c r="Q1627"/>
      <c r="R1627"/>
      <c r="S1627"/>
    </row>
    <row r="1628" spans="1:19" ht="15" x14ac:dyDescent="0.2">
      <c r="A1628"/>
      <c r="B1628"/>
      <c r="C1628"/>
      <c r="D1628"/>
      <c r="E1628"/>
      <c r="F1628"/>
      <c r="G1628"/>
      <c r="H1628"/>
      <c r="I1628"/>
      <c r="J1628"/>
      <c r="K1628"/>
      <c r="L1628"/>
      <c r="M1628"/>
      <c r="N1628"/>
      <c r="O1628"/>
      <c r="P1628"/>
      <c r="Q1628"/>
      <c r="R1628"/>
      <c r="S1628"/>
    </row>
    <row r="1629" spans="1:19" ht="15" x14ac:dyDescent="0.2">
      <c r="A1629"/>
      <c r="B1629"/>
      <c r="C1629"/>
      <c r="D1629"/>
      <c r="E1629"/>
      <c r="F1629"/>
      <c r="G1629"/>
      <c r="H1629"/>
      <c r="I1629"/>
      <c r="J1629"/>
      <c r="K1629"/>
      <c r="L1629"/>
      <c r="M1629"/>
      <c r="N1629"/>
      <c r="O1629"/>
      <c r="P1629"/>
      <c r="Q1629"/>
      <c r="R1629"/>
      <c r="S1629"/>
    </row>
    <row r="1630" spans="1:19" ht="15" x14ac:dyDescent="0.2">
      <c r="A1630"/>
      <c r="B1630"/>
      <c r="C1630"/>
      <c r="D1630"/>
      <c r="E1630"/>
      <c r="F1630"/>
      <c r="G1630"/>
      <c r="H1630"/>
      <c r="I1630"/>
      <c r="J1630"/>
      <c r="K1630"/>
      <c r="L1630"/>
      <c r="M1630"/>
      <c r="N1630"/>
      <c r="O1630"/>
      <c r="P1630"/>
      <c r="Q1630"/>
      <c r="R1630"/>
      <c r="S1630"/>
    </row>
    <row r="1631" spans="1:19" ht="15" x14ac:dyDescent="0.2">
      <c r="A1631"/>
      <c r="B1631"/>
      <c r="C1631"/>
      <c r="D1631"/>
      <c r="E1631"/>
      <c r="F1631"/>
      <c r="G1631"/>
      <c r="H1631"/>
      <c r="I1631"/>
      <c r="J1631"/>
      <c r="K1631"/>
      <c r="L1631"/>
      <c r="M1631"/>
      <c r="N1631"/>
      <c r="O1631"/>
      <c r="P1631"/>
      <c r="Q1631"/>
      <c r="R1631"/>
      <c r="S1631"/>
    </row>
    <row r="1632" spans="1:19" ht="15" x14ac:dyDescent="0.2">
      <c r="A1632"/>
      <c r="B1632"/>
      <c r="C1632"/>
      <c r="D1632"/>
      <c r="E1632"/>
      <c r="F1632"/>
      <c r="G1632"/>
      <c r="H1632"/>
      <c r="I1632"/>
      <c r="J1632"/>
      <c r="K1632"/>
      <c r="L1632"/>
      <c r="M1632"/>
      <c r="N1632"/>
      <c r="O1632"/>
      <c r="P1632"/>
      <c r="Q1632"/>
      <c r="R1632"/>
      <c r="S1632"/>
    </row>
    <row r="1633" spans="1:19" ht="15" x14ac:dyDescent="0.2">
      <c r="A1633"/>
      <c r="B1633"/>
      <c r="C1633"/>
      <c r="D1633"/>
      <c r="E1633"/>
      <c r="F1633"/>
      <c r="G1633"/>
      <c r="H1633"/>
      <c r="I1633"/>
      <c r="J1633"/>
      <c r="K1633"/>
      <c r="L1633"/>
      <c r="M1633"/>
      <c r="N1633"/>
      <c r="O1633"/>
      <c r="P1633"/>
      <c r="Q1633"/>
      <c r="R1633"/>
      <c r="S1633"/>
    </row>
    <row r="1634" spans="1:19" ht="15" x14ac:dyDescent="0.2">
      <c r="A1634"/>
      <c r="B1634"/>
      <c r="C1634"/>
      <c r="D1634"/>
      <c r="E1634"/>
      <c r="F1634"/>
      <c r="G1634"/>
      <c r="H1634"/>
      <c r="I1634"/>
      <c r="J1634"/>
      <c r="K1634"/>
      <c r="L1634"/>
      <c r="M1634"/>
      <c r="N1634"/>
      <c r="O1634"/>
      <c r="P1634"/>
      <c r="Q1634"/>
      <c r="R1634"/>
      <c r="S1634"/>
    </row>
    <row r="1635" spans="1:19" ht="15" x14ac:dyDescent="0.2">
      <c r="A1635"/>
      <c r="B1635"/>
      <c r="C1635"/>
      <c r="D1635"/>
      <c r="E1635"/>
      <c r="F1635"/>
      <c r="G1635"/>
      <c r="H1635"/>
      <c r="I1635"/>
      <c r="J1635"/>
      <c r="K1635"/>
      <c r="L1635"/>
      <c r="M1635"/>
      <c r="N1635"/>
      <c r="O1635"/>
      <c r="P1635"/>
      <c r="Q1635"/>
      <c r="R1635"/>
      <c r="S1635"/>
    </row>
    <row r="1636" spans="1:19" ht="15" x14ac:dyDescent="0.2">
      <c r="A1636"/>
      <c r="B1636"/>
      <c r="C1636"/>
      <c r="D1636"/>
      <c r="E1636"/>
      <c r="F1636"/>
      <c r="G1636"/>
      <c r="H1636"/>
      <c r="I1636"/>
      <c r="J1636"/>
      <c r="K1636"/>
      <c r="L1636"/>
      <c r="M1636"/>
      <c r="N1636"/>
      <c r="O1636"/>
      <c r="P1636"/>
      <c r="Q1636"/>
      <c r="R1636"/>
      <c r="S1636"/>
    </row>
    <row r="1637" spans="1:19" ht="15" x14ac:dyDescent="0.2">
      <c r="A1637"/>
      <c r="B1637"/>
      <c r="C1637"/>
      <c r="D1637"/>
      <c r="E1637"/>
      <c r="F1637"/>
      <c r="G1637"/>
      <c r="H1637"/>
      <c r="I1637"/>
      <c r="J1637"/>
      <c r="K1637"/>
      <c r="L1637"/>
      <c r="M1637"/>
      <c r="N1637"/>
      <c r="O1637"/>
      <c r="P1637"/>
      <c r="Q1637"/>
      <c r="R1637"/>
      <c r="S1637"/>
    </row>
    <row r="1638" spans="1:19" ht="15" x14ac:dyDescent="0.2">
      <c r="A1638"/>
      <c r="B1638"/>
      <c r="C1638"/>
      <c r="D1638"/>
      <c r="E1638"/>
      <c r="F1638"/>
      <c r="G1638"/>
      <c r="H1638"/>
      <c r="I1638"/>
      <c r="J1638"/>
      <c r="K1638"/>
      <c r="L1638"/>
      <c r="M1638"/>
      <c r="N1638"/>
      <c r="O1638"/>
      <c r="P1638"/>
      <c r="Q1638"/>
      <c r="R1638"/>
      <c r="S1638"/>
    </row>
    <row r="1639" spans="1:19" ht="15" x14ac:dyDescent="0.2">
      <c r="A1639"/>
      <c r="B1639"/>
      <c r="C1639"/>
      <c r="D1639"/>
      <c r="E1639"/>
      <c r="F1639"/>
      <c r="G1639"/>
      <c r="H1639"/>
      <c r="I1639"/>
      <c r="J1639"/>
      <c r="K1639"/>
      <c r="L1639"/>
      <c r="M1639"/>
      <c r="N1639"/>
      <c r="O1639"/>
      <c r="P1639"/>
      <c r="Q1639"/>
      <c r="R1639"/>
      <c r="S1639"/>
    </row>
    <row r="1640" spans="1:19" ht="15" x14ac:dyDescent="0.2">
      <c r="A1640"/>
      <c r="B1640"/>
      <c r="C1640"/>
      <c r="D1640"/>
      <c r="E1640"/>
      <c r="F1640"/>
      <c r="G1640"/>
      <c r="H1640"/>
      <c r="I1640"/>
      <c r="J1640"/>
      <c r="K1640"/>
      <c r="L1640"/>
      <c r="M1640"/>
      <c r="N1640"/>
      <c r="O1640"/>
      <c r="P1640"/>
      <c r="Q1640"/>
      <c r="R1640"/>
      <c r="S1640"/>
    </row>
    <row r="1641" spans="1:19" ht="15" x14ac:dyDescent="0.2">
      <c r="A1641"/>
      <c r="B1641"/>
      <c r="C1641"/>
      <c r="D1641"/>
      <c r="E1641"/>
      <c r="F1641"/>
      <c r="G1641"/>
      <c r="H1641"/>
      <c r="I1641"/>
      <c r="J1641"/>
      <c r="K1641"/>
      <c r="L1641"/>
      <c r="M1641"/>
      <c r="N1641"/>
      <c r="O1641"/>
      <c r="P1641"/>
      <c r="Q1641"/>
      <c r="R1641"/>
      <c r="S1641"/>
    </row>
    <row r="1642" spans="1:19" ht="15" x14ac:dyDescent="0.2">
      <c r="A1642"/>
      <c r="B1642"/>
      <c r="C1642"/>
      <c r="D1642"/>
      <c r="E1642"/>
      <c r="F1642"/>
      <c r="G1642"/>
      <c r="H1642"/>
      <c r="I1642"/>
      <c r="J1642"/>
      <c r="K1642"/>
      <c r="L1642"/>
      <c r="M1642"/>
      <c r="N1642"/>
      <c r="O1642"/>
      <c r="P1642"/>
      <c r="Q1642"/>
      <c r="R1642"/>
      <c r="S1642"/>
    </row>
    <row r="1643" spans="1:19" ht="15" x14ac:dyDescent="0.2">
      <c r="A1643"/>
      <c r="B1643"/>
      <c r="C1643"/>
      <c r="D1643"/>
      <c r="E1643"/>
      <c r="F1643"/>
      <c r="G1643"/>
      <c r="H1643"/>
      <c r="I1643"/>
      <c r="J1643"/>
      <c r="K1643"/>
      <c r="L1643"/>
      <c r="M1643"/>
      <c r="N1643"/>
      <c r="O1643"/>
      <c r="P1643"/>
      <c r="Q1643"/>
      <c r="R1643"/>
      <c r="S1643"/>
    </row>
    <row r="1644" spans="1:19" ht="15" x14ac:dyDescent="0.2">
      <c r="A1644"/>
      <c r="B1644"/>
      <c r="C1644"/>
      <c r="D1644"/>
      <c r="E1644"/>
      <c r="F1644"/>
      <c r="G1644"/>
      <c r="H1644"/>
      <c r="I1644"/>
      <c r="J1644"/>
      <c r="K1644"/>
      <c r="L1644"/>
      <c r="M1644"/>
      <c r="N1644"/>
      <c r="O1644"/>
      <c r="P1644"/>
      <c r="Q1644"/>
      <c r="R1644"/>
      <c r="S1644"/>
    </row>
    <row r="1645" spans="1:19" ht="15" x14ac:dyDescent="0.2">
      <c r="A1645"/>
      <c r="B1645"/>
      <c r="C1645"/>
      <c r="D1645"/>
      <c r="E1645"/>
      <c r="F1645"/>
      <c r="G1645"/>
      <c r="H1645"/>
      <c r="I1645"/>
      <c r="J1645"/>
      <c r="K1645"/>
      <c r="L1645"/>
      <c r="M1645"/>
      <c r="N1645"/>
      <c r="O1645"/>
      <c r="P1645"/>
      <c r="Q1645"/>
      <c r="R1645"/>
      <c r="S1645"/>
    </row>
    <row r="1646" spans="1:19" ht="15" x14ac:dyDescent="0.2">
      <c r="A1646"/>
      <c r="B1646"/>
      <c r="C1646"/>
      <c r="D1646"/>
      <c r="E1646"/>
      <c r="F1646"/>
      <c r="G1646"/>
      <c r="H1646"/>
      <c r="I1646"/>
      <c r="J1646"/>
      <c r="K1646"/>
      <c r="L1646"/>
      <c r="M1646"/>
      <c r="N1646"/>
      <c r="O1646"/>
      <c r="P1646"/>
      <c r="Q1646"/>
      <c r="R1646"/>
      <c r="S1646"/>
    </row>
    <row r="1647" spans="1:19" ht="15" x14ac:dyDescent="0.2">
      <c r="A1647"/>
      <c r="B1647"/>
      <c r="C1647"/>
      <c r="D1647"/>
      <c r="E1647"/>
      <c r="F1647"/>
      <c r="G1647"/>
      <c r="H1647"/>
      <c r="I1647"/>
      <c r="J1647"/>
      <c r="K1647"/>
      <c r="L1647"/>
      <c r="M1647"/>
      <c r="N1647"/>
      <c r="O1647"/>
      <c r="P1647"/>
      <c r="Q1647"/>
      <c r="R1647"/>
      <c r="S1647"/>
    </row>
    <row r="1648" spans="1:19" ht="15" x14ac:dyDescent="0.2">
      <c r="A1648"/>
      <c r="B1648"/>
      <c r="C1648"/>
      <c r="D1648"/>
      <c r="E1648"/>
      <c r="F1648"/>
      <c r="G1648"/>
      <c r="H1648"/>
      <c r="I1648"/>
      <c r="J1648"/>
      <c r="K1648"/>
      <c r="L1648"/>
      <c r="M1648"/>
      <c r="N1648"/>
      <c r="O1648"/>
      <c r="P1648"/>
      <c r="Q1648"/>
      <c r="R1648"/>
      <c r="S1648"/>
    </row>
    <row r="1649" spans="1:19" ht="15" x14ac:dyDescent="0.2">
      <c r="A1649"/>
      <c r="B1649"/>
      <c r="C1649"/>
      <c r="D1649"/>
      <c r="E1649"/>
      <c r="F1649"/>
      <c r="G1649"/>
      <c r="H1649"/>
      <c r="I1649"/>
      <c r="J1649"/>
      <c r="K1649"/>
      <c r="L1649"/>
      <c r="M1649"/>
      <c r="N1649"/>
      <c r="O1649"/>
      <c r="P1649"/>
      <c r="Q1649"/>
      <c r="R1649"/>
      <c r="S1649"/>
    </row>
    <row r="1650" spans="1:19" ht="15" x14ac:dyDescent="0.2">
      <c r="A1650"/>
      <c r="B1650"/>
      <c r="C1650"/>
      <c r="D1650"/>
      <c r="E1650"/>
      <c r="F1650"/>
      <c r="G1650"/>
      <c r="H1650"/>
      <c r="I1650"/>
      <c r="J1650"/>
      <c r="K1650"/>
      <c r="L1650"/>
      <c r="M1650"/>
      <c r="N1650"/>
      <c r="O1650"/>
      <c r="P1650"/>
      <c r="Q1650"/>
      <c r="R1650"/>
      <c r="S1650"/>
    </row>
    <row r="1651" spans="1:19" ht="15" x14ac:dyDescent="0.2">
      <c r="A1651"/>
      <c r="B1651"/>
      <c r="C1651"/>
      <c r="D1651"/>
      <c r="E1651"/>
      <c r="F1651"/>
      <c r="G1651"/>
      <c r="H1651"/>
      <c r="I1651"/>
      <c r="J1651"/>
      <c r="K1651"/>
      <c r="L1651"/>
      <c r="M1651"/>
      <c r="N1651"/>
      <c r="O1651"/>
      <c r="P1651"/>
      <c r="Q1651"/>
      <c r="R1651"/>
      <c r="S1651"/>
    </row>
    <row r="1652" spans="1:19" ht="15" x14ac:dyDescent="0.2">
      <c r="A1652"/>
      <c r="B1652"/>
      <c r="C1652"/>
      <c r="D1652"/>
      <c r="E1652"/>
      <c r="F1652"/>
      <c r="G1652"/>
      <c r="H1652"/>
      <c r="I1652"/>
      <c r="J1652"/>
      <c r="K1652"/>
      <c r="L1652"/>
      <c r="M1652"/>
      <c r="N1652"/>
      <c r="O1652"/>
      <c r="P1652"/>
      <c r="Q1652"/>
      <c r="R1652"/>
      <c r="S1652"/>
    </row>
    <row r="1653" spans="1:19" ht="15" x14ac:dyDescent="0.2">
      <c r="A1653"/>
      <c r="B1653"/>
      <c r="C1653"/>
      <c r="D1653"/>
      <c r="E1653"/>
      <c r="F1653"/>
      <c r="G1653"/>
      <c r="H1653"/>
      <c r="I1653"/>
      <c r="J1653"/>
      <c r="K1653"/>
      <c r="L1653"/>
      <c r="M1653"/>
      <c r="N1653"/>
      <c r="O1653"/>
      <c r="P1653"/>
      <c r="Q1653"/>
      <c r="R1653"/>
      <c r="S1653"/>
    </row>
    <row r="1654" spans="1:19" ht="15" x14ac:dyDescent="0.2">
      <c r="A1654"/>
      <c r="B1654"/>
      <c r="C1654"/>
      <c r="D1654"/>
      <c r="E1654"/>
      <c r="F1654"/>
      <c r="G1654"/>
      <c r="H1654"/>
      <c r="I1654"/>
      <c r="J1654"/>
      <c r="K1654"/>
      <c r="L1654"/>
      <c r="M1654"/>
      <c r="N1654"/>
      <c r="O1654"/>
      <c r="P1654"/>
      <c r="Q1654"/>
      <c r="R1654"/>
      <c r="S1654"/>
    </row>
    <row r="1655" spans="1:19" ht="15" x14ac:dyDescent="0.2">
      <c r="A1655"/>
      <c r="B1655"/>
      <c r="C1655"/>
      <c r="D1655"/>
      <c r="E1655"/>
      <c r="F1655"/>
      <c r="G1655"/>
      <c r="H1655"/>
      <c r="I1655"/>
      <c r="J1655"/>
      <c r="K1655"/>
      <c r="L1655"/>
      <c r="M1655"/>
      <c r="N1655"/>
      <c r="O1655"/>
      <c r="P1655"/>
      <c r="Q1655"/>
      <c r="R1655"/>
      <c r="S1655"/>
    </row>
    <row r="1656" spans="1:19" ht="15" x14ac:dyDescent="0.2">
      <c r="A1656"/>
      <c r="B1656"/>
      <c r="C1656"/>
      <c r="D1656"/>
      <c r="E1656"/>
      <c r="F1656"/>
      <c r="G1656"/>
      <c r="H1656"/>
      <c r="I1656"/>
      <c r="J1656"/>
      <c r="K1656"/>
      <c r="L1656"/>
      <c r="M1656"/>
      <c r="N1656"/>
      <c r="O1656"/>
      <c r="P1656"/>
      <c r="Q1656"/>
      <c r="R1656"/>
      <c r="S1656"/>
    </row>
    <row r="1657" spans="1:19" ht="15" x14ac:dyDescent="0.2">
      <c r="A1657"/>
      <c r="B1657"/>
      <c r="C1657"/>
      <c r="D1657"/>
      <c r="E1657"/>
      <c r="F1657"/>
      <c r="G1657"/>
      <c r="H1657"/>
      <c r="I1657"/>
      <c r="J1657"/>
      <c r="K1657"/>
      <c r="L1657"/>
      <c r="M1657"/>
      <c r="N1657"/>
      <c r="O1657"/>
      <c r="P1657"/>
      <c r="Q1657"/>
      <c r="R1657"/>
      <c r="S1657"/>
    </row>
    <row r="1658" spans="1:19" ht="15" x14ac:dyDescent="0.2">
      <c r="A1658"/>
      <c r="B1658"/>
      <c r="C1658"/>
      <c r="D1658"/>
      <c r="E1658"/>
      <c r="F1658"/>
      <c r="G1658"/>
      <c r="H1658"/>
      <c r="I1658"/>
      <c r="J1658"/>
      <c r="K1658"/>
      <c r="L1658"/>
      <c r="M1658"/>
      <c r="N1658"/>
      <c r="O1658"/>
      <c r="P1658"/>
      <c r="Q1658"/>
      <c r="R1658"/>
      <c r="S1658"/>
    </row>
    <row r="1659" spans="1:19" ht="15" x14ac:dyDescent="0.2">
      <c r="A1659"/>
      <c r="B1659"/>
      <c r="C1659"/>
      <c r="D1659"/>
      <c r="E1659"/>
      <c r="F1659"/>
      <c r="G1659"/>
      <c r="H1659"/>
      <c r="I1659"/>
      <c r="J1659"/>
      <c r="K1659"/>
      <c r="L1659"/>
      <c r="M1659"/>
      <c r="N1659"/>
      <c r="O1659"/>
      <c r="P1659"/>
      <c r="Q1659"/>
      <c r="R1659"/>
      <c r="S1659"/>
    </row>
    <row r="1660" spans="1:19" ht="15" x14ac:dyDescent="0.2">
      <c r="A1660"/>
      <c r="B1660"/>
      <c r="C1660"/>
      <c r="D1660"/>
      <c r="E1660"/>
      <c r="F1660"/>
      <c r="G1660"/>
      <c r="H1660"/>
      <c r="I1660"/>
      <c r="J1660"/>
      <c r="K1660"/>
      <c r="L1660"/>
      <c r="M1660"/>
      <c r="N1660"/>
      <c r="O1660"/>
      <c r="P1660"/>
      <c r="Q1660"/>
      <c r="R1660"/>
      <c r="S1660"/>
    </row>
    <row r="1661" spans="1:19" ht="15" x14ac:dyDescent="0.2">
      <c r="A1661"/>
      <c r="B1661"/>
      <c r="C1661"/>
      <c r="D1661"/>
      <c r="E1661"/>
      <c r="F1661"/>
      <c r="G1661"/>
      <c r="H1661"/>
      <c r="I1661"/>
      <c r="J1661"/>
      <c r="K1661"/>
      <c r="L1661"/>
      <c r="M1661"/>
      <c r="N1661"/>
      <c r="O1661"/>
      <c r="P1661"/>
      <c r="Q1661"/>
      <c r="R1661"/>
      <c r="S1661"/>
    </row>
    <row r="1662" spans="1:19" ht="15" x14ac:dyDescent="0.2">
      <c r="A1662"/>
      <c r="B1662"/>
      <c r="C1662"/>
      <c r="D1662"/>
      <c r="E1662"/>
      <c r="F1662"/>
      <c r="G1662"/>
      <c r="H1662"/>
      <c r="I1662"/>
      <c r="J1662"/>
      <c r="K1662"/>
      <c r="L1662"/>
      <c r="M1662"/>
      <c r="N1662"/>
      <c r="O1662"/>
      <c r="P1662"/>
      <c r="Q1662"/>
      <c r="R1662"/>
      <c r="S1662"/>
    </row>
    <row r="1663" spans="1:19" ht="15" x14ac:dyDescent="0.2">
      <c r="A1663"/>
      <c r="B1663"/>
      <c r="C1663"/>
      <c r="D1663"/>
      <c r="E1663"/>
      <c r="F1663"/>
      <c r="G1663"/>
      <c r="H1663"/>
      <c r="I1663"/>
      <c r="J1663"/>
      <c r="K1663"/>
      <c r="L1663"/>
      <c r="M1663"/>
      <c r="N1663"/>
      <c r="O1663"/>
      <c r="P1663"/>
      <c r="Q1663"/>
      <c r="R1663"/>
      <c r="S1663"/>
    </row>
    <row r="1664" spans="1:19" ht="15" x14ac:dyDescent="0.2">
      <c r="A1664"/>
      <c r="B1664"/>
      <c r="C1664"/>
      <c r="D1664"/>
      <c r="E1664"/>
      <c r="F1664"/>
      <c r="G1664"/>
      <c r="H1664"/>
      <c r="I1664"/>
      <c r="J1664"/>
      <c r="K1664"/>
      <c r="L1664"/>
      <c r="M1664"/>
      <c r="N1664"/>
      <c r="O1664"/>
      <c r="P1664"/>
      <c r="Q1664"/>
      <c r="R1664"/>
      <c r="S1664"/>
    </row>
    <row r="1665" spans="1:19" ht="15" x14ac:dyDescent="0.2">
      <c r="A1665"/>
      <c r="B1665"/>
      <c r="C1665"/>
      <c r="D1665"/>
      <c r="E1665"/>
      <c r="F1665"/>
      <c r="G1665"/>
      <c r="H1665"/>
      <c r="I1665"/>
      <c r="J1665"/>
      <c r="K1665"/>
      <c r="L1665"/>
      <c r="M1665"/>
      <c r="N1665"/>
      <c r="O1665"/>
      <c r="P1665"/>
      <c r="Q1665"/>
      <c r="R1665"/>
      <c r="S1665"/>
    </row>
    <row r="1666" spans="1:19" ht="15" x14ac:dyDescent="0.2">
      <c r="A1666"/>
      <c r="B1666"/>
      <c r="C1666"/>
      <c r="D1666"/>
      <c r="E1666"/>
      <c r="F1666"/>
      <c r="G1666"/>
      <c r="H1666"/>
      <c r="I1666"/>
      <c r="J1666"/>
      <c r="K1666"/>
      <c r="L1666"/>
      <c r="M1666"/>
      <c r="N1666"/>
      <c r="O1666"/>
      <c r="P1666"/>
      <c r="Q1666"/>
      <c r="R1666"/>
      <c r="S1666"/>
    </row>
    <row r="1667" spans="1:19" ht="15" x14ac:dyDescent="0.2">
      <c r="A1667"/>
      <c r="B1667"/>
      <c r="C1667"/>
      <c r="D1667"/>
      <c r="E1667"/>
      <c r="F1667"/>
      <c r="G1667"/>
      <c r="H1667"/>
      <c r="I1667"/>
      <c r="J1667"/>
      <c r="K1667"/>
      <c r="L1667"/>
      <c r="M1667"/>
      <c r="N1667"/>
      <c r="O1667"/>
      <c r="P1667"/>
      <c r="Q1667"/>
      <c r="R1667"/>
      <c r="S1667"/>
    </row>
    <row r="1668" spans="1:19" ht="15" x14ac:dyDescent="0.2">
      <c r="A1668"/>
      <c r="B1668"/>
      <c r="C1668"/>
      <c r="D1668"/>
      <c r="E1668"/>
      <c r="F1668"/>
      <c r="G1668"/>
      <c r="H1668"/>
      <c r="I1668"/>
      <c r="J1668"/>
      <c r="K1668"/>
      <c r="L1668"/>
      <c r="M1668"/>
      <c r="N1668"/>
      <c r="O1668"/>
      <c r="P1668"/>
      <c r="Q1668"/>
      <c r="R1668"/>
      <c r="S1668"/>
    </row>
    <row r="1669" spans="1:19" ht="15" x14ac:dyDescent="0.2">
      <c r="A1669"/>
      <c r="B1669"/>
      <c r="C1669"/>
      <c r="D1669"/>
      <c r="E1669"/>
      <c r="F1669"/>
      <c r="G1669"/>
      <c r="H1669"/>
      <c r="I1669"/>
      <c r="J1669"/>
      <c r="K1669"/>
      <c r="L1669"/>
      <c r="M1669"/>
      <c r="N1669"/>
      <c r="O1669"/>
      <c r="P1669"/>
      <c r="Q1669"/>
      <c r="R1669"/>
      <c r="S1669"/>
    </row>
    <row r="1670" spans="1:19" ht="15" x14ac:dyDescent="0.2">
      <c r="A1670"/>
      <c r="B1670"/>
      <c r="C1670"/>
      <c r="D1670"/>
      <c r="E1670"/>
      <c r="F1670"/>
      <c r="G1670"/>
      <c r="H1670"/>
      <c r="I1670"/>
      <c r="J1670"/>
      <c r="K1670"/>
      <c r="L1670"/>
      <c r="M1670"/>
      <c r="N1670"/>
      <c r="O1670"/>
      <c r="P1670"/>
      <c r="Q1670"/>
      <c r="R1670"/>
      <c r="S1670"/>
    </row>
    <row r="1671" spans="1:19" ht="15" x14ac:dyDescent="0.2">
      <c r="A1671"/>
      <c r="B1671"/>
      <c r="C1671"/>
      <c r="D1671"/>
      <c r="E1671"/>
      <c r="F1671"/>
      <c r="G1671"/>
      <c r="H1671"/>
      <c r="I1671"/>
      <c r="J1671"/>
      <c r="K1671"/>
      <c r="L1671"/>
      <c r="M1671"/>
      <c r="N1671"/>
      <c r="O1671"/>
      <c r="P1671"/>
      <c r="Q1671"/>
      <c r="R1671"/>
      <c r="S1671"/>
    </row>
    <row r="1672" spans="1:19" ht="15" x14ac:dyDescent="0.2">
      <c r="A1672"/>
      <c r="B1672"/>
      <c r="C1672"/>
      <c r="D1672"/>
      <c r="E1672"/>
      <c r="F1672"/>
      <c r="G1672"/>
      <c r="H1672"/>
      <c r="I1672"/>
      <c r="J1672"/>
      <c r="K1672"/>
      <c r="L1672"/>
      <c r="M1672"/>
      <c r="N1672"/>
      <c r="O1672"/>
      <c r="P1672"/>
      <c r="Q1672"/>
      <c r="R1672"/>
      <c r="S1672"/>
    </row>
    <row r="1673" spans="1:19" ht="15" x14ac:dyDescent="0.2">
      <c r="A1673"/>
      <c r="B1673"/>
      <c r="C1673"/>
      <c r="D1673"/>
      <c r="E1673"/>
      <c r="F1673"/>
      <c r="G1673"/>
      <c r="H1673"/>
      <c r="I1673"/>
      <c r="J1673"/>
      <c r="K1673"/>
      <c r="L1673"/>
      <c r="M1673"/>
      <c r="N1673"/>
      <c r="O1673"/>
      <c r="P1673"/>
      <c r="Q1673"/>
      <c r="R1673"/>
      <c r="S1673"/>
    </row>
    <row r="1674" spans="1:19" ht="15" x14ac:dyDescent="0.2">
      <c r="A1674"/>
      <c r="B1674"/>
      <c r="C1674"/>
      <c r="D1674"/>
      <c r="E1674"/>
      <c r="F1674"/>
      <c r="G1674"/>
      <c r="H1674"/>
      <c r="I1674"/>
      <c r="J1674"/>
      <c r="K1674"/>
      <c r="L1674"/>
      <c r="M1674"/>
      <c r="N1674"/>
      <c r="O1674"/>
      <c r="P1674"/>
      <c r="Q1674"/>
      <c r="R1674"/>
      <c r="S1674"/>
    </row>
    <row r="1675" spans="1:19" ht="15" x14ac:dyDescent="0.2">
      <c r="A1675"/>
      <c r="B1675"/>
      <c r="C1675"/>
      <c r="D1675"/>
      <c r="E1675"/>
      <c r="F1675"/>
      <c r="G1675"/>
      <c r="H1675"/>
      <c r="I1675"/>
      <c r="J1675"/>
      <c r="K1675"/>
      <c r="L1675"/>
      <c r="M1675"/>
      <c r="N1675"/>
      <c r="O1675"/>
      <c r="P1675"/>
      <c r="Q1675"/>
      <c r="R1675"/>
      <c r="S1675"/>
    </row>
    <row r="1676" spans="1:19" ht="15" x14ac:dyDescent="0.2">
      <c r="A1676"/>
      <c r="B1676"/>
      <c r="C1676"/>
      <c r="D1676"/>
      <c r="E1676"/>
      <c r="F1676"/>
      <c r="G1676"/>
      <c r="H1676"/>
      <c r="I1676"/>
      <c r="J1676"/>
      <c r="K1676"/>
      <c r="L1676"/>
      <c r="M1676"/>
      <c r="N1676"/>
      <c r="O1676"/>
      <c r="P1676"/>
      <c r="Q1676"/>
      <c r="R1676"/>
      <c r="S1676"/>
    </row>
    <row r="1677" spans="1:19" ht="15" x14ac:dyDescent="0.2">
      <c r="A1677"/>
      <c r="B1677"/>
      <c r="C1677"/>
      <c r="D1677"/>
      <c r="E1677"/>
      <c r="F1677"/>
      <c r="G1677"/>
      <c r="H1677"/>
      <c r="I1677"/>
      <c r="J1677"/>
      <c r="K1677"/>
      <c r="L1677"/>
      <c r="M1677"/>
      <c r="N1677"/>
      <c r="O1677"/>
      <c r="P1677"/>
      <c r="Q1677"/>
      <c r="R1677"/>
      <c r="S1677"/>
    </row>
    <row r="1678" spans="1:19" ht="15" x14ac:dyDescent="0.2">
      <c r="A1678"/>
      <c r="B1678"/>
      <c r="C1678"/>
      <c r="D1678"/>
      <c r="E1678"/>
      <c r="F1678"/>
      <c r="G1678"/>
      <c r="H1678"/>
      <c r="I1678"/>
      <c r="J1678"/>
      <c r="K1678"/>
      <c r="L1678"/>
      <c r="M1678"/>
      <c r="N1678"/>
      <c r="O1678"/>
      <c r="P1678"/>
      <c r="Q1678"/>
      <c r="R1678"/>
      <c r="S1678"/>
    </row>
    <row r="1679" spans="1:19" ht="15" x14ac:dyDescent="0.2">
      <c r="A1679"/>
      <c r="B1679"/>
      <c r="C1679"/>
      <c r="D1679"/>
      <c r="E1679"/>
      <c r="F1679"/>
      <c r="G1679"/>
      <c r="H1679"/>
      <c r="I1679"/>
      <c r="J1679"/>
      <c r="K1679"/>
      <c r="L1679"/>
      <c r="M1679"/>
      <c r="N1679"/>
      <c r="O1679"/>
      <c r="P1679"/>
      <c r="Q1679"/>
      <c r="R1679"/>
      <c r="S1679"/>
    </row>
    <row r="1680" spans="1:19" ht="15" x14ac:dyDescent="0.2">
      <c r="A1680"/>
      <c r="B1680"/>
      <c r="C1680"/>
      <c r="D1680"/>
      <c r="E1680"/>
      <c r="F1680"/>
      <c r="G1680"/>
      <c r="H1680"/>
      <c r="I1680"/>
      <c r="J1680"/>
      <c r="K1680"/>
      <c r="L1680"/>
      <c r="M1680"/>
      <c r="N1680"/>
      <c r="O1680"/>
      <c r="P1680"/>
      <c r="Q1680"/>
      <c r="R1680"/>
      <c r="S1680"/>
    </row>
    <row r="1681" spans="1:19" ht="15" x14ac:dyDescent="0.2">
      <c r="A1681"/>
      <c r="B1681"/>
      <c r="C1681"/>
      <c r="D1681"/>
      <c r="E1681"/>
      <c r="F1681"/>
      <c r="G1681"/>
      <c r="H1681"/>
      <c r="I1681"/>
      <c r="J1681"/>
      <c r="K1681"/>
      <c r="L1681"/>
      <c r="M1681"/>
      <c r="N1681"/>
      <c r="O1681"/>
      <c r="P1681"/>
      <c r="Q1681"/>
      <c r="R1681"/>
      <c r="S1681"/>
    </row>
    <row r="1682" spans="1:19" ht="15" x14ac:dyDescent="0.2">
      <c r="A1682"/>
      <c r="B1682"/>
      <c r="C1682"/>
      <c r="D1682"/>
      <c r="E1682"/>
      <c r="F1682"/>
      <c r="G1682"/>
      <c r="H1682"/>
      <c r="I1682"/>
      <c r="J1682"/>
      <c r="K1682"/>
      <c r="L1682"/>
      <c r="M1682"/>
      <c r="N1682"/>
      <c r="O1682"/>
      <c r="P1682"/>
      <c r="Q1682"/>
      <c r="R1682"/>
      <c r="S1682"/>
    </row>
    <row r="1683" spans="1:19" ht="15" x14ac:dyDescent="0.2">
      <c r="A1683"/>
      <c r="B1683"/>
      <c r="C1683"/>
      <c r="D1683"/>
      <c r="E1683"/>
      <c r="F1683"/>
      <c r="G1683"/>
      <c r="H1683"/>
      <c r="I1683"/>
      <c r="J1683"/>
      <c r="K1683"/>
      <c r="L1683"/>
      <c r="M1683"/>
      <c r="N1683"/>
      <c r="O1683"/>
      <c r="P1683"/>
      <c r="Q1683"/>
      <c r="R1683"/>
      <c r="S1683"/>
    </row>
    <row r="1684" spans="1:19" ht="15" x14ac:dyDescent="0.2">
      <c r="A1684"/>
      <c r="B1684"/>
      <c r="C1684"/>
      <c r="D1684"/>
      <c r="E1684"/>
      <c r="F1684"/>
      <c r="G1684"/>
      <c r="H1684"/>
      <c r="I1684"/>
      <c r="J1684"/>
      <c r="K1684"/>
      <c r="L1684"/>
      <c r="M1684"/>
      <c r="N1684"/>
      <c r="O1684"/>
      <c r="P1684"/>
      <c r="Q1684"/>
      <c r="R1684"/>
      <c r="S1684"/>
    </row>
    <row r="1685" spans="1:19" ht="15" x14ac:dyDescent="0.2">
      <c r="A1685"/>
      <c r="B1685"/>
      <c r="C1685"/>
      <c r="D1685"/>
      <c r="E1685"/>
      <c r="F1685"/>
      <c r="G1685"/>
      <c r="H1685"/>
      <c r="I1685"/>
      <c r="J1685"/>
      <c r="K1685"/>
      <c r="L1685"/>
      <c r="M1685"/>
      <c r="N1685"/>
      <c r="O1685"/>
      <c r="P1685"/>
      <c r="Q1685"/>
      <c r="R1685"/>
      <c r="S1685"/>
    </row>
    <row r="1686" spans="1:19" ht="15" x14ac:dyDescent="0.2">
      <c r="A1686"/>
      <c r="B1686"/>
      <c r="C1686"/>
      <c r="D1686"/>
      <c r="E1686"/>
      <c r="F1686"/>
      <c r="G1686"/>
      <c r="H1686"/>
      <c r="I1686"/>
      <c r="J1686"/>
      <c r="K1686"/>
      <c r="L1686"/>
      <c r="M1686"/>
      <c r="N1686"/>
      <c r="O1686"/>
      <c r="P1686"/>
      <c r="Q1686"/>
      <c r="R1686"/>
      <c r="S1686"/>
    </row>
    <row r="1687" spans="1:19" ht="15" x14ac:dyDescent="0.2">
      <c r="A1687"/>
      <c r="B1687"/>
      <c r="C1687"/>
      <c r="D1687"/>
      <c r="E1687"/>
      <c r="F1687"/>
      <c r="G1687"/>
      <c r="H1687"/>
      <c r="I1687"/>
      <c r="J1687"/>
      <c r="K1687"/>
      <c r="L1687"/>
      <c r="M1687"/>
      <c r="N1687"/>
      <c r="O1687"/>
      <c r="P1687"/>
      <c r="Q1687"/>
      <c r="R1687"/>
      <c r="S1687"/>
    </row>
    <row r="1688" spans="1:19" ht="15" x14ac:dyDescent="0.2">
      <c r="A1688"/>
      <c r="B1688"/>
      <c r="C1688"/>
      <c r="D1688"/>
      <c r="E1688"/>
      <c r="F1688"/>
      <c r="G1688"/>
      <c r="H1688"/>
      <c r="I1688"/>
      <c r="J1688"/>
      <c r="K1688"/>
      <c r="L1688"/>
      <c r="M1688"/>
      <c r="N1688"/>
      <c r="O1688"/>
      <c r="P1688"/>
      <c r="Q1688"/>
      <c r="R1688"/>
      <c r="S1688"/>
    </row>
    <row r="1689" spans="1:19" ht="15" x14ac:dyDescent="0.2">
      <c r="A1689"/>
      <c r="B1689"/>
      <c r="C1689"/>
      <c r="D1689"/>
      <c r="E1689"/>
      <c r="F1689"/>
      <c r="G1689"/>
      <c r="H1689"/>
      <c r="I1689"/>
      <c r="J1689"/>
      <c r="K1689"/>
      <c r="L1689"/>
      <c r="M1689"/>
      <c r="N1689"/>
      <c r="O1689"/>
      <c r="P1689"/>
      <c r="Q1689"/>
      <c r="R1689"/>
      <c r="S1689"/>
    </row>
    <row r="1690" spans="1:19" ht="15" x14ac:dyDescent="0.2">
      <c r="A1690"/>
      <c r="B1690"/>
      <c r="C1690"/>
      <c r="D1690"/>
      <c r="E1690"/>
      <c r="F1690"/>
      <c r="G1690"/>
      <c r="H1690"/>
      <c r="I1690"/>
      <c r="J1690"/>
      <c r="K1690"/>
      <c r="L1690"/>
      <c r="M1690"/>
      <c r="N1690"/>
      <c r="O1690"/>
      <c r="P1690"/>
      <c r="Q1690"/>
      <c r="R1690"/>
      <c r="S1690"/>
    </row>
    <row r="1691" spans="1:19" ht="15" x14ac:dyDescent="0.2">
      <c r="A1691"/>
      <c r="B1691"/>
      <c r="C1691"/>
      <c r="D1691"/>
      <c r="E1691"/>
      <c r="F1691"/>
      <c r="G1691"/>
      <c r="H1691"/>
      <c r="I1691"/>
      <c r="J1691"/>
      <c r="K1691"/>
      <c r="L1691"/>
      <c r="M1691"/>
      <c r="N1691"/>
      <c r="O1691"/>
      <c r="P1691"/>
      <c r="Q1691"/>
      <c r="R1691"/>
      <c r="S1691"/>
    </row>
    <row r="1692" spans="1:19" ht="15" x14ac:dyDescent="0.2">
      <c r="A1692"/>
      <c r="B1692"/>
      <c r="C1692"/>
      <c r="D1692"/>
      <c r="E1692"/>
      <c r="F1692"/>
      <c r="G1692"/>
      <c r="H1692"/>
      <c r="I1692"/>
      <c r="J1692"/>
      <c r="K1692"/>
      <c r="L1692"/>
      <c r="M1692"/>
      <c r="N1692"/>
      <c r="O1692"/>
      <c r="P1692"/>
      <c r="Q1692"/>
      <c r="R1692"/>
      <c r="S1692"/>
    </row>
    <row r="1693" spans="1:19" ht="15" x14ac:dyDescent="0.2">
      <c r="A1693"/>
      <c r="B1693"/>
      <c r="C1693"/>
      <c r="D1693"/>
      <c r="E1693"/>
      <c r="F1693"/>
      <c r="G1693"/>
      <c r="H1693"/>
      <c r="I1693"/>
      <c r="J1693"/>
      <c r="K1693"/>
      <c r="L1693"/>
      <c r="M1693"/>
      <c r="N1693"/>
      <c r="O1693"/>
      <c r="P1693"/>
      <c r="Q1693"/>
      <c r="R1693"/>
      <c r="S1693"/>
    </row>
    <row r="1694" spans="1:19" ht="15" x14ac:dyDescent="0.2">
      <c r="A1694"/>
      <c r="B1694"/>
      <c r="C1694"/>
      <c r="D1694"/>
      <c r="E1694"/>
      <c r="F1694"/>
      <c r="G1694"/>
      <c r="H1694"/>
      <c r="I1694"/>
      <c r="J1694"/>
      <c r="K1694"/>
      <c r="L1694"/>
      <c r="M1694"/>
      <c r="N1694"/>
      <c r="O1694"/>
      <c r="P1694"/>
      <c r="Q1694"/>
      <c r="R1694"/>
      <c r="S1694"/>
    </row>
    <row r="1695" spans="1:19" ht="15" x14ac:dyDescent="0.2">
      <c r="A1695"/>
      <c r="B1695"/>
      <c r="C1695"/>
      <c r="D1695"/>
      <c r="E1695"/>
      <c r="F1695"/>
      <c r="G1695"/>
      <c r="H1695"/>
      <c r="I1695"/>
      <c r="J1695"/>
      <c r="K1695"/>
      <c r="L1695"/>
      <c r="M1695"/>
      <c r="N1695"/>
      <c r="O1695"/>
      <c r="P1695"/>
      <c r="Q1695"/>
      <c r="R1695"/>
      <c r="S1695"/>
    </row>
    <row r="1696" spans="1:19" ht="15" x14ac:dyDescent="0.2">
      <c r="A1696"/>
      <c r="B1696"/>
      <c r="C1696"/>
      <c r="D1696"/>
      <c r="E1696"/>
      <c r="F1696"/>
      <c r="G1696"/>
      <c r="H1696"/>
      <c r="I1696"/>
      <c r="J1696"/>
      <c r="K1696"/>
      <c r="L1696"/>
      <c r="M1696"/>
      <c r="N1696"/>
      <c r="O1696"/>
      <c r="P1696"/>
      <c r="Q1696"/>
      <c r="R1696"/>
      <c r="S1696"/>
    </row>
    <row r="1697" spans="1:19" ht="15" x14ac:dyDescent="0.2">
      <c r="A1697"/>
      <c r="B1697"/>
      <c r="C1697"/>
      <c r="D1697"/>
      <c r="E1697"/>
      <c r="F1697"/>
      <c r="G1697"/>
      <c r="H1697"/>
      <c r="I1697"/>
      <c r="J1697"/>
      <c r="K1697"/>
      <c r="L1697"/>
      <c r="M1697"/>
      <c r="N1697"/>
      <c r="O1697"/>
      <c r="P1697"/>
      <c r="Q1697"/>
      <c r="R1697"/>
      <c r="S1697"/>
    </row>
    <row r="1698" spans="1:19" ht="15" x14ac:dyDescent="0.2">
      <c r="A1698"/>
      <c r="B1698"/>
      <c r="C1698"/>
      <c r="D1698"/>
      <c r="E1698"/>
      <c r="F1698"/>
      <c r="G1698"/>
      <c r="H1698"/>
      <c r="I1698"/>
      <c r="J1698"/>
      <c r="K1698"/>
      <c r="L1698"/>
      <c r="M1698"/>
      <c r="N1698"/>
      <c r="O1698"/>
      <c r="P1698"/>
      <c r="Q1698"/>
      <c r="R1698"/>
      <c r="S1698"/>
    </row>
    <row r="1699" spans="1:19" ht="15" x14ac:dyDescent="0.2">
      <c r="A1699"/>
      <c r="B1699"/>
      <c r="C1699"/>
      <c r="D1699"/>
      <c r="E1699"/>
      <c r="F1699"/>
      <c r="G1699"/>
      <c r="H1699"/>
      <c r="I1699"/>
      <c r="J1699"/>
      <c r="K1699"/>
      <c r="L1699"/>
      <c r="M1699"/>
      <c r="N1699"/>
      <c r="O1699"/>
      <c r="P1699"/>
      <c r="Q1699"/>
      <c r="R1699"/>
      <c r="S1699"/>
    </row>
    <row r="1700" spans="1:19" ht="15" x14ac:dyDescent="0.2">
      <c r="A1700"/>
      <c r="B1700"/>
      <c r="C1700"/>
      <c r="D1700"/>
      <c r="E1700"/>
      <c r="F1700"/>
      <c r="G1700"/>
      <c r="H1700"/>
      <c r="I1700"/>
      <c r="J1700"/>
      <c r="K1700"/>
      <c r="L1700"/>
      <c r="M1700"/>
      <c r="N1700"/>
      <c r="O1700"/>
      <c r="P1700"/>
      <c r="Q1700"/>
      <c r="R1700"/>
      <c r="S1700"/>
    </row>
    <row r="1701" spans="1:19" ht="15" x14ac:dyDescent="0.2">
      <c r="A1701"/>
      <c r="B1701"/>
      <c r="C1701"/>
      <c r="D1701"/>
      <c r="E1701"/>
      <c r="F1701"/>
      <c r="G1701"/>
      <c r="H1701"/>
      <c r="I1701"/>
      <c r="J1701"/>
      <c r="K1701"/>
      <c r="L1701"/>
      <c r="M1701"/>
      <c r="N1701"/>
      <c r="O1701"/>
      <c r="P1701"/>
      <c r="Q1701"/>
      <c r="R1701"/>
      <c r="S1701"/>
    </row>
    <row r="1702" spans="1:19" ht="15" x14ac:dyDescent="0.2">
      <c r="A1702"/>
      <c r="B1702"/>
      <c r="C1702"/>
      <c r="D1702"/>
      <c r="E1702"/>
      <c r="F1702"/>
      <c r="G1702"/>
      <c r="H1702"/>
      <c r="I1702"/>
      <c r="J1702"/>
      <c r="K1702"/>
      <c r="L1702"/>
      <c r="M1702"/>
      <c r="N1702"/>
      <c r="O1702"/>
      <c r="P1702"/>
      <c r="Q1702"/>
      <c r="R1702"/>
      <c r="S1702"/>
    </row>
    <row r="1703" spans="1:19" ht="15" x14ac:dyDescent="0.2">
      <c r="A1703"/>
      <c r="B1703"/>
      <c r="C1703"/>
      <c r="D1703"/>
      <c r="E1703"/>
      <c r="F1703"/>
      <c r="G1703"/>
      <c r="H1703"/>
      <c r="I1703"/>
      <c r="J1703"/>
      <c r="K1703"/>
      <c r="L1703"/>
      <c r="M1703"/>
      <c r="N1703"/>
      <c r="O1703"/>
      <c r="P1703"/>
      <c r="Q1703"/>
      <c r="R1703"/>
      <c r="S1703"/>
    </row>
    <row r="1704" spans="1:19" ht="15" x14ac:dyDescent="0.2">
      <c r="A1704"/>
      <c r="B1704"/>
      <c r="C1704"/>
      <c r="D1704"/>
      <c r="E1704"/>
      <c r="F1704"/>
      <c r="G1704"/>
      <c r="H1704"/>
      <c r="I1704"/>
      <c r="J1704"/>
      <c r="K1704"/>
      <c r="L1704"/>
      <c r="M1704"/>
      <c r="N1704"/>
      <c r="O1704"/>
      <c r="P1704"/>
      <c r="Q1704"/>
      <c r="R1704"/>
      <c r="S1704"/>
    </row>
    <row r="1705" spans="1:19" ht="15" x14ac:dyDescent="0.2">
      <c r="A1705"/>
      <c r="B1705"/>
      <c r="C1705"/>
      <c r="D1705"/>
      <c r="E1705"/>
      <c r="F1705"/>
      <c r="G1705"/>
      <c r="H1705"/>
      <c r="I1705"/>
      <c r="J1705"/>
      <c r="K1705"/>
      <c r="L1705"/>
      <c r="M1705"/>
      <c r="N1705"/>
      <c r="O1705"/>
      <c r="P1705"/>
      <c r="Q1705"/>
      <c r="R1705"/>
      <c r="S1705"/>
    </row>
    <row r="1706" spans="1:19" ht="15" x14ac:dyDescent="0.2">
      <c r="A1706"/>
      <c r="B1706"/>
      <c r="C1706"/>
      <c r="D1706"/>
      <c r="E1706"/>
      <c r="F1706"/>
      <c r="G1706"/>
      <c r="H1706"/>
      <c r="I1706"/>
      <c r="J1706"/>
      <c r="K1706"/>
      <c r="L1706"/>
      <c r="M1706"/>
      <c r="N1706"/>
      <c r="O1706"/>
      <c r="P1706"/>
      <c r="Q1706"/>
      <c r="R1706"/>
      <c r="S1706"/>
    </row>
    <row r="1707" spans="1:19" ht="15" x14ac:dyDescent="0.2">
      <c r="A1707"/>
      <c r="B1707"/>
      <c r="C1707"/>
      <c r="D1707"/>
      <c r="E1707"/>
      <c r="F1707"/>
      <c r="G1707"/>
      <c r="H1707"/>
      <c r="I1707"/>
      <c r="J1707"/>
      <c r="K1707"/>
      <c r="L1707"/>
      <c r="M1707"/>
      <c r="N1707"/>
      <c r="O1707"/>
      <c r="P1707"/>
      <c r="Q1707"/>
      <c r="R1707"/>
      <c r="S1707"/>
    </row>
    <row r="1708" spans="1:19" ht="15" x14ac:dyDescent="0.2">
      <c r="A1708"/>
      <c r="B1708"/>
      <c r="C1708"/>
      <c r="D1708"/>
      <c r="E1708"/>
      <c r="F1708"/>
      <c r="G1708"/>
      <c r="H1708"/>
      <c r="I1708"/>
      <c r="J1708"/>
      <c r="K1708"/>
      <c r="L1708"/>
      <c r="M1708"/>
      <c r="N1708"/>
      <c r="O1708"/>
      <c r="P1708"/>
      <c r="Q1708"/>
      <c r="R1708"/>
      <c r="S1708"/>
    </row>
    <row r="1709" spans="1:19" ht="15" x14ac:dyDescent="0.2">
      <c r="A1709"/>
      <c r="B1709"/>
      <c r="C1709"/>
      <c r="D1709"/>
      <c r="E1709"/>
      <c r="F1709"/>
      <c r="G1709"/>
      <c r="H1709"/>
      <c r="I1709"/>
      <c r="J1709"/>
      <c r="K1709"/>
      <c r="L1709"/>
      <c r="M1709"/>
      <c r="N1709"/>
      <c r="O1709"/>
      <c r="P1709"/>
      <c r="Q1709"/>
      <c r="R1709"/>
      <c r="S1709"/>
    </row>
    <row r="1710" spans="1:19" ht="15" x14ac:dyDescent="0.2">
      <c r="A1710"/>
      <c r="B1710"/>
      <c r="C1710"/>
      <c r="D1710"/>
      <c r="E1710"/>
      <c r="F1710"/>
      <c r="G1710"/>
      <c r="H1710"/>
      <c r="I1710"/>
      <c r="J1710"/>
      <c r="K1710"/>
      <c r="L1710"/>
      <c r="M1710"/>
      <c r="N1710"/>
      <c r="O1710"/>
      <c r="P1710"/>
      <c r="Q1710"/>
      <c r="R1710"/>
      <c r="S1710"/>
    </row>
    <row r="1711" spans="1:19" ht="15" x14ac:dyDescent="0.2">
      <c r="A1711"/>
      <c r="B1711"/>
      <c r="C1711"/>
      <c r="D1711"/>
      <c r="E1711"/>
      <c r="F1711"/>
      <c r="G1711"/>
      <c r="H1711"/>
      <c r="I1711"/>
      <c r="J1711"/>
      <c r="K1711"/>
      <c r="L1711"/>
      <c r="M1711"/>
      <c r="N1711"/>
      <c r="O1711"/>
      <c r="P1711"/>
      <c r="Q1711"/>
      <c r="R1711"/>
      <c r="S1711"/>
    </row>
    <row r="1712" spans="1:19" ht="15" x14ac:dyDescent="0.2">
      <c r="A1712"/>
      <c r="B1712"/>
      <c r="C1712"/>
      <c r="D1712"/>
      <c r="E1712"/>
      <c r="F1712"/>
      <c r="G1712"/>
      <c r="H1712"/>
      <c r="I1712"/>
      <c r="J1712"/>
      <c r="K1712"/>
      <c r="L1712"/>
      <c r="M1712"/>
      <c r="N1712"/>
      <c r="O1712"/>
      <c r="P1712"/>
      <c r="Q1712"/>
      <c r="R1712"/>
      <c r="S1712"/>
    </row>
    <row r="1713" spans="1:19" ht="15" x14ac:dyDescent="0.2">
      <c r="A1713"/>
      <c r="B1713"/>
      <c r="C1713"/>
      <c r="D1713"/>
      <c r="E1713"/>
      <c r="F1713"/>
      <c r="G1713"/>
      <c r="H1713"/>
      <c r="I1713"/>
      <c r="J1713"/>
      <c r="K1713"/>
      <c r="L1713"/>
      <c r="M1713"/>
      <c r="N1713"/>
      <c r="O1713"/>
      <c r="P1713"/>
      <c r="Q1713"/>
      <c r="R1713"/>
      <c r="S1713"/>
    </row>
    <row r="1714" spans="1:19" ht="15" x14ac:dyDescent="0.2">
      <c r="A1714"/>
      <c r="B1714"/>
      <c r="C1714"/>
      <c r="D1714"/>
      <c r="E1714"/>
      <c r="F1714"/>
      <c r="G1714"/>
      <c r="H1714"/>
      <c r="I1714"/>
      <c r="J1714"/>
      <c r="K1714"/>
      <c r="L1714"/>
      <c r="M1714"/>
      <c r="N1714"/>
      <c r="O1714"/>
      <c r="P1714"/>
      <c r="Q1714"/>
      <c r="R1714"/>
      <c r="S1714"/>
    </row>
    <row r="1715" spans="1:19" ht="15" x14ac:dyDescent="0.2">
      <c r="A1715"/>
      <c r="B1715"/>
      <c r="C1715"/>
      <c r="D1715"/>
      <c r="E1715"/>
      <c r="F1715"/>
      <c r="G1715"/>
      <c r="H1715"/>
      <c r="I1715"/>
      <c r="J1715"/>
      <c r="K1715"/>
      <c r="L1715"/>
      <c r="M1715"/>
      <c r="N1715"/>
      <c r="O1715"/>
      <c r="P1715"/>
      <c r="Q1715"/>
      <c r="R1715"/>
      <c r="S1715"/>
    </row>
    <row r="1716" spans="1:19" ht="15" x14ac:dyDescent="0.2">
      <c r="A1716"/>
      <c r="B1716"/>
      <c r="C1716"/>
      <c r="D1716"/>
      <c r="E1716"/>
      <c r="F1716"/>
      <c r="G1716"/>
      <c r="H1716"/>
      <c r="I1716"/>
      <c r="J1716"/>
      <c r="K1716"/>
      <c r="L1716"/>
      <c r="M1716"/>
      <c r="N1716"/>
      <c r="O1716"/>
      <c r="P1716"/>
      <c r="Q1716"/>
      <c r="R1716"/>
      <c r="S1716"/>
    </row>
    <row r="1717" spans="1:19" ht="15" x14ac:dyDescent="0.2">
      <c r="A1717"/>
      <c r="B1717"/>
      <c r="C1717"/>
      <c r="D1717"/>
      <c r="E1717"/>
      <c r="F1717"/>
      <c r="G1717"/>
      <c r="H1717"/>
      <c r="I1717"/>
      <c r="J1717"/>
      <c r="K1717"/>
      <c r="L1717"/>
      <c r="M1717"/>
      <c r="N1717"/>
      <c r="O1717"/>
      <c r="P1717"/>
      <c r="Q1717"/>
      <c r="R1717"/>
      <c r="S1717"/>
    </row>
    <row r="1718" spans="1:19" ht="15" x14ac:dyDescent="0.2">
      <c r="A1718"/>
      <c r="B1718"/>
      <c r="C1718"/>
      <c r="D1718"/>
      <c r="E1718"/>
      <c r="F1718"/>
      <c r="G1718"/>
      <c r="H1718"/>
      <c r="I1718"/>
      <c r="J1718"/>
      <c r="K1718"/>
      <c r="L1718"/>
      <c r="M1718"/>
      <c r="N1718"/>
      <c r="O1718"/>
      <c r="P1718"/>
      <c r="Q1718"/>
      <c r="R1718"/>
      <c r="S1718"/>
    </row>
    <row r="1719" spans="1:19" ht="15" x14ac:dyDescent="0.2">
      <c r="A1719"/>
      <c r="B1719"/>
      <c r="C1719"/>
      <c r="D1719"/>
      <c r="E1719"/>
      <c r="F1719"/>
      <c r="G1719"/>
      <c r="H1719"/>
      <c r="I1719"/>
      <c r="J1719"/>
      <c r="K1719"/>
      <c r="L1719"/>
      <c r="M1719"/>
      <c r="N1719"/>
      <c r="O1719"/>
      <c r="P1719"/>
      <c r="Q1719"/>
      <c r="R1719"/>
      <c r="S1719"/>
    </row>
    <row r="1720" spans="1:19" ht="15" x14ac:dyDescent="0.2">
      <c r="A1720"/>
      <c r="B1720"/>
      <c r="C1720"/>
      <c r="D1720"/>
      <c r="E1720"/>
      <c r="F1720"/>
      <c r="G1720"/>
      <c r="H1720"/>
      <c r="I1720"/>
      <c r="J1720"/>
      <c r="K1720"/>
      <c r="L1720"/>
      <c r="M1720"/>
      <c r="N1720"/>
      <c r="O1720"/>
      <c r="P1720"/>
      <c r="Q1720"/>
      <c r="R1720"/>
      <c r="S1720"/>
    </row>
    <row r="1721" spans="1:19" ht="15" x14ac:dyDescent="0.2">
      <c r="A1721"/>
      <c r="B1721"/>
      <c r="C1721"/>
      <c r="D1721"/>
      <c r="E1721"/>
      <c r="F1721"/>
      <c r="G1721"/>
      <c r="H1721"/>
      <c r="I1721"/>
      <c r="J1721"/>
      <c r="K1721"/>
      <c r="L1721"/>
      <c r="M1721"/>
      <c r="N1721"/>
      <c r="O1721"/>
      <c r="P1721"/>
      <c r="Q1721"/>
      <c r="R1721"/>
      <c r="S1721"/>
    </row>
    <row r="1722" spans="1:19" ht="15" x14ac:dyDescent="0.2">
      <c r="A1722"/>
      <c r="B1722"/>
      <c r="C1722"/>
      <c r="D1722"/>
      <c r="E1722"/>
      <c r="F1722"/>
      <c r="G1722"/>
      <c r="H1722"/>
      <c r="I1722"/>
      <c r="J1722"/>
      <c r="K1722"/>
      <c r="L1722"/>
      <c r="M1722"/>
      <c r="N1722"/>
      <c r="O1722"/>
      <c r="P1722"/>
      <c r="Q1722"/>
      <c r="R1722"/>
      <c r="S1722"/>
    </row>
    <row r="1723" spans="1:19" ht="15" x14ac:dyDescent="0.2">
      <c r="A1723"/>
      <c r="B1723"/>
      <c r="C1723"/>
      <c r="D1723"/>
      <c r="E1723"/>
      <c r="F1723"/>
      <c r="G1723"/>
      <c r="H1723"/>
      <c r="I1723"/>
      <c r="J1723"/>
      <c r="K1723"/>
      <c r="L1723"/>
      <c r="M1723"/>
      <c r="N1723"/>
      <c r="O1723"/>
      <c r="P1723"/>
      <c r="Q1723"/>
      <c r="R1723"/>
      <c r="S1723"/>
    </row>
    <row r="1724" spans="1:19" ht="15" x14ac:dyDescent="0.2">
      <c r="A1724"/>
      <c r="B1724"/>
      <c r="C1724"/>
      <c r="D1724"/>
      <c r="E1724"/>
      <c r="F1724"/>
      <c r="G1724"/>
      <c r="H1724"/>
      <c r="I1724"/>
      <c r="J1724"/>
      <c r="K1724"/>
      <c r="L1724"/>
      <c r="M1724"/>
      <c r="N1724"/>
      <c r="O1724"/>
      <c r="P1724"/>
      <c r="Q1724"/>
      <c r="R1724"/>
      <c r="S1724"/>
    </row>
    <row r="1725" spans="1:19" ht="15" x14ac:dyDescent="0.2">
      <c r="A1725"/>
      <c r="B1725"/>
      <c r="C1725"/>
      <c r="D1725"/>
      <c r="E1725"/>
      <c r="F1725"/>
      <c r="G1725"/>
      <c r="H1725"/>
      <c r="I1725"/>
      <c r="J1725"/>
      <c r="K1725"/>
      <c r="L1725"/>
      <c r="M1725"/>
      <c r="N1725"/>
      <c r="O1725"/>
      <c r="P1725"/>
      <c r="Q1725"/>
      <c r="R1725"/>
      <c r="S1725"/>
    </row>
    <row r="1726" spans="1:19" ht="15" x14ac:dyDescent="0.2">
      <c r="A1726"/>
      <c r="B1726"/>
      <c r="C1726"/>
      <c r="D1726"/>
      <c r="E1726"/>
      <c r="F1726"/>
      <c r="G1726"/>
      <c r="H1726"/>
      <c r="I1726"/>
      <c r="J1726"/>
      <c r="K1726"/>
      <c r="L1726"/>
      <c r="M1726"/>
      <c r="N1726"/>
      <c r="O1726"/>
      <c r="P1726"/>
      <c r="Q1726"/>
      <c r="R1726"/>
      <c r="S1726"/>
    </row>
    <row r="1727" spans="1:19" ht="15" x14ac:dyDescent="0.2">
      <c r="A1727"/>
      <c r="B1727"/>
      <c r="C1727"/>
      <c r="D1727"/>
      <c r="E1727"/>
      <c r="F1727"/>
      <c r="G1727"/>
      <c r="H1727"/>
      <c r="I1727"/>
      <c r="J1727"/>
      <c r="K1727"/>
      <c r="L1727"/>
      <c r="M1727"/>
      <c r="N1727"/>
      <c r="O1727"/>
      <c r="P1727"/>
      <c r="Q1727"/>
      <c r="R1727"/>
      <c r="S1727"/>
    </row>
    <row r="1728" spans="1:19" ht="15" x14ac:dyDescent="0.2">
      <c r="A1728"/>
      <c r="B1728"/>
      <c r="C1728"/>
      <c r="D1728"/>
      <c r="E1728"/>
      <c r="F1728"/>
      <c r="G1728"/>
      <c r="H1728"/>
      <c r="I1728"/>
      <c r="J1728"/>
      <c r="K1728"/>
      <c r="L1728"/>
      <c r="M1728"/>
      <c r="N1728"/>
      <c r="O1728"/>
      <c r="P1728"/>
      <c r="Q1728"/>
      <c r="R1728"/>
      <c r="S1728"/>
    </row>
    <row r="1729" spans="1:19" ht="15" x14ac:dyDescent="0.2">
      <c r="A1729"/>
      <c r="B1729"/>
      <c r="C1729"/>
      <c r="D1729"/>
      <c r="E1729"/>
      <c r="F1729"/>
      <c r="G1729"/>
      <c r="H1729"/>
      <c r="I1729"/>
      <c r="J1729"/>
      <c r="K1729"/>
      <c r="L1729"/>
      <c r="M1729"/>
      <c r="N1729"/>
      <c r="O1729"/>
      <c r="P1729"/>
      <c r="Q1729"/>
      <c r="R1729"/>
      <c r="S1729"/>
    </row>
    <row r="1730" spans="1:19" ht="15" x14ac:dyDescent="0.2">
      <c r="A1730"/>
      <c r="B1730"/>
      <c r="C1730"/>
      <c r="D1730"/>
      <c r="E1730"/>
      <c r="F1730"/>
      <c r="G1730"/>
      <c r="H1730"/>
      <c r="I1730"/>
      <c r="J1730"/>
      <c r="K1730"/>
      <c r="L1730"/>
      <c r="M1730"/>
      <c r="N1730"/>
      <c r="O1730"/>
      <c r="P1730"/>
      <c r="Q1730"/>
      <c r="R1730"/>
      <c r="S1730"/>
    </row>
    <row r="1731" spans="1:19" ht="15" x14ac:dyDescent="0.2">
      <c r="A1731"/>
      <c r="B1731"/>
      <c r="C1731"/>
      <c r="D1731"/>
      <c r="E1731"/>
      <c r="F1731"/>
      <c r="G1731"/>
      <c r="H1731"/>
      <c r="I1731"/>
      <c r="J1731"/>
      <c r="K1731"/>
      <c r="L1731"/>
      <c r="M1731"/>
      <c r="N1731"/>
      <c r="O1731"/>
      <c r="P1731"/>
      <c r="Q1731"/>
      <c r="R1731"/>
      <c r="S1731"/>
    </row>
    <row r="1732" spans="1:19" ht="15" x14ac:dyDescent="0.2">
      <c r="A1732"/>
      <c r="B1732"/>
      <c r="C1732"/>
      <c r="D1732"/>
      <c r="E1732"/>
      <c r="F1732"/>
      <c r="G1732"/>
      <c r="H1732"/>
      <c r="I1732"/>
      <c r="J1732"/>
      <c r="K1732"/>
      <c r="L1732"/>
      <c r="M1732"/>
      <c r="N1732"/>
      <c r="O1732"/>
      <c r="P1732"/>
      <c r="Q1732"/>
      <c r="R1732"/>
      <c r="S1732"/>
    </row>
    <row r="1733" spans="1:19" ht="15" x14ac:dyDescent="0.2">
      <c r="A1733"/>
      <c r="B1733"/>
      <c r="C1733"/>
      <c r="D1733"/>
      <c r="E1733"/>
      <c r="F1733"/>
      <c r="G1733"/>
      <c r="H1733"/>
      <c r="I1733"/>
      <c r="J1733"/>
      <c r="K1733"/>
      <c r="L1733"/>
      <c r="M1733"/>
      <c r="N1733"/>
      <c r="O1733"/>
      <c r="P1733"/>
      <c r="Q1733"/>
      <c r="R1733"/>
      <c r="S1733"/>
    </row>
    <row r="1734" spans="1:19" ht="15" x14ac:dyDescent="0.2">
      <c r="A1734"/>
      <c r="B1734"/>
      <c r="C1734"/>
      <c r="D1734"/>
      <c r="E1734"/>
      <c r="F1734"/>
      <c r="G1734"/>
      <c r="H1734"/>
      <c r="I1734"/>
      <c r="J1734"/>
      <c r="K1734"/>
      <c r="L1734"/>
      <c r="M1734"/>
      <c r="N1734"/>
      <c r="O1734"/>
      <c r="P1734"/>
      <c r="Q1734"/>
      <c r="R1734"/>
      <c r="S1734"/>
    </row>
    <row r="1735" spans="1:19" ht="15" x14ac:dyDescent="0.2">
      <c r="A1735"/>
      <c r="B1735"/>
      <c r="C1735"/>
      <c r="D1735"/>
      <c r="E1735"/>
      <c r="F1735"/>
      <c r="G1735"/>
      <c r="H1735"/>
      <c r="I1735"/>
      <c r="J1735"/>
      <c r="K1735"/>
      <c r="L1735"/>
      <c r="M1735"/>
      <c r="N1735"/>
      <c r="O1735"/>
      <c r="P1735"/>
      <c r="Q1735"/>
      <c r="R1735"/>
      <c r="S1735"/>
    </row>
    <row r="1736" spans="1:19" ht="15" x14ac:dyDescent="0.2">
      <c r="A1736"/>
      <c r="B1736"/>
      <c r="C1736"/>
      <c r="D1736"/>
      <c r="E1736"/>
      <c r="F1736"/>
      <c r="G1736"/>
      <c r="H1736"/>
      <c r="I1736"/>
      <c r="J1736"/>
      <c r="K1736"/>
      <c r="L1736"/>
      <c r="M1736"/>
      <c r="N1736"/>
      <c r="O1736"/>
      <c r="P1736"/>
      <c r="Q1736"/>
      <c r="R1736"/>
      <c r="S1736"/>
    </row>
    <row r="1737" spans="1:19" ht="15" x14ac:dyDescent="0.2">
      <c r="A1737"/>
      <c r="B1737"/>
      <c r="C1737"/>
      <c r="D1737"/>
      <c r="E1737"/>
      <c r="F1737"/>
      <c r="G1737"/>
      <c r="H1737"/>
      <c r="I1737"/>
      <c r="J1737"/>
      <c r="K1737"/>
      <c r="L1737"/>
      <c r="M1737"/>
      <c r="N1737"/>
      <c r="O1737"/>
      <c r="P1737"/>
      <c r="Q1737"/>
      <c r="R1737"/>
      <c r="S1737"/>
    </row>
    <row r="1738" spans="1:19" ht="15" x14ac:dyDescent="0.2">
      <c r="A1738"/>
      <c r="B1738"/>
      <c r="C1738"/>
      <c r="D1738"/>
      <c r="E1738"/>
      <c r="F1738"/>
      <c r="G1738"/>
      <c r="H1738"/>
      <c r="I1738"/>
      <c r="J1738"/>
      <c r="K1738"/>
      <c r="L1738"/>
      <c r="M1738"/>
      <c r="N1738"/>
      <c r="O1738"/>
      <c r="P1738"/>
      <c r="Q1738"/>
      <c r="R1738"/>
      <c r="S1738"/>
    </row>
    <row r="1739" spans="1:19" ht="15" x14ac:dyDescent="0.2">
      <c r="A1739"/>
      <c r="B1739"/>
      <c r="C1739"/>
      <c r="D1739"/>
      <c r="E1739"/>
      <c r="F1739"/>
      <c r="G1739"/>
      <c r="H1739"/>
      <c r="I1739"/>
      <c r="J1739"/>
      <c r="K1739"/>
      <c r="L1739"/>
      <c r="M1739"/>
      <c r="N1739"/>
      <c r="O1739"/>
      <c r="P1739"/>
      <c r="Q1739"/>
      <c r="R1739"/>
      <c r="S1739"/>
    </row>
    <row r="1740" spans="1:19" ht="15" x14ac:dyDescent="0.2">
      <c r="A1740"/>
      <c r="B1740"/>
      <c r="C1740"/>
      <c r="D1740"/>
      <c r="E1740"/>
      <c r="F1740"/>
      <c r="G1740"/>
      <c r="H1740"/>
      <c r="I1740"/>
      <c r="J1740"/>
      <c r="K1740"/>
      <c r="L1740"/>
      <c r="M1740"/>
      <c r="N1740"/>
      <c r="O1740"/>
      <c r="P1740"/>
      <c r="Q1740"/>
      <c r="R1740"/>
      <c r="S1740"/>
    </row>
    <row r="1741" spans="1:19" ht="15" x14ac:dyDescent="0.2">
      <c r="A1741"/>
      <c r="B1741"/>
      <c r="C1741"/>
      <c r="D1741"/>
      <c r="E1741"/>
      <c r="F1741"/>
      <c r="G1741"/>
      <c r="H1741"/>
      <c r="I1741"/>
      <c r="J1741"/>
      <c r="K1741"/>
      <c r="L1741"/>
      <c r="M1741"/>
      <c r="N1741"/>
      <c r="O1741"/>
      <c r="P1741"/>
      <c r="Q1741"/>
      <c r="R1741"/>
      <c r="S1741"/>
    </row>
    <row r="1742" spans="1:19" ht="15" x14ac:dyDescent="0.2">
      <c r="A1742"/>
      <c r="B1742"/>
      <c r="C1742"/>
      <c r="D1742"/>
      <c r="E1742"/>
      <c r="F1742"/>
      <c r="G1742"/>
      <c r="H1742"/>
      <c r="I1742"/>
      <c r="J1742"/>
      <c r="K1742"/>
      <c r="L1742"/>
      <c r="M1742"/>
      <c r="N1742"/>
      <c r="O1742"/>
      <c r="P1742"/>
      <c r="Q1742"/>
      <c r="R1742"/>
      <c r="S1742"/>
    </row>
    <row r="1743" spans="1:19" ht="15" x14ac:dyDescent="0.2">
      <c r="A1743"/>
      <c r="B1743"/>
      <c r="C1743"/>
      <c r="D1743"/>
      <c r="E1743"/>
      <c r="F1743"/>
      <c r="G1743"/>
      <c r="H1743"/>
      <c r="I1743"/>
      <c r="J1743"/>
      <c r="K1743"/>
      <c r="L1743"/>
      <c r="M1743"/>
      <c r="N1743"/>
      <c r="O1743"/>
      <c r="P1743"/>
      <c r="Q1743"/>
      <c r="R1743"/>
      <c r="S1743"/>
    </row>
    <row r="1744" spans="1:19" ht="15" x14ac:dyDescent="0.2">
      <c r="A1744"/>
      <c r="B1744"/>
      <c r="C1744"/>
      <c r="D1744"/>
      <c r="E1744"/>
      <c r="F1744"/>
      <c r="G1744"/>
      <c r="H1744"/>
      <c r="I1744"/>
      <c r="J1744"/>
      <c r="K1744"/>
      <c r="L1744"/>
      <c r="M1744"/>
      <c r="N1744"/>
      <c r="O1744"/>
      <c r="P1744"/>
      <c r="Q1744"/>
      <c r="R1744"/>
      <c r="S1744"/>
    </row>
    <row r="1745" spans="1:19" ht="15" x14ac:dyDescent="0.2">
      <c r="A1745"/>
      <c r="B1745"/>
      <c r="C1745"/>
      <c r="D1745"/>
      <c r="E1745"/>
      <c r="F1745"/>
      <c r="G1745"/>
      <c r="H1745"/>
      <c r="I1745"/>
      <c r="J1745"/>
      <c r="K1745"/>
      <c r="L1745"/>
      <c r="M1745"/>
      <c r="N1745"/>
      <c r="O1745"/>
      <c r="P1745"/>
      <c r="Q1745"/>
      <c r="R1745"/>
      <c r="S1745"/>
    </row>
    <row r="1746" spans="1:19" ht="15" x14ac:dyDescent="0.2">
      <c r="A1746"/>
      <c r="B1746"/>
      <c r="C1746"/>
      <c r="D1746"/>
      <c r="E1746"/>
      <c r="F1746"/>
      <c r="G1746"/>
      <c r="H1746"/>
      <c r="I1746"/>
      <c r="J1746"/>
      <c r="K1746"/>
      <c r="L1746"/>
      <c r="M1746"/>
      <c r="N1746"/>
      <c r="O1746"/>
      <c r="P1746"/>
      <c r="Q1746"/>
      <c r="R1746"/>
      <c r="S1746"/>
    </row>
    <row r="1747" spans="1:19" ht="15" x14ac:dyDescent="0.2">
      <c r="A1747"/>
      <c r="B1747"/>
      <c r="C1747"/>
      <c r="D1747"/>
      <c r="E1747"/>
      <c r="F1747"/>
      <c r="G1747"/>
      <c r="H1747"/>
      <c r="I1747"/>
      <c r="J1747"/>
      <c r="K1747"/>
      <c r="L1747"/>
      <c r="M1747"/>
      <c r="N1747"/>
      <c r="O1747"/>
      <c r="P1747"/>
      <c r="Q1747"/>
      <c r="R1747"/>
      <c r="S1747"/>
    </row>
    <row r="1748" spans="1:19" ht="15" x14ac:dyDescent="0.2">
      <c r="A1748"/>
      <c r="B1748"/>
      <c r="C1748"/>
      <c r="D1748"/>
      <c r="E1748"/>
      <c r="F1748"/>
      <c r="G1748"/>
      <c r="H1748"/>
      <c r="I1748"/>
      <c r="J1748"/>
      <c r="K1748"/>
      <c r="L1748"/>
      <c r="M1748"/>
      <c r="N1748"/>
      <c r="O1748"/>
      <c r="P1748"/>
      <c r="Q1748"/>
      <c r="R1748"/>
      <c r="S1748"/>
    </row>
    <row r="1749" spans="1:19" ht="15" x14ac:dyDescent="0.2">
      <c r="A1749"/>
      <c r="B1749"/>
      <c r="C1749"/>
      <c r="D1749"/>
      <c r="E1749"/>
      <c r="F1749"/>
      <c r="G1749"/>
      <c r="H1749"/>
      <c r="I1749"/>
      <c r="J1749"/>
      <c r="K1749"/>
      <c r="L1749"/>
      <c r="M1749"/>
      <c r="N1749"/>
      <c r="O1749"/>
      <c r="P1749"/>
      <c r="Q1749"/>
      <c r="R1749"/>
      <c r="S1749"/>
    </row>
    <row r="1750" spans="1:19" ht="15" x14ac:dyDescent="0.2">
      <c r="A1750"/>
      <c r="B1750"/>
      <c r="C1750"/>
      <c r="D1750"/>
      <c r="E1750"/>
      <c r="F1750"/>
      <c r="G1750"/>
      <c r="H1750"/>
      <c r="I1750"/>
      <c r="J1750"/>
      <c r="K1750"/>
      <c r="L1750"/>
      <c r="M1750"/>
      <c r="N1750"/>
      <c r="O1750"/>
      <c r="P1750"/>
      <c r="Q1750"/>
      <c r="R1750"/>
      <c r="S1750"/>
    </row>
    <row r="1751" spans="1:19" ht="15" x14ac:dyDescent="0.2">
      <c r="A1751"/>
      <c r="B1751"/>
      <c r="C1751"/>
      <c r="D1751"/>
      <c r="E1751"/>
      <c r="F1751"/>
      <c r="G1751"/>
      <c r="H1751"/>
      <c r="I1751"/>
      <c r="J1751"/>
      <c r="K1751"/>
      <c r="L1751"/>
      <c r="M1751"/>
      <c r="N1751"/>
      <c r="O1751"/>
      <c r="P1751"/>
      <c r="Q1751"/>
      <c r="R1751"/>
      <c r="S1751"/>
    </row>
    <row r="1752" spans="1:19" ht="15" x14ac:dyDescent="0.2">
      <c r="A1752"/>
      <c r="B1752"/>
      <c r="C1752"/>
      <c r="D1752"/>
      <c r="E1752"/>
      <c r="F1752"/>
      <c r="G1752"/>
      <c r="H1752"/>
      <c r="I1752"/>
      <c r="J1752"/>
      <c r="K1752"/>
      <c r="L1752"/>
      <c r="M1752"/>
      <c r="N1752"/>
      <c r="O1752"/>
      <c r="P1752"/>
      <c r="Q1752"/>
      <c r="R1752"/>
      <c r="S1752"/>
    </row>
    <row r="1753" spans="1:19" ht="15" x14ac:dyDescent="0.2">
      <c r="A1753"/>
      <c r="B1753"/>
      <c r="C1753"/>
      <c r="D1753"/>
      <c r="E1753"/>
      <c r="F1753"/>
      <c r="G1753"/>
      <c r="H1753"/>
      <c r="I1753"/>
      <c r="J1753"/>
      <c r="K1753"/>
      <c r="L1753"/>
      <c r="M1753"/>
      <c r="N1753"/>
      <c r="O1753"/>
      <c r="P1753"/>
      <c r="Q1753"/>
      <c r="R1753"/>
      <c r="S1753"/>
    </row>
    <row r="1754" spans="1:19" ht="15" x14ac:dyDescent="0.2">
      <c r="A1754"/>
      <c r="B1754"/>
      <c r="C1754"/>
      <c r="D1754"/>
      <c r="E1754"/>
      <c r="F1754"/>
      <c r="G1754"/>
      <c r="H1754"/>
      <c r="I1754"/>
      <c r="J1754"/>
      <c r="K1754"/>
      <c r="L1754"/>
      <c r="M1754"/>
      <c r="N1754"/>
      <c r="O1754"/>
      <c r="P1754"/>
      <c r="Q1754"/>
      <c r="R1754"/>
      <c r="S1754"/>
    </row>
    <row r="1755" spans="1:19" ht="15" x14ac:dyDescent="0.2">
      <c r="A1755"/>
      <c r="B1755"/>
      <c r="C1755"/>
      <c r="D1755"/>
      <c r="E1755"/>
      <c r="F1755"/>
      <c r="G1755"/>
      <c r="H1755"/>
      <c r="I1755"/>
      <c r="J1755"/>
      <c r="K1755"/>
      <c r="L1755"/>
      <c r="M1755"/>
      <c r="N1755"/>
      <c r="O1755"/>
      <c r="P1755"/>
      <c r="Q1755"/>
      <c r="R1755"/>
      <c r="S1755"/>
    </row>
    <row r="1756" spans="1:19" ht="15" x14ac:dyDescent="0.2">
      <c r="A1756"/>
      <c r="B1756"/>
      <c r="C1756"/>
      <c r="D1756"/>
      <c r="E1756"/>
      <c r="F1756"/>
      <c r="G1756"/>
      <c r="H1756"/>
      <c r="I1756"/>
      <c r="J1756"/>
      <c r="K1756"/>
      <c r="L1756"/>
      <c r="M1756"/>
      <c r="N1756"/>
      <c r="O1756"/>
      <c r="P1756"/>
      <c r="Q1756"/>
      <c r="R1756"/>
      <c r="S1756"/>
    </row>
    <row r="1757" spans="1:19" ht="15" x14ac:dyDescent="0.2">
      <c r="A1757"/>
      <c r="B1757"/>
      <c r="C1757"/>
      <c r="D1757"/>
      <c r="E1757"/>
      <c r="F1757"/>
      <c r="G1757"/>
      <c r="H1757"/>
      <c r="I1757"/>
      <c r="J1757"/>
      <c r="K1757"/>
      <c r="L1757"/>
      <c r="M1757"/>
      <c r="N1757"/>
      <c r="O1757"/>
      <c r="P1757"/>
      <c r="Q1757"/>
      <c r="R1757"/>
      <c r="S1757"/>
    </row>
    <row r="1758" spans="1:19" ht="15" x14ac:dyDescent="0.2">
      <c r="A1758"/>
      <c r="B1758"/>
      <c r="C1758"/>
      <c r="D1758"/>
      <c r="E1758"/>
      <c r="F1758"/>
      <c r="G1758"/>
      <c r="H1758"/>
      <c r="I1758"/>
      <c r="J1758"/>
      <c r="K1758"/>
      <c r="L1758"/>
      <c r="M1758"/>
      <c r="N1758"/>
      <c r="O1758"/>
      <c r="P1758"/>
      <c r="Q1758"/>
      <c r="R1758"/>
      <c r="S1758"/>
    </row>
    <row r="1759" spans="1:19" ht="15" x14ac:dyDescent="0.2">
      <c r="A1759"/>
      <c r="B1759"/>
      <c r="C1759"/>
      <c r="D1759"/>
      <c r="E1759"/>
      <c r="F1759"/>
      <c r="G1759"/>
      <c r="H1759"/>
      <c r="I1759"/>
      <c r="J1759"/>
      <c r="K1759"/>
      <c r="L1759"/>
      <c r="M1759"/>
      <c r="N1759"/>
      <c r="O1759"/>
      <c r="P1759"/>
      <c r="Q1759"/>
      <c r="R1759"/>
      <c r="S1759"/>
    </row>
    <row r="1760" spans="1:19" ht="15" x14ac:dyDescent="0.2">
      <c r="A1760"/>
      <c r="B1760"/>
      <c r="C1760"/>
      <c r="D1760"/>
      <c r="E1760"/>
      <c r="F1760"/>
      <c r="G1760"/>
      <c r="H1760"/>
      <c r="I1760"/>
      <c r="J1760"/>
      <c r="K1760"/>
      <c r="L1760"/>
      <c r="M1760"/>
      <c r="N1760"/>
      <c r="O1760"/>
      <c r="P1760"/>
      <c r="Q1760"/>
      <c r="R1760"/>
      <c r="S1760"/>
    </row>
    <row r="1761" spans="1:19" ht="15" x14ac:dyDescent="0.2">
      <c r="A1761"/>
      <c r="B1761"/>
      <c r="C1761"/>
      <c r="D1761"/>
      <c r="E1761"/>
      <c r="F1761"/>
      <c r="G1761"/>
      <c r="H1761"/>
      <c r="I1761"/>
      <c r="J1761"/>
      <c r="K1761"/>
      <c r="L1761"/>
      <c r="M1761"/>
      <c r="N1761"/>
      <c r="O1761"/>
      <c r="P1761"/>
      <c r="Q1761"/>
      <c r="R1761"/>
      <c r="S1761"/>
    </row>
    <row r="1762" spans="1:19" ht="15" x14ac:dyDescent="0.2">
      <c r="A1762"/>
      <c r="B1762"/>
      <c r="C1762"/>
      <c r="D1762"/>
      <c r="E1762"/>
      <c r="F1762"/>
      <c r="G1762"/>
      <c r="H1762"/>
      <c r="I1762"/>
      <c r="J1762"/>
      <c r="K1762"/>
      <c r="L1762"/>
      <c r="M1762"/>
      <c r="N1762"/>
      <c r="O1762"/>
      <c r="P1762"/>
      <c r="Q1762"/>
      <c r="R1762"/>
      <c r="S1762"/>
    </row>
    <row r="1763" spans="1:19" ht="15" x14ac:dyDescent="0.2">
      <c r="A1763"/>
      <c r="B1763"/>
      <c r="C1763"/>
      <c r="D1763"/>
      <c r="E1763"/>
      <c r="F1763"/>
      <c r="G1763"/>
      <c r="H1763"/>
      <c r="I1763"/>
      <c r="J1763"/>
      <c r="K1763"/>
      <c r="L1763"/>
      <c r="M1763"/>
      <c r="N1763"/>
      <c r="O1763"/>
      <c r="P1763"/>
      <c r="Q1763"/>
      <c r="R1763"/>
      <c r="S1763"/>
    </row>
    <row r="1764" spans="1:19" ht="15" x14ac:dyDescent="0.2">
      <c r="A1764"/>
      <c r="B1764"/>
      <c r="C1764"/>
      <c r="D1764"/>
      <c r="E1764"/>
      <c r="F1764"/>
      <c r="G1764"/>
      <c r="H1764"/>
      <c r="I1764"/>
      <c r="J1764"/>
      <c r="K1764"/>
      <c r="L1764"/>
      <c r="M1764"/>
      <c r="N1764"/>
      <c r="O1764"/>
      <c r="P1764"/>
      <c r="Q1764"/>
      <c r="R1764"/>
      <c r="S1764"/>
    </row>
    <row r="1765" spans="1:19" ht="15" x14ac:dyDescent="0.2">
      <c r="A1765"/>
      <c r="B1765"/>
      <c r="C1765"/>
      <c r="D1765"/>
      <c r="E1765"/>
      <c r="F1765"/>
      <c r="G1765"/>
      <c r="H1765"/>
      <c r="I1765"/>
      <c r="J1765"/>
      <c r="K1765"/>
      <c r="L1765"/>
      <c r="M1765"/>
      <c r="N1765"/>
      <c r="O1765"/>
      <c r="P1765"/>
      <c r="Q1765"/>
      <c r="R1765"/>
      <c r="S1765"/>
    </row>
    <row r="1766" spans="1:19" ht="15" x14ac:dyDescent="0.2">
      <c r="A1766"/>
      <c r="B1766"/>
      <c r="C1766"/>
      <c r="D1766"/>
      <c r="E1766"/>
      <c r="F1766"/>
      <c r="G1766"/>
      <c r="H1766"/>
      <c r="I1766"/>
      <c r="J1766"/>
      <c r="K1766"/>
      <c r="L1766"/>
      <c r="M1766"/>
      <c r="N1766"/>
      <c r="O1766"/>
      <c r="P1766"/>
      <c r="Q1766"/>
      <c r="R1766"/>
      <c r="S1766"/>
    </row>
    <row r="1767" spans="1:19" ht="15" x14ac:dyDescent="0.2">
      <c r="A1767"/>
      <c r="B1767"/>
      <c r="C1767"/>
      <c r="D1767"/>
      <c r="E1767"/>
      <c r="F1767"/>
      <c r="G1767"/>
      <c r="H1767"/>
      <c r="I1767"/>
      <c r="J1767"/>
      <c r="K1767"/>
      <c r="L1767"/>
      <c r="M1767"/>
      <c r="N1767"/>
      <c r="O1767"/>
      <c r="P1767"/>
      <c r="Q1767"/>
      <c r="R1767"/>
      <c r="S1767"/>
    </row>
    <row r="1768" spans="1:19" ht="15" x14ac:dyDescent="0.2">
      <c r="A1768"/>
      <c r="B1768"/>
      <c r="C1768"/>
      <c r="D1768"/>
      <c r="E1768"/>
      <c r="F1768"/>
      <c r="G1768"/>
      <c r="H1768"/>
      <c r="I1768"/>
      <c r="J1768"/>
      <c r="K1768"/>
      <c r="L1768"/>
      <c r="M1768"/>
      <c r="N1768"/>
      <c r="O1768"/>
      <c r="P1768"/>
      <c r="Q1768"/>
      <c r="R1768"/>
      <c r="S1768"/>
    </row>
    <row r="1769" spans="1:19" ht="15" x14ac:dyDescent="0.2">
      <c r="A1769"/>
      <c r="B1769"/>
      <c r="C1769"/>
      <c r="D1769"/>
      <c r="E1769"/>
      <c r="F1769"/>
      <c r="G1769"/>
      <c r="H1769"/>
      <c r="I1769"/>
      <c r="J1769"/>
      <c r="K1769"/>
      <c r="L1769"/>
      <c r="M1769"/>
      <c r="N1769"/>
      <c r="O1769"/>
      <c r="P1769"/>
      <c r="Q1769"/>
      <c r="R1769"/>
      <c r="S1769"/>
    </row>
    <row r="1770" spans="1:19" ht="15" x14ac:dyDescent="0.2">
      <c r="A1770"/>
      <c r="B1770"/>
      <c r="C1770"/>
      <c r="D1770"/>
      <c r="E1770"/>
      <c r="F1770"/>
      <c r="G1770"/>
      <c r="H1770"/>
      <c r="I1770"/>
      <c r="J1770"/>
      <c r="K1770"/>
      <c r="L1770"/>
      <c r="M1770"/>
      <c r="N1770"/>
      <c r="O1770"/>
      <c r="P1770"/>
      <c r="Q1770"/>
      <c r="R1770"/>
      <c r="S1770"/>
    </row>
    <row r="1771" spans="1:19" ht="15" x14ac:dyDescent="0.2">
      <c r="A1771"/>
      <c r="B1771"/>
      <c r="C1771"/>
      <c r="D1771"/>
      <c r="E1771"/>
      <c r="F1771"/>
      <c r="G1771"/>
      <c r="H1771"/>
      <c r="I1771"/>
      <c r="J1771"/>
      <c r="K1771"/>
      <c r="L1771"/>
      <c r="M1771"/>
      <c r="N1771"/>
      <c r="O1771"/>
      <c r="P1771"/>
      <c r="Q1771"/>
      <c r="R1771"/>
      <c r="S1771"/>
    </row>
    <row r="1772" spans="1:19" ht="15" x14ac:dyDescent="0.2">
      <c r="A1772"/>
      <c r="B1772"/>
      <c r="C1772"/>
      <c r="D1772"/>
      <c r="E1772"/>
      <c r="F1772"/>
      <c r="G1772"/>
      <c r="H1772"/>
      <c r="I1772"/>
      <c r="J1772"/>
      <c r="K1772"/>
      <c r="L1772"/>
      <c r="M1772"/>
      <c r="N1772"/>
      <c r="O1772"/>
      <c r="P1772"/>
      <c r="Q1772"/>
      <c r="R1772"/>
      <c r="S1772"/>
    </row>
    <row r="1773" spans="1:19" ht="15" x14ac:dyDescent="0.2">
      <c r="A1773"/>
      <c r="B1773"/>
      <c r="C1773"/>
      <c r="D1773"/>
      <c r="E1773"/>
      <c r="F1773"/>
      <c r="G1773"/>
      <c r="H1773"/>
      <c r="I1773"/>
      <c r="J1773"/>
      <c r="K1773"/>
      <c r="L1773"/>
      <c r="M1773"/>
      <c r="N1773"/>
      <c r="O1773"/>
      <c r="P1773"/>
      <c r="Q1773"/>
      <c r="R1773"/>
      <c r="S1773"/>
    </row>
    <row r="1774" spans="1:19" ht="15" x14ac:dyDescent="0.2">
      <c r="A1774"/>
      <c r="B1774"/>
      <c r="C1774"/>
      <c r="D1774"/>
      <c r="E1774"/>
      <c r="F1774"/>
      <c r="G1774"/>
      <c r="H1774"/>
      <c r="I1774"/>
      <c r="J1774"/>
      <c r="K1774"/>
      <c r="L1774"/>
      <c r="M1774"/>
      <c r="N1774"/>
      <c r="O1774"/>
      <c r="P1774"/>
      <c r="Q1774"/>
      <c r="R1774"/>
      <c r="S1774"/>
    </row>
    <row r="1775" spans="1:19" ht="15" x14ac:dyDescent="0.2">
      <c r="A1775"/>
      <c r="B1775"/>
      <c r="C1775"/>
      <c r="D1775"/>
      <c r="E1775"/>
      <c r="F1775"/>
      <c r="G1775"/>
      <c r="H1775"/>
      <c r="I1775"/>
      <c r="J1775"/>
      <c r="K1775"/>
      <c r="L1775"/>
      <c r="M1775"/>
      <c r="N1775"/>
      <c r="O1775"/>
      <c r="P1775"/>
      <c r="Q1775"/>
      <c r="R1775"/>
      <c r="S1775"/>
    </row>
    <row r="1776" spans="1:19" ht="15" x14ac:dyDescent="0.2">
      <c r="A1776"/>
      <c r="B1776"/>
      <c r="C1776"/>
      <c r="D1776"/>
      <c r="E1776"/>
      <c r="F1776"/>
      <c r="G1776"/>
      <c r="H1776"/>
      <c r="I1776"/>
      <c r="J1776"/>
      <c r="K1776"/>
      <c r="L1776"/>
      <c r="M1776"/>
      <c r="N1776"/>
      <c r="O1776"/>
      <c r="P1776"/>
      <c r="Q1776"/>
      <c r="R1776"/>
      <c r="S1776"/>
    </row>
    <row r="1777" spans="1:19" ht="15" x14ac:dyDescent="0.2">
      <c r="A1777"/>
      <c r="B1777"/>
      <c r="C1777"/>
      <c r="D1777"/>
      <c r="E1777"/>
      <c r="F1777"/>
      <c r="G1777"/>
      <c r="H1777"/>
      <c r="I1777"/>
      <c r="J1777"/>
      <c r="K1777"/>
      <c r="L1777"/>
      <c r="M1777"/>
      <c r="N1777"/>
      <c r="O1777"/>
      <c r="P1777"/>
      <c r="Q1777"/>
      <c r="R1777"/>
      <c r="S1777"/>
    </row>
    <row r="1778" spans="1:19" ht="15" x14ac:dyDescent="0.2">
      <c r="A1778"/>
      <c r="B1778"/>
      <c r="C1778"/>
      <c r="D1778"/>
      <c r="E1778"/>
      <c r="F1778"/>
      <c r="G1778"/>
      <c r="H1778"/>
      <c r="I1778"/>
      <c r="J1778"/>
      <c r="K1778"/>
      <c r="L1778"/>
      <c r="M1778"/>
      <c r="N1778"/>
      <c r="O1778"/>
      <c r="P1778"/>
      <c r="Q1778"/>
      <c r="R1778"/>
      <c r="S1778"/>
    </row>
    <row r="1779" spans="1:19" ht="15" x14ac:dyDescent="0.2">
      <c r="A1779"/>
      <c r="B1779"/>
      <c r="C1779"/>
      <c r="D1779"/>
      <c r="E1779"/>
      <c r="F1779"/>
      <c r="G1779"/>
      <c r="H1779"/>
      <c r="I1779"/>
      <c r="J1779"/>
      <c r="K1779"/>
      <c r="L1779"/>
      <c r="M1779"/>
      <c r="N1779"/>
      <c r="O1779"/>
      <c r="P1779"/>
      <c r="Q1779"/>
      <c r="R1779"/>
      <c r="S1779"/>
    </row>
    <row r="1780" spans="1:19" ht="15" x14ac:dyDescent="0.2">
      <c r="A1780"/>
      <c r="B1780"/>
      <c r="C1780"/>
      <c r="D1780"/>
      <c r="E1780"/>
      <c r="F1780"/>
      <c r="G1780"/>
      <c r="H1780"/>
      <c r="I1780"/>
      <c r="J1780"/>
      <c r="K1780"/>
      <c r="L1780"/>
      <c r="M1780"/>
      <c r="N1780"/>
      <c r="O1780"/>
      <c r="P1780"/>
      <c r="Q1780"/>
      <c r="R1780"/>
      <c r="S1780"/>
    </row>
    <row r="1781" spans="1:19" ht="15" x14ac:dyDescent="0.2">
      <c r="A1781"/>
      <c r="B1781"/>
      <c r="C1781"/>
      <c r="D1781"/>
      <c r="E1781"/>
      <c r="F1781"/>
      <c r="G1781"/>
      <c r="H1781"/>
      <c r="I1781"/>
      <c r="J1781"/>
      <c r="K1781"/>
      <c r="L1781"/>
      <c r="M1781"/>
      <c r="N1781"/>
      <c r="O1781"/>
      <c r="P1781"/>
      <c r="Q1781"/>
      <c r="R1781"/>
      <c r="S1781"/>
    </row>
    <row r="1782" spans="1:19" ht="15" x14ac:dyDescent="0.2">
      <c r="A1782"/>
      <c r="B1782"/>
      <c r="C1782"/>
      <c r="D1782"/>
      <c r="E1782"/>
      <c r="F1782"/>
      <c r="G1782"/>
      <c r="H1782"/>
      <c r="I1782"/>
      <c r="J1782"/>
      <c r="K1782"/>
      <c r="L1782"/>
      <c r="M1782"/>
      <c r="N1782"/>
      <c r="O1782"/>
      <c r="P1782"/>
      <c r="Q1782"/>
      <c r="R1782"/>
      <c r="S1782"/>
    </row>
    <row r="1783" spans="1:19" ht="15" x14ac:dyDescent="0.2">
      <c r="A1783"/>
      <c r="B1783"/>
      <c r="C1783"/>
      <c r="D1783"/>
      <c r="E1783"/>
      <c r="F1783"/>
      <c r="G1783"/>
      <c r="H1783"/>
      <c r="I1783"/>
      <c r="J1783"/>
      <c r="K1783"/>
      <c r="L1783"/>
      <c r="M1783"/>
      <c r="N1783"/>
      <c r="O1783"/>
      <c r="P1783"/>
      <c r="Q1783"/>
      <c r="R1783"/>
      <c r="S1783"/>
    </row>
    <row r="1784" spans="1:19" ht="15" x14ac:dyDescent="0.2">
      <c r="A1784"/>
      <c r="B1784"/>
      <c r="C1784"/>
      <c r="D1784"/>
      <c r="E1784"/>
      <c r="F1784"/>
      <c r="G1784"/>
      <c r="H1784"/>
      <c r="I1784"/>
      <c r="J1784"/>
      <c r="K1784"/>
      <c r="L1784"/>
      <c r="M1784"/>
      <c r="N1784"/>
      <c r="O1784"/>
      <c r="P1784"/>
      <c r="Q1784"/>
      <c r="R1784"/>
      <c r="S1784"/>
    </row>
    <row r="1785" spans="1:19" ht="15" x14ac:dyDescent="0.2">
      <c r="A1785"/>
      <c r="B1785"/>
      <c r="C1785"/>
      <c r="D1785"/>
      <c r="E1785"/>
      <c r="F1785"/>
      <c r="G1785"/>
      <c r="H1785"/>
      <c r="I1785"/>
      <c r="J1785"/>
      <c r="K1785"/>
      <c r="L1785"/>
      <c r="M1785"/>
      <c r="N1785"/>
      <c r="O1785"/>
      <c r="P1785"/>
      <c r="Q1785"/>
      <c r="R1785"/>
      <c r="S1785"/>
    </row>
    <row r="1786" spans="1:19" ht="15" x14ac:dyDescent="0.2">
      <c r="A1786"/>
      <c r="B1786"/>
      <c r="C1786"/>
      <c r="D1786"/>
      <c r="E1786"/>
      <c r="F1786"/>
      <c r="G1786"/>
      <c r="H1786"/>
      <c r="I1786"/>
      <c r="J1786"/>
      <c r="K1786"/>
      <c r="L1786"/>
      <c r="M1786"/>
      <c r="N1786"/>
      <c r="O1786"/>
      <c r="P1786"/>
      <c r="Q1786"/>
      <c r="R1786"/>
      <c r="S1786"/>
    </row>
    <row r="1787" spans="1:19" ht="15" x14ac:dyDescent="0.2">
      <c r="A1787"/>
      <c r="B1787"/>
      <c r="C1787"/>
      <c r="D1787"/>
      <c r="E1787"/>
      <c r="F1787"/>
      <c r="G1787"/>
      <c r="H1787"/>
      <c r="I1787"/>
      <c r="J1787"/>
      <c r="K1787"/>
      <c r="L1787"/>
      <c r="M1787"/>
      <c r="N1787"/>
      <c r="O1787"/>
      <c r="P1787"/>
      <c r="Q1787"/>
      <c r="R1787"/>
      <c r="S1787"/>
    </row>
    <row r="1788" spans="1:19" ht="15" x14ac:dyDescent="0.2">
      <c r="A1788"/>
      <c r="B1788"/>
      <c r="C1788"/>
      <c r="D1788"/>
      <c r="E1788"/>
      <c r="F1788"/>
      <c r="G1788"/>
      <c r="H1788"/>
      <c r="I1788"/>
      <c r="J1788"/>
      <c r="K1788"/>
      <c r="L1788"/>
      <c r="M1788"/>
      <c r="N1788"/>
      <c r="O1788"/>
      <c r="P1788"/>
      <c r="Q1788"/>
      <c r="R1788"/>
      <c r="S1788"/>
    </row>
    <row r="1789" spans="1:19" ht="15" x14ac:dyDescent="0.2">
      <c r="A1789"/>
      <c r="B1789"/>
      <c r="C1789"/>
      <c r="D1789"/>
      <c r="E1789"/>
      <c r="F1789"/>
      <c r="G1789"/>
      <c r="H1789"/>
      <c r="I1789"/>
      <c r="J1789"/>
      <c r="K1789"/>
      <c r="L1789"/>
      <c r="M1789"/>
      <c r="N1789"/>
      <c r="O1789"/>
      <c r="P1789"/>
      <c r="Q1789"/>
      <c r="R1789"/>
      <c r="S1789"/>
    </row>
    <row r="1790" spans="1:19" ht="15" x14ac:dyDescent="0.2">
      <c r="A1790"/>
      <c r="B1790"/>
      <c r="C1790"/>
      <c r="D1790"/>
      <c r="E1790"/>
      <c r="F1790"/>
      <c r="G1790"/>
      <c r="H1790"/>
      <c r="I1790"/>
      <c r="J1790"/>
      <c r="K1790"/>
      <c r="L1790"/>
      <c r="M1790"/>
      <c r="N1790"/>
      <c r="O1790"/>
      <c r="P1790"/>
      <c r="Q1790"/>
      <c r="R1790"/>
      <c r="S1790"/>
    </row>
    <row r="1791" spans="1:19" ht="15" x14ac:dyDescent="0.2">
      <c r="A1791"/>
      <c r="B1791"/>
      <c r="C1791"/>
      <c r="D1791"/>
      <c r="E1791"/>
      <c r="F1791"/>
      <c r="G1791"/>
      <c r="H1791"/>
      <c r="I1791"/>
      <c r="J1791"/>
      <c r="K1791"/>
      <c r="L1791"/>
      <c r="M1791"/>
      <c r="N1791"/>
      <c r="O1791"/>
      <c r="P1791"/>
      <c r="Q1791"/>
      <c r="R1791"/>
      <c r="S1791"/>
    </row>
    <row r="1792" spans="1:19" ht="15" x14ac:dyDescent="0.2">
      <c r="A1792"/>
      <c r="B1792"/>
      <c r="C1792"/>
      <c r="D1792"/>
      <c r="E1792"/>
      <c r="F1792"/>
      <c r="G1792"/>
      <c r="H1792"/>
      <c r="I1792"/>
      <c r="J1792"/>
      <c r="K1792"/>
      <c r="L1792"/>
      <c r="M1792"/>
      <c r="N1792"/>
      <c r="O1792"/>
      <c r="P1792"/>
      <c r="Q1792"/>
      <c r="R1792"/>
      <c r="S1792"/>
    </row>
    <row r="1793" spans="1:19" ht="15" x14ac:dyDescent="0.2">
      <c r="A1793"/>
      <c r="B1793"/>
      <c r="C1793"/>
      <c r="D1793"/>
      <c r="E1793"/>
      <c r="F1793"/>
      <c r="G1793"/>
      <c r="H1793"/>
      <c r="I1793"/>
      <c r="J1793"/>
      <c r="K1793"/>
      <c r="L1793"/>
      <c r="M1793"/>
      <c r="N1793"/>
      <c r="O1793"/>
      <c r="P1793"/>
      <c r="Q1793"/>
      <c r="R1793"/>
      <c r="S1793"/>
    </row>
    <row r="1794" spans="1:19" ht="15" x14ac:dyDescent="0.2">
      <c r="A1794"/>
      <c r="B1794"/>
      <c r="C1794"/>
      <c r="D1794"/>
      <c r="E1794"/>
      <c r="F1794"/>
      <c r="G1794"/>
      <c r="H1794"/>
      <c r="I1794"/>
      <c r="J1794"/>
      <c r="K1794"/>
      <c r="L1794"/>
      <c r="M1794"/>
      <c r="N1794"/>
      <c r="O1794"/>
      <c r="P1794"/>
      <c r="Q1794"/>
      <c r="R1794"/>
      <c r="S1794"/>
    </row>
    <row r="1795" spans="1:19" ht="15" x14ac:dyDescent="0.2">
      <c r="A1795"/>
      <c r="B1795"/>
      <c r="C1795"/>
      <c r="D1795"/>
      <c r="E1795"/>
      <c r="F1795"/>
      <c r="G1795"/>
      <c r="H1795"/>
      <c r="I1795"/>
      <c r="J1795"/>
      <c r="K1795"/>
      <c r="L1795"/>
      <c r="M1795"/>
      <c r="N1795"/>
      <c r="O1795"/>
      <c r="P1795"/>
      <c r="Q1795"/>
      <c r="R1795"/>
      <c r="S1795"/>
    </row>
    <row r="1796" spans="1:19" ht="15" x14ac:dyDescent="0.2">
      <c r="A1796"/>
      <c r="B1796"/>
      <c r="C1796"/>
      <c r="D1796"/>
      <c r="E1796"/>
      <c r="F1796"/>
      <c r="G1796"/>
      <c r="H1796"/>
      <c r="I1796"/>
      <c r="J1796"/>
      <c r="K1796"/>
      <c r="L1796"/>
      <c r="M1796"/>
      <c r="N1796"/>
      <c r="O1796"/>
      <c r="P1796"/>
      <c r="Q1796"/>
      <c r="R1796"/>
      <c r="S1796"/>
    </row>
    <row r="1797" spans="1:19" ht="15" x14ac:dyDescent="0.2">
      <c r="A1797"/>
      <c r="B1797"/>
      <c r="C1797"/>
      <c r="D1797"/>
      <c r="E1797"/>
      <c r="F1797"/>
      <c r="G1797"/>
      <c r="H1797"/>
      <c r="I1797"/>
      <c r="J1797"/>
      <c r="K1797"/>
      <c r="L1797"/>
      <c r="M1797"/>
      <c r="N1797"/>
      <c r="O1797"/>
      <c r="P1797"/>
      <c r="Q1797"/>
      <c r="R1797"/>
      <c r="S1797"/>
    </row>
    <row r="1798" spans="1:19" ht="15" x14ac:dyDescent="0.2">
      <c r="A1798"/>
      <c r="B1798"/>
      <c r="C1798"/>
      <c r="D1798"/>
      <c r="E1798"/>
      <c r="F1798"/>
      <c r="G1798"/>
      <c r="H1798"/>
      <c r="I1798"/>
      <c r="J1798"/>
      <c r="K1798"/>
      <c r="L1798"/>
      <c r="M1798"/>
      <c r="N1798"/>
      <c r="O1798"/>
      <c r="P1798"/>
      <c r="Q1798"/>
      <c r="R1798"/>
      <c r="S1798"/>
    </row>
    <row r="1799" spans="1:19" ht="15" x14ac:dyDescent="0.2">
      <c r="A1799"/>
      <c r="B1799"/>
      <c r="C1799"/>
      <c r="D1799"/>
      <c r="E1799"/>
      <c r="F1799"/>
      <c r="G1799"/>
      <c r="H1799"/>
      <c r="I1799"/>
      <c r="J1799"/>
      <c r="K1799"/>
      <c r="L1799"/>
      <c r="M1799"/>
      <c r="N1799"/>
      <c r="O1799"/>
      <c r="P1799"/>
      <c r="Q1799"/>
      <c r="R1799"/>
      <c r="S1799"/>
    </row>
    <row r="1800" spans="1:19" ht="15" x14ac:dyDescent="0.2">
      <c r="A1800"/>
      <c r="B1800"/>
      <c r="C1800"/>
      <c r="D1800"/>
      <c r="E1800"/>
      <c r="F1800"/>
      <c r="G1800"/>
      <c r="H1800"/>
      <c r="I1800"/>
      <c r="J1800"/>
      <c r="K1800"/>
      <c r="L1800"/>
      <c r="M1800"/>
      <c r="N1800"/>
      <c r="O1800"/>
      <c r="P1800"/>
      <c r="Q1800"/>
      <c r="R1800"/>
      <c r="S1800"/>
    </row>
    <row r="1801" spans="1:19" ht="15" x14ac:dyDescent="0.2">
      <c r="A1801"/>
      <c r="B1801"/>
      <c r="C1801"/>
      <c r="D1801"/>
      <c r="E1801"/>
      <c r="F1801"/>
      <c r="G1801"/>
      <c r="H1801"/>
      <c r="I1801"/>
      <c r="J1801"/>
      <c r="K1801"/>
      <c r="L1801"/>
      <c r="M1801"/>
      <c r="N1801"/>
      <c r="O1801"/>
      <c r="P1801"/>
      <c r="Q1801"/>
      <c r="R1801"/>
      <c r="S1801"/>
    </row>
    <row r="1802" spans="1:19" ht="15" x14ac:dyDescent="0.2">
      <c r="A1802"/>
      <c r="B1802"/>
      <c r="C1802"/>
      <c r="D1802"/>
      <c r="E1802"/>
      <c r="F1802"/>
      <c r="G1802"/>
      <c r="H1802"/>
      <c r="I1802"/>
      <c r="J1802"/>
      <c r="K1802"/>
      <c r="L1802"/>
      <c r="M1802"/>
      <c r="N1802"/>
      <c r="O1802"/>
      <c r="P1802"/>
      <c r="Q1802"/>
      <c r="R1802"/>
      <c r="S1802"/>
    </row>
    <row r="1803" spans="1:19" ht="15" x14ac:dyDescent="0.2">
      <c r="A1803"/>
      <c r="B1803"/>
      <c r="C1803"/>
      <c r="D1803"/>
      <c r="E1803"/>
      <c r="F1803"/>
      <c r="G1803"/>
      <c r="H1803"/>
      <c r="I1803"/>
      <c r="J1803"/>
      <c r="K1803"/>
      <c r="L1803"/>
      <c r="M1803"/>
      <c r="N1803"/>
      <c r="O1803"/>
      <c r="P1803"/>
      <c r="Q1803"/>
      <c r="R1803"/>
      <c r="S1803"/>
    </row>
    <row r="1804" spans="1:19" ht="15" x14ac:dyDescent="0.2">
      <c r="A1804"/>
      <c r="B1804"/>
      <c r="C1804"/>
      <c r="D1804"/>
      <c r="E1804"/>
      <c r="F1804"/>
      <c r="G1804"/>
      <c r="H1804"/>
      <c r="I1804"/>
      <c r="J1804"/>
      <c r="K1804"/>
      <c r="L1804"/>
      <c r="M1804"/>
      <c r="N1804"/>
      <c r="O1804"/>
      <c r="P1804"/>
      <c r="Q1804"/>
      <c r="R1804"/>
      <c r="S1804"/>
    </row>
    <row r="1805" spans="1:19" ht="15" x14ac:dyDescent="0.2">
      <c r="A1805"/>
      <c r="B1805"/>
      <c r="C1805"/>
      <c r="D1805"/>
      <c r="E1805"/>
      <c r="F1805"/>
      <c r="G1805"/>
      <c r="H1805"/>
      <c r="I1805"/>
      <c r="J1805"/>
      <c r="K1805"/>
      <c r="L1805"/>
      <c r="M1805"/>
      <c r="N1805"/>
      <c r="O1805"/>
      <c r="P1805"/>
      <c r="Q1805"/>
      <c r="R1805"/>
      <c r="S1805"/>
    </row>
    <row r="1806" spans="1:19" ht="15" x14ac:dyDescent="0.2">
      <c r="A1806"/>
      <c r="B1806"/>
      <c r="C1806"/>
      <c r="D1806"/>
      <c r="E1806"/>
      <c r="F1806"/>
      <c r="G1806"/>
      <c r="H1806"/>
      <c r="I1806"/>
      <c r="J1806"/>
      <c r="K1806"/>
      <c r="L1806"/>
      <c r="M1806"/>
      <c r="N1806"/>
      <c r="O1806"/>
      <c r="P1806"/>
      <c r="Q1806"/>
      <c r="R1806"/>
      <c r="S1806"/>
    </row>
    <row r="1807" spans="1:19" ht="15" x14ac:dyDescent="0.2">
      <c r="A1807"/>
      <c r="B1807"/>
      <c r="C1807"/>
      <c r="D1807"/>
      <c r="E1807"/>
      <c r="F1807"/>
      <c r="G1807"/>
      <c r="H1807"/>
      <c r="I1807"/>
      <c r="J1807"/>
      <c r="K1807"/>
      <c r="L1807"/>
      <c r="M1807"/>
      <c r="N1807"/>
      <c r="O1807"/>
      <c r="P1807"/>
      <c r="Q1807"/>
      <c r="R1807"/>
      <c r="S1807"/>
    </row>
    <row r="1808" spans="1:19" ht="15" x14ac:dyDescent="0.2">
      <c r="A1808"/>
      <c r="B1808"/>
      <c r="C1808"/>
      <c r="D1808"/>
      <c r="E1808"/>
      <c r="F1808"/>
      <c r="G1808"/>
      <c r="H1808"/>
      <c r="I1808"/>
      <c r="J1808"/>
      <c r="K1808"/>
      <c r="L1808"/>
      <c r="M1808"/>
      <c r="N1808"/>
      <c r="O1808"/>
      <c r="P1808"/>
      <c r="Q1808"/>
      <c r="R1808"/>
      <c r="S1808"/>
    </row>
    <row r="1809" spans="1:19" ht="15" x14ac:dyDescent="0.2">
      <c r="A1809"/>
      <c r="B1809"/>
      <c r="C1809"/>
      <c r="D1809"/>
      <c r="E1809"/>
      <c r="F1809"/>
      <c r="G1809"/>
      <c r="H1809"/>
      <c r="I1809"/>
      <c r="J1809"/>
      <c r="K1809"/>
      <c r="L1809"/>
      <c r="M1809"/>
      <c r="N1809"/>
      <c r="O1809"/>
      <c r="P1809"/>
      <c r="Q1809"/>
      <c r="R1809"/>
      <c r="S1809"/>
    </row>
    <row r="1810" spans="1:19" ht="15" x14ac:dyDescent="0.2">
      <c r="A1810"/>
      <c r="B1810"/>
      <c r="C1810"/>
      <c r="D1810"/>
      <c r="E1810"/>
      <c r="F1810"/>
      <c r="G1810"/>
      <c r="H1810"/>
      <c r="I1810"/>
      <c r="J1810"/>
      <c r="K1810"/>
      <c r="L1810"/>
      <c r="M1810"/>
      <c r="N1810"/>
      <c r="O1810"/>
      <c r="P1810"/>
      <c r="Q1810"/>
      <c r="R1810"/>
      <c r="S1810"/>
    </row>
    <row r="1811" spans="1:19" ht="15" x14ac:dyDescent="0.2">
      <c r="A1811"/>
      <c r="B1811"/>
      <c r="C1811"/>
      <c r="D1811"/>
      <c r="E1811"/>
      <c r="F1811"/>
      <c r="G1811"/>
      <c r="H1811"/>
      <c r="I1811"/>
      <c r="J1811"/>
      <c r="K1811"/>
      <c r="L1811"/>
      <c r="M1811"/>
      <c r="N1811"/>
      <c r="O1811"/>
      <c r="P1811"/>
      <c r="Q1811"/>
      <c r="R1811"/>
      <c r="S1811"/>
    </row>
    <row r="1812" spans="1:19" ht="15" x14ac:dyDescent="0.2">
      <c r="A1812"/>
      <c r="B1812"/>
      <c r="C1812"/>
      <c r="D1812"/>
      <c r="E1812"/>
      <c r="F1812"/>
      <c r="G1812"/>
      <c r="H1812"/>
      <c r="I1812"/>
      <c r="J1812"/>
      <c r="K1812"/>
      <c r="L1812"/>
      <c r="M1812"/>
      <c r="N1812"/>
      <c r="O1812"/>
      <c r="P1812"/>
      <c r="Q1812"/>
      <c r="R1812"/>
      <c r="S1812"/>
    </row>
    <row r="1813" spans="1:19" ht="15" x14ac:dyDescent="0.2">
      <c r="A1813"/>
      <c r="B1813"/>
      <c r="C1813"/>
      <c r="D1813"/>
      <c r="E1813"/>
      <c r="F1813"/>
      <c r="G1813"/>
      <c r="H1813"/>
      <c r="I1813"/>
      <c r="J1813"/>
      <c r="K1813"/>
      <c r="L1813"/>
      <c r="M1813"/>
      <c r="N1813"/>
      <c r="O1813"/>
      <c r="P1813"/>
      <c r="Q1813"/>
      <c r="R1813"/>
      <c r="S1813"/>
    </row>
    <row r="1814" spans="1:19" ht="15" x14ac:dyDescent="0.2">
      <c r="A1814"/>
      <c r="B1814"/>
      <c r="C1814"/>
      <c r="D1814"/>
      <c r="E1814"/>
      <c r="F1814"/>
      <c r="G1814"/>
      <c r="H1814"/>
      <c r="I1814"/>
      <c r="J1814"/>
      <c r="K1814"/>
      <c r="L1814"/>
      <c r="M1814"/>
      <c r="N1814"/>
      <c r="O1814"/>
      <c r="P1814"/>
      <c r="Q1814"/>
      <c r="R1814"/>
      <c r="S1814"/>
    </row>
    <row r="1815" spans="1:19" ht="15" x14ac:dyDescent="0.2">
      <c r="A1815"/>
      <c r="B1815"/>
      <c r="C1815"/>
      <c r="D1815"/>
      <c r="E1815"/>
      <c r="F1815"/>
      <c r="G1815"/>
      <c r="H1815"/>
      <c r="I1815"/>
      <c r="J1815"/>
      <c r="K1815"/>
      <c r="L1815"/>
      <c r="M1815"/>
      <c r="N1815"/>
      <c r="O1815"/>
      <c r="P1815"/>
      <c r="Q1815"/>
      <c r="R1815"/>
      <c r="S1815"/>
    </row>
    <row r="1816" spans="1:19" ht="15" x14ac:dyDescent="0.2">
      <c r="A1816"/>
      <c r="B1816"/>
      <c r="C1816"/>
      <c r="D1816"/>
      <c r="E1816"/>
      <c r="F1816"/>
      <c r="G1816"/>
      <c r="H1816"/>
      <c r="I1816"/>
      <c r="J1816"/>
      <c r="K1816"/>
      <c r="L1816"/>
      <c r="M1816"/>
      <c r="N1816"/>
      <c r="O1816"/>
      <c r="P1816"/>
      <c r="Q1816"/>
      <c r="R1816"/>
      <c r="S1816"/>
    </row>
    <row r="1817" spans="1:19" ht="15" x14ac:dyDescent="0.2">
      <c r="A1817"/>
      <c r="B1817"/>
      <c r="C1817"/>
      <c r="D1817"/>
      <c r="E1817"/>
      <c r="F1817"/>
      <c r="G1817"/>
      <c r="H1817"/>
      <c r="I1817"/>
      <c r="J1817"/>
      <c r="K1817"/>
      <c r="L1817"/>
      <c r="M1817"/>
      <c r="N1817"/>
      <c r="O1817"/>
      <c r="P1817"/>
      <c r="Q1817"/>
      <c r="R1817"/>
      <c r="S1817"/>
    </row>
    <row r="1818" spans="1:19" ht="15" x14ac:dyDescent="0.2">
      <c r="A1818"/>
      <c r="B1818"/>
      <c r="C1818"/>
      <c r="D1818"/>
      <c r="E1818"/>
      <c r="F1818"/>
      <c r="G1818"/>
      <c r="H1818"/>
      <c r="I1818"/>
      <c r="J1818"/>
      <c r="K1818"/>
      <c r="L1818"/>
      <c r="M1818"/>
      <c r="N1818"/>
      <c r="O1818"/>
      <c r="P1818"/>
      <c r="Q1818"/>
      <c r="R1818"/>
      <c r="S1818"/>
    </row>
    <row r="1819" spans="1:19" ht="15" x14ac:dyDescent="0.2">
      <c r="A1819"/>
      <c r="B1819"/>
      <c r="C1819"/>
      <c r="D1819"/>
      <c r="E1819"/>
      <c r="F1819"/>
      <c r="G1819"/>
      <c r="H1819"/>
      <c r="I1819"/>
      <c r="J1819"/>
      <c r="K1819"/>
      <c r="L1819"/>
      <c r="M1819"/>
      <c r="N1819"/>
      <c r="O1819"/>
      <c r="P1819"/>
      <c r="Q1819"/>
      <c r="R1819"/>
      <c r="S1819"/>
    </row>
    <row r="1820" spans="1:19" ht="15" x14ac:dyDescent="0.2">
      <c r="A1820"/>
      <c r="B1820"/>
      <c r="C1820"/>
      <c r="D1820"/>
      <c r="E1820"/>
      <c r="F1820"/>
      <c r="G1820"/>
      <c r="H1820"/>
      <c r="I1820"/>
      <c r="J1820"/>
      <c r="K1820"/>
      <c r="L1820"/>
      <c r="M1820"/>
      <c r="N1820"/>
      <c r="O1820"/>
      <c r="P1820"/>
      <c r="Q1820"/>
      <c r="R1820"/>
      <c r="S1820"/>
    </row>
    <row r="1821" spans="1:19" ht="15" x14ac:dyDescent="0.2">
      <c r="A1821"/>
      <c r="B1821"/>
      <c r="C1821"/>
      <c r="D1821"/>
      <c r="E1821"/>
      <c r="F1821"/>
      <c r="G1821"/>
      <c r="H1821"/>
      <c r="I1821"/>
      <c r="J1821"/>
      <c r="K1821"/>
      <c r="L1821"/>
      <c r="M1821"/>
      <c r="N1821"/>
      <c r="O1821"/>
      <c r="P1821"/>
      <c r="Q1821"/>
      <c r="R1821"/>
      <c r="S1821"/>
    </row>
    <row r="1822" spans="1:19" ht="15" x14ac:dyDescent="0.2">
      <c r="A1822"/>
      <c r="B1822"/>
      <c r="C1822"/>
      <c r="D1822"/>
      <c r="E1822"/>
      <c r="F1822"/>
      <c r="G1822"/>
      <c r="H1822"/>
      <c r="I1822"/>
      <c r="J1822"/>
      <c r="K1822"/>
      <c r="L1822"/>
      <c r="M1822"/>
      <c r="N1822"/>
      <c r="O1822"/>
      <c r="P1822"/>
      <c r="Q1822"/>
      <c r="R1822"/>
      <c r="S1822"/>
    </row>
    <row r="1823" spans="1:19" ht="15" x14ac:dyDescent="0.2">
      <c r="A1823"/>
      <c r="B1823"/>
      <c r="C1823"/>
      <c r="D1823"/>
      <c r="E1823"/>
      <c r="F1823"/>
      <c r="G1823"/>
      <c r="H1823"/>
      <c r="I1823"/>
      <c r="J1823"/>
      <c r="K1823"/>
      <c r="L1823"/>
      <c r="M1823"/>
      <c r="N1823"/>
      <c r="O1823"/>
      <c r="P1823"/>
      <c r="Q1823"/>
      <c r="R1823"/>
      <c r="S1823"/>
    </row>
    <row r="1824" spans="1:19" ht="15" x14ac:dyDescent="0.2">
      <c r="A1824"/>
      <c r="B1824"/>
      <c r="C1824"/>
      <c r="D1824"/>
      <c r="E1824"/>
      <c r="F1824"/>
      <c r="G1824"/>
      <c r="H1824"/>
      <c r="I1824"/>
      <c r="J1824"/>
      <c r="K1824"/>
      <c r="L1824"/>
      <c r="M1824"/>
      <c r="N1824"/>
      <c r="O1824"/>
      <c r="P1824"/>
      <c r="Q1824"/>
      <c r="R1824"/>
      <c r="S1824"/>
    </row>
    <row r="1825" spans="1:19" ht="15" x14ac:dyDescent="0.2">
      <c r="A1825"/>
      <c r="B1825"/>
      <c r="C1825"/>
      <c r="D1825"/>
      <c r="E1825"/>
      <c r="F1825"/>
      <c r="G1825"/>
      <c r="H1825"/>
      <c r="I1825"/>
      <c r="J1825"/>
      <c r="K1825"/>
      <c r="L1825"/>
      <c r="M1825"/>
      <c r="N1825"/>
      <c r="O1825"/>
      <c r="P1825"/>
      <c r="Q1825"/>
      <c r="R1825"/>
      <c r="S1825"/>
    </row>
    <row r="1826" spans="1:19" ht="15" x14ac:dyDescent="0.2">
      <c r="A1826"/>
      <c r="B1826"/>
      <c r="C1826"/>
      <c r="D1826"/>
      <c r="E1826"/>
      <c r="F1826"/>
      <c r="G1826"/>
      <c r="H1826"/>
      <c r="I1826"/>
      <c r="J1826"/>
      <c r="K1826"/>
      <c r="L1826"/>
      <c r="M1826"/>
      <c r="N1826"/>
      <c r="O1826"/>
      <c r="P1826"/>
      <c r="Q1826"/>
      <c r="R1826"/>
      <c r="S1826"/>
    </row>
    <row r="1827" spans="1:19" ht="15" x14ac:dyDescent="0.2">
      <c r="A1827"/>
      <c r="B1827"/>
      <c r="C1827"/>
      <c r="D1827"/>
      <c r="E1827"/>
      <c r="F1827"/>
      <c r="G1827"/>
      <c r="H1827"/>
      <c r="I1827"/>
      <c r="J1827"/>
      <c r="K1827"/>
      <c r="L1827"/>
      <c r="M1827"/>
      <c r="N1827"/>
      <c r="O1827"/>
      <c r="P1827"/>
      <c r="Q1827"/>
      <c r="R1827"/>
      <c r="S1827"/>
    </row>
    <row r="1828" spans="1:19" ht="15" x14ac:dyDescent="0.2">
      <c r="A1828"/>
      <c r="B1828"/>
      <c r="C1828"/>
      <c r="D1828"/>
      <c r="E1828"/>
      <c r="F1828"/>
      <c r="G1828"/>
      <c r="H1828"/>
      <c r="I1828"/>
      <c r="J1828"/>
      <c r="K1828"/>
      <c r="L1828"/>
      <c r="M1828"/>
      <c r="N1828"/>
      <c r="O1828"/>
      <c r="P1828"/>
      <c r="Q1828"/>
      <c r="R1828"/>
      <c r="S1828"/>
    </row>
    <row r="1829" spans="1:19" ht="15" x14ac:dyDescent="0.2">
      <c r="A1829"/>
      <c r="B1829"/>
      <c r="C1829"/>
      <c r="D1829"/>
      <c r="E1829"/>
      <c r="F1829"/>
      <c r="G1829"/>
      <c r="H1829"/>
      <c r="I1829"/>
      <c r="J1829"/>
      <c r="K1829"/>
      <c r="L1829"/>
      <c r="M1829"/>
      <c r="N1829"/>
      <c r="O1829"/>
      <c r="P1829"/>
      <c r="Q1829"/>
      <c r="R1829"/>
      <c r="S1829"/>
    </row>
    <row r="1830" spans="1:19" ht="15" x14ac:dyDescent="0.2">
      <c r="A1830"/>
      <c r="B1830"/>
      <c r="C1830"/>
      <c r="D1830"/>
      <c r="E1830"/>
      <c r="F1830"/>
      <c r="G1830"/>
      <c r="H1830"/>
      <c r="I1830"/>
      <c r="J1830"/>
      <c r="K1830"/>
      <c r="L1830"/>
      <c r="M1830"/>
      <c r="N1830"/>
      <c r="O1830"/>
      <c r="P1830"/>
      <c r="Q1830"/>
      <c r="R1830"/>
      <c r="S1830"/>
    </row>
    <row r="1831" spans="1:19" ht="15" x14ac:dyDescent="0.2">
      <c r="A1831"/>
      <c r="B1831"/>
      <c r="C1831"/>
      <c r="D1831"/>
      <c r="E1831"/>
      <c r="F1831"/>
      <c r="G1831"/>
      <c r="H1831"/>
      <c r="I1831"/>
      <c r="J1831"/>
      <c r="K1831"/>
      <c r="L1831"/>
      <c r="M1831"/>
      <c r="N1831"/>
      <c r="O1831"/>
      <c r="P1831"/>
      <c r="Q1831"/>
      <c r="R1831"/>
      <c r="S1831"/>
    </row>
    <row r="1832" spans="1:19" ht="15" x14ac:dyDescent="0.2">
      <c r="A1832"/>
      <c r="B1832"/>
      <c r="C1832"/>
      <c r="D1832"/>
      <c r="E1832"/>
      <c r="F1832"/>
      <c r="G1832"/>
      <c r="H1832"/>
      <c r="I1832"/>
      <c r="J1832"/>
      <c r="K1832"/>
      <c r="L1832"/>
      <c r="M1832"/>
      <c r="N1832"/>
      <c r="O1832"/>
      <c r="P1832"/>
      <c r="Q1832"/>
      <c r="R1832"/>
      <c r="S1832"/>
    </row>
    <row r="1833" spans="1:19" ht="15" x14ac:dyDescent="0.2">
      <c r="A1833"/>
      <c r="B1833"/>
      <c r="C1833"/>
      <c r="D1833"/>
      <c r="E1833"/>
      <c r="F1833"/>
      <c r="G1833"/>
      <c r="H1833"/>
      <c r="I1833"/>
      <c r="J1833"/>
      <c r="K1833"/>
      <c r="L1833"/>
      <c r="M1833"/>
      <c r="N1833"/>
      <c r="O1833"/>
      <c r="P1833"/>
      <c r="Q1833"/>
      <c r="R1833"/>
      <c r="S1833"/>
    </row>
    <row r="1834" spans="1:19" ht="15" x14ac:dyDescent="0.2">
      <c r="A1834"/>
      <c r="B1834"/>
      <c r="C1834"/>
      <c r="D1834"/>
      <c r="E1834"/>
      <c r="F1834"/>
      <c r="G1834"/>
      <c r="H1834"/>
      <c r="I1834"/>
      <c r="J1834"/>
      <c r="K1834"/>
      <c r="L1834"/>
      <c r="M1834"/>
      <c r="N1834"/>
      <c r="O1834"/>
      <c r="P1834"/>
      <c r="Q1834"/>
      <c r="R1834"/>
      <c r="S1834"/>
    </row>
    <row r="1835" spans="1:19" ht="15" x14ac:dyDescent="0.2">
      <c r="A1835"/>
      <c r="B1835"/>
      <c r="C1835"/>
      <c r="D1835"/>
      <c r="E1835"/>
      <c r="F1835"/>
      <c r="G1835"/>
      <c r="H1835"/>
      <c r="I1835"/>
      <c r="J1835"/>
      <c r="K1835"/>
      <c r="L1835"/>
      <c r="M1835"/>
      <c r="N1835"/>
      <c r="O1835"/>
      <c r="P1835"/>
      <c r="Q1835"/>
      <c r="R1835"/>
      <c r="S1835"/>
    </row>
    <row r="1836" spans="1:19" ht="15" x14ac:dyDescent="0.2">
      <c r="A1836"/>
      <c r="B1836"/>
      <c r="C1836"/>
      <c r="D1836"/>
      <c r="E1836"/>
      <c r="F1836"/>
      <c r="G1836"/>
      <c r="H1836"/>
      <c r="I1836"/>
      <c r="J1836"/>
      <c r="K1836"/>
      <c r="L1836"/>
      <c r="M1836"/>
      <c r="N1836"/>
      <c r="O1836"/>
      <c r="P1836"/>
      <c r="Q1836"/>
      <c r="R1836"/>
      <c r="S1836"/>
    </row>
    <row r="1837" spans="1:19" ht="15" x14ac:dyDescent="0.2">
      <c r="A1837"/>
      <c r="B1837"/>
      <c r="C1837"/>
      <c r="D1837"/>
      <c r="E1837"/>
      <c r="F1837"/>
      <c r="G1837"/>
      <c r="H1837"/>
      <c r="I1837"/>
      <c r="J1837"/>
      <c r="K1837"/>
      <c r="L1837"/>
      <c r="M1837"/>
      <c r="N1837"/>
      <c r="O1837"/>
      <c r="P1837"/>
      <c r="Q1837"/>
      <c r="R1837"/>
      <c r="S1837"/>
    </row>
    <row r="1838" spans="1:19" ht="15" x14ac:dyDescent="0.2">
      <c r="A1838"/>
      <c r="B1838"/>
      <c r="C1838"/>
      <c r="D1838"/>
      <c r="E1838"/>
      <c r="F1838"/>
      <c r="G1838"/>
      <c r="H1838"/>
      <c r="I1838"/>
      <c r="J1838"/>
      <c r="K1838"/>
      <c r="L1838"/>
      <c r="M1838"/>
      <c r="N1838"/>
      <c r="O1838"/>
      <c r="P1838"/>
      <c r="Q1838"/>
      <c r="R1838"/>
      <c r="S1838"/>
    </row>
    <row r="1839" spans="1:19" ht="15" x14ac:dyDescent="0.2">
      <c r="A1839"/>
      <c r="B1839"/>
      <c r="C1839"/>
      <c r="D1839"/>
      <c r="E1839"/>
      <c r="F1839"/>
      <c r="G1839"/>
      <c r="H1839"/>
      <c r="I1839"/>
      <c r="J1839"/>
      <c r="K1839"/>
      <c r="L1839"/>
      <c r="M1839"/>
      <c r="N1839"/>
      <c r="O1839"/>
      <c r="P1839"/>
      <c r="Q1839"/>
      <c r="R1839"/>
      <c r="S1839"/>
    </row>
    <row r="1840" spans="1:19" ht="15" x14ac:dyDescent="0.2">
      <c r="A1840"/>
      <c r="B1840"/>
      <c r="C1840"/>
      <c r="D1840"/>
      <c r="E1840"/>
      <c r="F1840"/>
      <c r="G1840"/>
      <c r="H1840"/>
      <c r="I1840"/>
      <c r="J1840"/>
      <c r="K1840"/>
      <c r="L1840"/>
      <c r="M1840"/>
      <c r="N1840"/>
      <c r="O1840"/>
      <c r="P1840"/>
      <c r="Q1840"/>
      <c r="R1840"/>
      <c r="S1840"/>
    </row>
    <row r="1841" spans="1:19" ht="15" x14ac:dyDescent="0.2">
      <c r="A1841"/>
      <c r="B1841"/>
      <c r="C1841"/>
      <c r="D1841"/>
      <c r="E1841"/>
      <c r="F1841"/>
      <c r="G1841"/>
      <c r="H1841"/>
      <c r="I1841"/>
      <c r="J1841"/>
      <c r="K1841"/>
      <c r="L1841"/>
      <c r="M1841"/>
      <c r="N1841"/>
      <c r="O1841"/>
      <c r="P1841"/>
      <c r="Q1841"/>
      <c r="R1841"/>
      <c r="S1841"/>
    </row>
    <row r="1842" spans="1:19" ht="15" x14ac:dyDescent="0.2">
      <c r="A1842"/>
      <c r="B1842"/>
      <c r="C1842"/>
      <c r="D1842"/>
      <c r="E1842"/>
      <c r="F1842"/>
      <c r="G1842"/>
      <c r="H1842"/>
      <c r="I1842"/>
      <c r="J1842"/>
      <c r="K1842"/>
      <c r="L1842"/>
      <c r="M1842"/>
      <c r="N1842"/>
      <c r="O1842"/>
      <c r="P1842"/>
      <c r="Q1842"/>
      <c r="R1842"/>
      <c r="S1842"/>
    </row>
    <row r="1843" spans="1:19" ht="15" x14ac:dyDescent="0.2">
      <c r="A1843"/>
      <c r="B1843"/>
      <c r="C1843"/>
      <c r="D1843"/>
      <c r="E1843"/>
      <c r="F1843"/>
      <c r="G1843"/>
      <c r="H1843"/>
      <c r="I1843"/>
      <c r="J1843"/>
      <c r="K1843"/>
      <c r="L1843"/>
      <c r="M1843"/>
      <c r="N1843"/>
      <c r="O1843"/>
      <c r="P1843"/>
      <c r="Q1843"/>
      <c r="R1843"/>
      <c r="S1843"/>
    </row>
    <row r="1844" spans="1:19" ht="15" x14ac:dyDescent="0.2">
      <c r="A1844"/>
      <c r="B1844"/>
      <c r="C1844"/>
      <c r="D1844"/>
      <c r="E1844"/>
      <c r="F1844"/>
      <c r="G1844"/>
      <c r="H1844"/>
      <c r="I1844"/>
      <c r="J1844"/>
      <c r="K1844"/>
      <c r="L1844"/>
      <c r="M1844"/>
      <c r="N1844"/>
      <c r="O1844"/>
      <c r="P1844"/>
      <c r="Q1844"/>
      <c r="R1844"/>
      <c r="S1844"/>
    </row>
    <row r="1845" spans="1:19" ht="15" x14ac:dyDescent="0.2">
      <c r="A1845"/>
      <c r="B1845"/>
      <c r="C1845"/>
      <c r="D1845"/>
      <c r="E1845"/>
      <c r="F1845"/>
      <c r="G1845"/>
      <c r="H1845"/>
      <c r="I1845"/>
      <c r="J1845"/>
      <c r="K1845"/>
      <c r="L1845"/>
      <c r="M1845"/>
      <c r="N1845"/>
      <c r="O1845"/>
      <c r="P1845"/>
      <c r="Q1845"/>
      <c r="R1845"/>
      <c r="S1845"/>
    </row>
    <row r="1846" spans="1:19" ht="15" x14ac:dyDescent="0.2">
      <c r="A1846"/>
      <c r="B1846"/>
      <c r="C1846"/>
      <c r="D1846"/>
      <c r="E1846"/>
      <c r="F1846"/>
      <c r="G1846"/>
      <c r="H1846"/>
      <c r="I1846"/>
      <c r="J1846"/>
      <c r="K1846"/>
      <c r="L1846"/>
      <c r="M1846"/>
      <c r="N1846"/>
      <c r="O1846"/>
      <c r="P1846"/>
      <c r="Q1846"/>
      <c r="R1846"/>
      <c r="S1846"/>
    </row>
    <row r="1847" spans="1:19" ht="15" x14ac:dyDescent="0.2">
      <c r="A1847"/>
      <c r="B1847"/>
      <c r="C1847"/>
      <c r="D1847"/>
      <c r="E1847"/>
      <c r="F1847"/>
      <c r="G1847"/>
      <c r="H1847"/>
      <c r="I1847"/>
      <c r="J1847"/>
      <c r="K1847"/>
      <c r="L1847"/>
      <c r="M1847"/>
      <c r="N1847"/>
      <c r="O1847"/>
      <c r="P1847"/>
      <c r="Q1847"/>
      <c r="R1847"/>
      <c r="S1847"/>
    </row>
    <row r="1848" spans="1:19" ht="15" x14ac:dyDescent="0.2">
      <c r="A1848"/>
      <c r="B1848"/>
      <c r="C1848"/>
      <c r="D1848"/>
      <c r="E1848"/>
      <c r="F1848"/>
      <c r="G1848"/>
      <c r="H1848"/>
      <c r="I1848"/>
      <c r="J1848"/>
      <c r="K1848"/>
      <c r="L1848"/>
      <c r="M1848"/>
      <c r="N1848"/>
      <c r="O1848"/>
      <c r="P1848"/>
      <c r="Q1848"/>
      <c r="R1848"/>
      <c r="S1848"/>
    </row>
    <row r="1849" spans="1:19" ht="15" x14ac:dyDescent="0.2">
      <c r="A1849"/>
      <c r="B1849"/>
      <c r="C1849"/>
      <c r="D1849"/>
      <c r="E1849"/>
      <c r="F1849"/>
      <c r="G1849"/>
      <c r="H1849"/>
      <c r="I1849"/>
      <c r="J1849"/>
      <c r="K1849"/>
      <c r="L1849"/>
      <c r="M1849"/>
      <c r="N1849"/>
      <c r="O1849"/>
      <c r="P1849"/>
      <c r="Q1849"/>
      <c r="R1849"/>
      <c r="S1849"/>
    </row>
    <row r="1850" spans="1:19" ht="15" x14ac:dyDescent="0.2">
      <c r="A1850"/>
      <c r="B1850"/>
      <c r="C1850"/>
      <c r="D1850"/>
      <c r="E1850"/>
      <c r="F1850"/>
      <c r="G1850"/>
      <c r="H1850"/>
      <c r="I1850"/>
      <c r="J1850"/>
      <c r="K1850"/>
      <c r="L1850"/>
      <c r="M1850"/>
      <c r="N1850"/>
      <c r="O1850"/>
      <c r="P1850"/>
      <c r="Q1850"/>
      <c r="R1850"/>
      <c r="S1850"/>
    </row>
    <row r="1851" spans="1:19" ht="15" x14ac:dyDescent="0.2">
      <c r="A1851"/>
      <c r="B1851"/>
      <c r="C1851"/>
      <c r="D1851"/>
      <c r="E1851"/>
      <c r="F1851"/>
      <c r="G1851"/>
      <c r="H1851"/>
      <c r="I1851"/>
      <c r="J1851"/>
      <c r="K1851"/>
      <c r="L1851"/>
      <c r="M1851"/>
      <c r="N1851"/>
      <c r="O1851"/>
      <c r="P1851"/>
      <c r="Q1851"/>
      <c r="R1851"/>
      <c r="S1851"/>
    </row>
    <row r="1852" spans="1:19" ht="15" x14ac:dyDescent="0.2">
      <c r="A1852"/>
      <c r="B1852"/>
      <c r="C1852"/>
      <c r="D1852"/>
      <c r="E1852"/>
      <c r="F1852"/>
      <c r="G1852"/>
      <c r="H1852"/>
      <c r="I1852"/>
      <c r="J1852"/>
      <c r="K1852"/>
      <c r="L1852"/>
      <c r="M1852"/>
      <c r="N1852"/>
      <c r="O1852"/>
      <c r="P1852"/>
      <c r="Q1852"/>
      <c r="R1852"/>
      <c r="S1852"/>
    </row>
    <row r="1853" spans="1:19" ht="15" x14ac:dyDescent="0.2">
      <c r="A1853"/>
      <c r="B1853"/>
      <c r="C1853"/>
      <c r="D1853"/>
      <c r="E1853"/>
      <c r="F1853"/>
      <c r="G1853"/>
      <c r="H1853"/>
      <c r="I1853"/>
      <c r="J1853"/>
      <c r="K1853"/>
      <c r="L1853"/>
      <c r="M1853"/>
      <c r="N1853"/>
      <c r="O1853"/>
      <c r="P1853"/>
      <c r="Q1853"/>
      <c r="R1853"/>
      <c r="S1853"/>
    </row>
    <row r="1854" spans="1:19" ht="15" x14ac:dyDescent="0.2">
      <c r="A1854"/>
      <c r="B1854"/>
      <c r="C1854"/>
      <c r="D1854"/>
      <c r="E1854"/>
      <c r="F1854"/>
      <c r="G1854"/>
      <c r="H1854"/>
      <c r="I1854"/>
      <c r="J1854"/>
      <c r="K1854"/>
      <c r="L1854"/>
      <c r="M1854"/>
      <c r="N1854"/>
      <c r="O1854"/>
      <c r="P1854"/>
      <c r="Q1854"/>
      <c r="R1854"/>
      <c r="S1854"/>
    </row>
    <row r="1855" spans="1:19" ht="15" x14ac:dyDescent="0.2">
      <c r="A1855"/>
      <c r="B1855"/>
      <c r="C1855"/>
      <c r="D1855"/>
      <c r="E1855"/>
      <c r="F1855"/>
      <c r="G1855"/>
      <c r="H1855"/>
      <c r="I1855"/>
      <c r="J1855"/>
      <c r="K1855"/>
      <c r="L1855"/>
      <c r="M1855"/>
      <c r="N1855"/>
      <c r="O1855"/>
      <c r="P1855"/>
      <c r="Q1855"/>
      <c r="R1855"/>
      <c r="S1855"/>
    </row>
    <row r="1856" spans="1:19" ht="15" x14ac:dyDescent="0.2">
      <c r="A1856"/>
      <c r="B1856"/>
      <c r="C1856"/>
      <c r="D1856"/>
      <c r="E1856"/>
      <c r="F1856"/>
      <c r="G1856"/>
      <c r="H1856"/>
      <c r="I1856"/>
      <c r="J1856"/>
      <c r="K1856"/>
      <c r="L1856"/>
      <c r="M1856"/>
      <c r="N1856"/>
      <c r="O1856"/>
      <c r="P1856"/>
      <c r="Q1856"/>
      <c r="R1856"/>
      <c r="S1856"/>
    </row>
    <row r="1857" spans="1:19" ht="15" x14ac:dyDescent="0.2">
      <c r="A1857"/>
      <c r="B1857"/>
      <c r="C1857"/>
      <c r="D1857"/>
      <c r="E1857"/>
      <c r="F1857"/>
      <c r="G1857"/>
      <c r="H1857"/>
      <c r="I1857"/>
      <c r="J1857"/>
      <c r="K1857"/>
      <c r="L1857"/>
      <c r="M1857"/>
      <c r="N1857"/>
      <c r="O1857"/>
      <c r="P1857"/>
      <c r="Q1857"/>
      <c r="R1857"/>
      <c r="S1857"/>
    </row>
    <row r="1858" spans="1:19" ht="15" x14ac:dyDescent="0.2">
      <c r="A1858"/>
      <c r="B1858"/>
      <c r="C1858"/>
      <c r="D1858"/>
      <c r="E1858"/>
      <c r="F1858"/>
      <c r="G1858"/>
      <c r="H1858"/>
      <c r="I1858"/>
      <c r="J1858"/>
      <c r="K1858"/>
      <c r="L1858"/>
      <c r="M1858"/>
      <c r="N1858"/>
      <c r="O1858"/>
      <c r="P1858"/>
      <c r="Q1858"/>
      <c r="R1858"/>
      <c r="S1858"/>
    </row>
    <row r="1859" spans="1:19" ht="15" x14ac:dyDescent="0.2">
      <c r="A1859"/>
      <c r="B1859"/>
      <c r="C1859"/>
      <c r="D1859"/>
      <c r="E1859"/>
      <c r="F1859"/>
      <c r="G1859"/>
      <c r="H1859"/>
      <c r="I1859"/>
      <c r="J1859"/>
      <c r="K1859"/>
      <c r="L1859"/>
      <c r="M1859"/>
      <c r="N1859"/>
      <c r="O1859"/>
      <c r="P1859"/>
      <c r="Q1859"/>
      <c r="R1859"/>
      <c r="S1859"/>
    </row>
    <row r="1860" spans="1:19" ht="15" x14ac:dyDescent="0.2">
      <c r="A1860"/>
      <c r="B1860"/>
      <c r="C1860"/>
      <c r="D1860"/>
      <c r="E1860"/>
      <c r="F1860"/>
      <c r="G1860"/>
      <c r="H1860"/>
      <c r="I1860"/>
      <c r="J1860"/>
      <c r="K1860"/>
      <c r="L1860"/>
      <c r="M1860"/>
      <c r="N1860"/>
      <c r="O1860"/>
      <c r="P1860"/>
      <c r="Q1860"/>
      <c r="R1860"/>
      <c r="S1860"/>
    </row>
    <row r="1861" spans="1:19" ht="15" x14ac:dyDescent="0.2">
      <c r="A1861"/>
      <c r="B1861"/>
      <c r="C1861"/>
      <c r="D1861"/>
      <c r="E1861"/>
      <c r="F1861"/>
      <c r="G1861"/>
      <c r="H1861"/>
      <c r="I1861"/>
      <c r="J1861"/>
      <c r="K1861"/>
      <c r="L1861"/>
      <c r="M1861"/>
      <c r="N1861"/>
      <c r="O1861"/>
      <c r="P1861"/>
      <c r="Q1861"/>
      <c r="R1861"/>
      <c r="S1861"/>
    </row>
    <row r="1862" spans="1:19" ht="15" x14ac:dyDescent="0.2">
      <c r="A1862"/>
      <c r="B1862"/>
      <c r="C1862"/>
      <c r="D1862"/>
      <c r="E1862"/>
      <c r="F1862"/>
      <c r="G1862"/>
      <c r="H1862"/>
      <c r="I1862"/>
      <c r="J1862"/>
      <c r="K1862"/>
      <c r="L1862"/>
      <c r="M1862"/>
      <c r="N1862"/>
      <c r="O1862"/>
      <c r="P1862"/>
      <c r="Q1862"/>
      <c r="R1862"/>
      <c r="S1862"/>
    </row>
    <row r="1863" spans="1:19" ht="15" x14ac:dyDescent="0.2">
      <c r="A1863"/>
      <c r="B1863"/>
      <c r="C1863"/>
      <c r="D1863"/>
      <c r="E1863"/>
      <c r="F1863"/>
      <c r="G1863"/>
      <c r="H1863"/>
      <c r="I1863"/>
      <c r="J1863"/>
      <c r="K1863"/>
      <c r="L1863"/>
      <c r="M1863"/>
      <c r="N1863"/>
      <c r="O1863"/>
      <c r="P1863"/>
      <c r="Q1863"/>
      <c r="R1863"/>
      <c r="S1863"/>
    </row>
    <row r="1864" spans="1:19" ht="15" x14ac:dyDescent="0.2">
      <c r="A1864"/>
      <c r="B1864"/>
      <c r="C1864"/>
      <c r="D1864"/>
      <c r="E1864"/>
      <c r="F1864"/>
      <c r="G1864"/>
      <c r="H1864"/>
      <c r="I1864"/>
      <c r="J1864"/>
      <c r="K1864"/>
      <c r="L1864"/>
      <c r="M1864"/>
      <c r="N1864"/>
      <c r="O1864"/>
      <c r="P1864"/>
      <c r="Q1864"/>
      <c r="R1864"/>
      <c r="S1864"/>
    </row>
    <row r="1865" spans="1:19" ht="15" x14ac:dyDescent="0.2">
      <c r="A1865"/>
      <c r="B1865"/>
      <c r="C1865"/>
      <c r="D1865"/>
      <c r="E1865"/>
      <c r="F1865"/>
      <c r="G1865"/>
      <c r="H1865"/>
      <c r="I1865"/>
      <c r="J1865"/>
      <c r="K1865"/>
      <c r="L1865"/>
      <c r="M1865"/>
      <c r="N1865"/>
      <c r="O1865"/>
      <c r="P1865"/>
      <c r="Q1865"/>
      <c r="R1865"/>
      <c r="S1865"/>
    </row>
    <row r="1866" spans="1:19" ht="15" x14ac:dyDescent="0.2">
      <c r="A1866"/>
      <c r="B1866"/>
      <c r="C1866"/>
      <c r="D1866"/>
      <c r="E1866"/>
      <c r="F1866"/>
      <c r="G1866"/>
      <c r="H1866"/>
      <c r="I1866"/>
      <c r="J1866"/>
      <c r="K1866"/>
      <c r="L1866"/>
      <c r="M1866"/>
      <c r="N1866"/>
      <c r="O1866"/>
      <c r="P1866"/>
      <c r="Q1866"/>
      <c r="R1866"/>
      <c r="S1866"/>
    </row>
    <row r="1867" spans="1:19" ht="15" x14ac:dyDescent="0.2">
      <c r="A1867"/>
      <c r="B1867"/>
      <c r="C1867"/>
      <c r="D1867"/>
      <c r="E1867"/>
      <c r="F1867"/>
      <c r="G1867"/>
      <c r="H1867"/>
      <c r="I1867"/>
      <c r="J1867"/>
      <c r="K1867"/>
      <c r="L1867"/>
      <c r="M1867"/>
      <c r="N1867"/>
      <c r="O1867"/>
      <c r="P1867"/>
      <c r="Q1867"/>
      <c r="R1867"/>
      <c r="S1867"/>
    </row>
    <row r="1868" spans="1:19" ht="15" x14ac:dyDescent="0.2">
      <c r="A1868"/>
      <c r="B1868"/>
      <c r="C1868"/>
      <c r="D1868"/>
      <c r="E1868"/>
      <c r="F1868"/>
      <c r="G1868"/>
      <c r="H1868"/>
      <c r="I1868"/>
      <c r="J1868"/>
      <c r="K1868"/>
      <c r="L1868"/>
      <c r="M1868"/>
      <c r="N1868"/>
      <c r="O1868"/>
      <c r="P1868"/>
      <c r="Q1868"/>
      <c r="R1868"/>
      <c r="S1868"/>
    </row>
    <row r="1869" spans="1:19" ht="15" x14ac:dyDescent="0.2">
      <c r="A1869"/>
      <c r="B1869"/>
      <c r="C1869"/>
      <c r="D1869"/>
      <c r="E1869"/>
      <c r="F1869"/>
      <c r="G1869"/>
      <c r="H1869"/>
      <c r="I1869"/>
      <c r="J1869"/>
      <c r="K1869"/>
      <c r="L1869"/>
      <c r="M1869"/>
      <c r="N1869"/>
      <c r="O1869"/>
      <c r="P1869"/>
      <c r="Q1869"/>
      <c r="R1869"/>
      <c r="S1869"/>
    </row>
    <row r="1870" spans="1:19" ht="15" x14ac:dyDescent="0.2">
      <c r="A1870"/>
      <c r="B1870"/>
      <c r="C1870"/>
      <c r="D1870"/>
      <c r="E1870"/>
      <c r="F1870"/>
      <c r="G1870"/>
      <c r="H1870"/>
      <c r="I1870"/>
      <c r="J1870"/>
      <c r="K1870"/>
      <c r="L1870"/>
      <c r="M1870"/>
      <c r="N1870"/>
      <c r="O1870"/>
      <c r="P1870"/>
      <c r="Q1870"/>
      <c r="R1870"/>
      <c r="S1870"/>
    </row>
    <row r="1871" spans="1:19" ht="15" x14ac:dyDescent="0.2">
      <c r="A1871"/>
      <c r="B1871"/>
      <c r="C1871"/>
      <c r="D1871"/>
      <c r="E1871"/>
      <c r="F1871"/>
      <c r="G1871"/>
      <c r="H1871"/>
      <c r="I1871"/>
      <c r="J1871"/>
      <c r="K1871"/>
      <c r="L1871"/>
      <c r="M1871"/>
      <c r="N1871"/>
      <c r="O1871"/>
      <c r="P1871"/>
      <c r="Q1871"/>
      <c r="R1871"/>
      <c r="S1871"/>
    </row>
    <row r="1872" spans="1:19" ht="15" x14ac:dyDescent="0.2">
      <c r="A1872"/>
      <c r="B1872"/>
      <c r="C1872"/>
      <c r="D1872"/>
      <c r="E1872"/>
      <c r="F1872"/>
      <c r="G1872"/>
      <c r="H1872"/>
      <c r="I1872"/>
      <c r="J1872"/>
      <c r="K1872"/>
      <c r="L1872"/>
      <c r="M1872"/>
      <c r="N1872"/>
      <c r="O1872"/>
      <c r="P1872"/>
      <c r="Q1872"/>
      <c r="R1872"/>
      <c r="S1872"/>
    </row>
    <row r="1873" spans="1:19" ht="15" x14ac:dyDescent="0.2">
      <c r="A1873"/>
      <c r="B1873"/>
      <c r="C1873"/>
      <c r="D1873"/>
      <c r="E1873"/>
      <c r="F1873"/>
      <c r="G1873"/>
      <c r="H1873"/>
      <c r="I1873"/>
      <c r="J1873"/>
      <c r="K1873"/>
      <c r="L1873"/>
      <c r="M1873"/>
      <c r="N1873"/>
      <c r="O1873"/>
      <c r="P1873"/>
      <c r="Q1873"/>
      <c r="R1873"/>
      <c r="S1873"/>
    </row>
    <row r="1874" spans="1:19" ht="15" x14ac:dyDescent="0.2">
      <c r="A1874"/>
      <c r="B1874"/>
      <c r="C1874"/>
      <c r="D1874"/>
      <c r="E1874"/>
      <c r="F1874"/>
      <c r="G1874"/>
      <c r="H1874"/>
      <c r="I1874"/>
      <c r="J1874"/>
      <c r="K1874"/>
      <c r="L1874"/>
      <c r="M1874"/>
      <c r="N1874"/>
      <c r="O1874"/>
      <c r="P1874"/>
      <c r="Q1874"/>
      <c r="R1874"/>
      <c r="S1874"/>
    </row>
    <row r="1875" spans="1:19" ht="15" x14ac:dyDescent="0.2">
      <c r="A1875"/>
      <c r="B1875"/>
      <c r="C1875"/>
      <c r="D1875"/>
      <c r="E1875"/>
      <c r="F1875"/>
      <c r="G1875"/>
      <c r="H1875"/>
      <c r="I1875"/>
      <c r="J1875"/>
      <c r="K1875"/>
      <c r="L1875"/>
      <c r="M1875"/>
      <c r="N1875"/>
      <c r="O1875"/>
      <c r="P1875"/>
      <c r="Q1875"/>
      <c r="R1875"/>
      <c r="S1875"/>
    </row>
    <row r="1876" spans="1:19" ht="15" x14ac:dyDescent="0.2">
      <c r="A1876"/>
      <c r="B1876"/>
      <c r="C1876"/>
      <c r="D1876"/>
      <c r="E1876"/>
      <c r="F1876"/>
      <c r="G1876"/>
      <c r="H1876"/>
      <c r="I1876"/>
      <c r="J1876"/>
      <c r="K1876"/>
      <c r="L1876"/>
      <c r="M1876"/>
      <c r="N1876"/>
      <c r="O1876"/>
      <c r="P1876"/>
      <c r="Q1876"/>
      <c r="R1876"/>
      <c r="S1876"/>
    </row>
    <row r="1877" spans="1:19" ht="15" x14ac:dyDescent="0.2">
      <c r="A1877"/>
      <c r="B1877"/>
      <c r="C1877"/>
      <c r="D1877"/>
      <c r="E1877"/>
      <c r="F1877"/>
      <c r="G1877"/>
      <c r="H1877"/>
      <c r="I1877"/>
      <c r="J1877"/>
      <c r="K1877"/>
      <c r="L1877"/>
      <c r="M1877"/>
      <c r="N1877"/>
      <c r="O1877"/>
      <c r="P1877"/>
      <c r="Q1877"/>
      <c r="R1877"/>
      <c r="S1877"/>
    </row>
    <row r="1878" spans="1:19" ht="15" x14ac:dyDescent="0.2">
      <c r="A1878"/>
      <c r="B1878"/>
      <c r="C1878"/>
      <c r="D1878"/>
      <c r="E1878"/>
      <c r="F1878"/>
      <c r="G1878"/>
      <c r="H1878"/>
      <c r="I1878"/>
      <c r="J1878"/>
      <c r="K1878"/>
      <c r="L1878"/>
      <c r="M1878"/>
      <c r="N1878"/>
      <c r="O1878"/>
      <c r="P1878"/>
      <c r="Q1878"/>
      <c r="R1878"/>
      <c r="S1878"/>
    </row>
    <row r="1879" spans="1:19" ht="15" x14ac:dyDescent="0.2">
      <c r="A1879"/>
      <c r="B1879"/>
      <c r="C1879"/>
      <c r="D1879"/>
      <c r="E1879"/>
      <c r="F1879"/>
      <c r="G1879"/>
      <c r="H1879"/>
      <c r="I1879"/>
      <c r="J1879"/>
      <c r="K1879"/>
      <c r="L1879"/>
      <c r="M1879"/>
      <c r="N1879"/>
      <c r="O1879"/>
      <c r="P1879"/>
      <c r="Q1879"/>
      <c r="R1879"/>
      <c r="S1879"/>
    </row>
    <row r="1880" spans="1:19" ht="15" x14ac:dyDescent="0.2">
      <c r="A1880"/>
      <c r="B1880"/>
      <c r="C1880"/>
      <c r="D1880"/>
      <c r="E1880"/>
      <c r="F1880"/>
      <c r="G1880"/>
      <c r="H1880"/>
      <c r="I1880"/>
      <c r="J1880"/>
      <c r="K1880"/>
      <c r="L1880"/>
      <c r="M1880"/>
      <c r="N1880"/>
      <c r="O1880"/>
      <c r="P1880"/>
      <c r="Q1880"/>
      <c r="R1880"/>
      <c r="S1880"/>
    </row>
    <row r="1881" spans="1:19" ht="15" x14ac:dyDescent="0.2">
      <c r="A1881"/>
      <c r="B1881"/>
      <c r="C1881"/>
      <c r="D1881"/>
      <c r="E1881"/>
      <c r="F1881"/>
      <c r="G1881"/>
      <c r="H1881"/>
      <c r="I1881"/>
      <c r="J1881"/>
      <c r="K1881"/>
      <c r="L1881"/>
      <c r="M1881"/>
      <c r="N1881"/>
      <c r="O1881"/>
      <c r="P1881"/>
      <c r="Q1881"/>
      <c r="R1881"/>
      <c r="S1881"/>
    </row>
    <row r="1882" spans="1:19" ht="15" x14ac:dyDescent="0.2">
      <c r="A1882"/>
      <c r="B1882"/>
      <c r="C1882"/>
      <c r="D1882"/>
      <c r="E1882"/>
      <c r="F1882"/>
      <c r="G1882"/>
      <c r="H1882"/>
      <c r="I1882"/>
      <c r="J1882"/>
      <c r="K1882"/>
      <c r="L1882"/>
      <c r="M1882"/>
      <c r="N1882"/>
      <c r="O1882"/>
      <c r="P1882"/>
      <c r="Q1882"/>
      <c r="R1882"/>
      <c r="S1882"/>
    </row>
    <row r="1883" spans="1:19" ht="15" x14ac:dyDescent="0.2">
      <c r="A1883"/>
      <c r="B1883"/>
      <c r="C1883"/>
      <c r="D1883"/>
      <c r="E1883"/>
      <c r="F1883"/>
      <c r="G1883"/>
      <c r="H1883"/>
      <c r="I1883"/>
      <c r="J1883"/>
      <c r="K1883"/>
      <c r="L1883"/>
      <c r="M1883"/>
      <c r="N1883"/>
      <c r="O1883"/>
      <c r="P1883"/>
      <c r="Q1883"/>
      <c r="R1883"/>
      <c r="S1883"/>
    </row>
    <row r="1884" spans="1:19" ht="15" x14ac:dyDescent="0.2">
      <c r="A1884"/>
      <c r="B1884"/>
      <c r="C1884"/>
      <c r="D1884"/>
      <c r="E1884"/>
      <c r="F1884"/>
      <c r="G1884"/>
      <c r="H1884"/>
      <c r="I1884"/>
      <c r="J1884"/>
      <c r="K1884"/>
      <c r="L1884"/>
      <c r="M1884"/>
      <c r="N1884"/>
      <c r="O1884"/>
      <c r="P1884"/>
      <c r="Q1884"/>
      <c r="R1884"/>
      <c r="S1884"/>
    </row>
    <row r="1885" spans="1:19" ht="15" x14ac:dyDescent="0.2">
      <c r="A1885"/>
      <c r="B1885"/>
      <c r="C1885"/>
      <c r="D1885"/>
      <c r="E1885"/>
      <c r="F1885"/>
      <c r="G1885"/>
      <c r="H1885"/>
      <c r="I1885"/>
      <c r="J1885"/>
      <c r="K1885"/>
      <c r="L1885"/>
      <c r="M1885"/>
      <c r="N1885"/>
      <c r="O1885"/>
      <c r="P1885"/>
      <c r="Q1885"/>
      <c r="R1885"/>
      <c r="S1885"/>
    </row>
    <row r="1886" spans="1:19" ht="15" x14ac:dyDescent="0.2">
      <c r="A1886"/>
      <c r="B1886"/>
      <c r="C1886"/>
      <c r="D1886"/>
      <c r="E1886"/>
      <c r="F1886"/>
      <c r="G1886"/>
      <c r="H1886"/>
      <c r="I1886"/>
      <c r="J1886"/>
      <c r="K1886"/>
      <c r="L1886"/>
      <c r="M1886"/>
      <c r="N1886"/>
      <c r="O1886"/>
      <c r="P1886"/>
      <c r="Q1886"/>
      <c r="R1886"/>
      <c r="S1886"/>
    </row>
    <row r="1887" spans="1:19" ht="15" x14ac:dyDescent="0.2">
      <c r="A1887"/>
      <c r="B1887"/>
      <c r="C1887"/>
      <c r="D1887"/>
      <c r="E1887"/>
      <c r="F1887"/>
      <c r="G1887"/>
      <c r="H1887"/>
      <c r="I1887"/>
      <c r="J1887"/>
      <c r="K1887"/>
      <c r="L1887"/>
      <c r="M1887"/>
      <c r="N1887"/>
      <c r="O1887"/>
      <c r="P1887"/>
      <c r="Q1887"/>
      <c r="R1887"/>
      <c r="S1887"/>
    </row>
    <row r="1888" spans="1:19" ht="15" x14ac:dyDescent="0.2">
      <c r="A1888"/>
      <c r="B1888"/>
      <c r="C1888"/>
      <c r="D1888"/>
      <c r="E1888"/>
      <c r="F1888"/>
      <c r="G1888"/>
      <c r="H1888"/>
      <c r="I1888"/>
      <c r="J1888"/>
      <c r="K1888"/>
      <c r="L1888"/>
      <c r="M1888"/>
      <c r="N1888"/>
      <c r="O1888"/>
      <c r="P1888"/>
      <c r="Q1888"/>
      <c r="R1888"/>
      <c r="S1888"/>
    </row>
    <row r="1889" spans="1:19" ht="15" x14ac:dyDescent="0.2">
      <c r="A1889"/>
      <c r="B1889"/>
      <c r="C1889"/>
      <c r="D1889"/>
      <c r="E1889"/>
      <c r="F1889"/>
      <c r="G1889"/>
      <c r="H1889"/>
      <c r="I1889"/>
      <c r="J1889"/>
      <c r="K1889"/>
      <c r="L1889"/>
      <c r="M1889"/>
      <c r="N1889"/>
      <c r="O1889"/>
      <c r="P1889"/>
      <c r="Q1889"/>
      <c r="R1889"/>
      <c r="S1889"/>
    </row>
    <row r="1890" spans="1:19" ht="15" x14ac:dyDescent="0.2">
      <c r="A1890"/>
      <c r="B1890"/>
      <c r="C1890"/>
      <c r="D1890"/>
      <c r="E1890"/>
      <c r="F1890"/>
      <c r="G1890"/>
      <c r="H1890"/>
      <c r="I1890"/>
      <c r="J1890"/>
      <c r="K1890"/>
      <c r="L1890"/>
      <c r="M1890"/>
      <c r="N1890"/>
      <c r="O1890"/>
      <c r="P1890"/>
      <c r="Q1890"/>
      <c r="R1890"/>
      <c r="S1890"/>
    </row>
    <row r="1891" spans="1:19" ht="15" x14ac:dyDescent="0.2">
      <c r="A1891"/>
      <c r="B1891"/>
      <c r="C1891"/>
      <c r="D1891"/>
      <c r="E1891"/>
      <c r="F1891"/>
      <c r="G1891"/>
      <c r="H1891"/>
      <c r="I1891"/>
      <c r="J1891"/>
      <c r="K1891"/>
      <c r="L1891"/>
      <c r="M1891"/>
      <c r="N1891"/>
      <c r="O1891"/>
      <c r="P1891"/>
      <c r="Q1891"/>
      <c r="R1891"/>
      <c r="S1891"/>
    </row>
    <row r="1892" spans="1:19" ht="15" x14ac:dyDescent="0.2">
      <c r="A1892"/>
      <c r="B1892"/>
      <c r="C1892"/>
      <c r="D1892"/>
      <c r="E1892"/>
      <c r="F1892"/>
      <c r="G1892"/>
      <c r="H1892"/>
      <c r="I1892"/>
      <c r="J1892"/>
      <c r="K1892"/>
      <c r="L1892"/>
      <c r="M1892"/>
      <c r="N1892"/>
      <c r="O1892"/>
      <c r="P1892"/>
      <c r="Q1892"/>
      <c r="R1892"/>
      <c r="S1892"/>
    </row>
    <row r="1893" spans="1:19" ht="15" x14ac:dyDescent="0.2">
      <c r="A1893"/>
      <c r="B1893"/>
      <c r="C1893"/>
      <c r="D1893"/>
      <c r="E1893"/>
      <c r="F1893"/>
      <c r="G1893"/>
      <c r="H1893"/>
      <c r="I1893"/>
      <c r="J1893"/>
      <c r="K1893"/>
      <c r="L1893"/>
      <c r="M1893"/>
      <c r="N1893"/>
      <c r="O1893"/>
      <c r="P1893"/>
      <c r="Q1893"/>
      <c r="R1893"/>
      <c r="S1893"/>
    </row>
    <row r="1894" spans="1:19" ht="15" x14ac:dyDescent="0.2">
      <c r="A1894"/>
      <c r="B1894"/>
      <c r="C1894"/>
      <c r="D1894"/>
      <c r="E1894"/>
      <c r="F1894"/>
      <c r="G1894"/>
      <c r="H1894"/>
      <c r="I1894"/>
      <c r="J1894"/>
      <c r="K1894"/>
      <c r="L1894"/>
      <c r="M1894"/>
      <c r="N1894"/>
      <c r="O1894"/>
      <c r="P1894"/>
      <c r="Q1894"/>
      <c r="R1894"/>
      <c r="S1894"/>
    </row>
    <row r="1895" spans="1:19" ht="15" x14ac:dyDescent="0.2">
      <c r="A1895"/>
      <c r="B1895"/>
      <c r="C1895"/>
      <c r="D1895"/>
      <c r="E1895"/>
      <c r="F1895"/>
      <c r="G1895"/>
      <c r="H1895"/>
      <c r="I1895"/>
      <c r="J1895"/>
      <c r="K1895"/>
      <c r="L1895"/>
      <c r="M1895"/>
      <c r="N1895"/>
      <c r="O1895"/>
      <c r="P1895"/>
      <c r="Q1895"/>
      <c r="R1895"/>
      <c r="S1895"/>
    </row>
    <row r="1896" spans="1:19" ht="15" x14ac:dyDescent="0.2">
      <c r="A1896"/>
      <c r="B1896"/>
      <c r="C1896"/>
      <c r="D1896"/>
      <c r="E1896"/>
      <c r="F1896"/>
      <c r="G1896"/>
      <c r="H1896"/>
      <c r="I1896"/>
      <c r="J1896"/>
      <c r="K1896"/>
      <c r="L1896"/>
      <c r="M1896"/>
      <c r="N1896"/>
      <c r="O1896"/>
      <c r="P1896"/>
      <c r="Q1896"/>
      <c r="R1896"/>
      <c r="S1896"/>
    </row>
    <row r="1897" spans="1:19" ht="15" x14ac:dyDescent="0.2">
      <c r="A1897"/>
      <c r="B1897"/>
      <c r="C1897"/>
      <c r="D1897"/>
      <c r="E1897"/>
      <c r="F1897"/>
      <c r="G1897"/>
      <c r="H1897"/>
      <c r="I1897"/>
      <c r="J1897"/>
      <c r="K1897"/>
      <c r="L1897"/>
      <c r="M1897"/>
      <c r="N1897"/>
      <c r="O1897"/>
      <c r="P1897"/>
      <c r="Q1897"/>
      <c r="R1897"/>
      <c r="S1897"/>
    </row>
    <row r="1898" spans="1:19" ht="15" x14ac:dyDescent="0.2">
      <c r="A1898"/>
      <c r="B1898"/>
      <c r="C1898"/>
      <c r="D1898"/>
      <c r="E1898"/>
      <c r="F1898"/>
      <c r="G1898"/>
      <c r="H1898"/>
      <c r="I1898"/>
      <c r="J1898"/>
      <c r="K1898"/>
      <c r="L1898"/>
      <c r="M1898"/>
      <c r="N1898"/>
      <c r="O1898"/>
      <c r="P1898"/>
      <c r="Q1898"/>
      <c r="R1898"/>
      <c r="S1898"/>
    </row>
    <row r="1899" spans="1:19" ht="15" x14ac:dyDescent="0.2">
      <c r="A1899"/>
      <c r="B1899"/>
      <c r="C1899"/>
      <c r="D1899"/>
      <c r="E1899"/>
      <c r="F1899"/>
      <c r="G1899"/>
      <c r="H1899"/>
      <c r="I1899"/>
      <c r="J1899"/>
      <c r="K1899"/>
      <c r="L1899"/>
      <c r="M1899"/>
      <c r="N1899"/>
      <c r="O1899"/>
      <c r="P1899"/>
      <c r="Q1899"/>
      <c r="R1899"/>
      <c r="S1899"/>
    </row>
    <row r="1900" spans="1:19" ht="15" x14ac:dyDescent="0.2">
      <c r="A1900"/>
      <c r="B1900"/>
      <c r="C1900"/>
      <c r="D1900"/>
      <c r="E1900"/>
      <c r="F1900"/>
      <c r="G1900"/>
      <c r="H1900"/>
      <c r="I1900"/>
      <c r="J1900"/>
      <c r="K1900"/>
      <c r="L1900"/>
      <c r="M1900"/>
      <c r="N1900"/>
      <c r="O1900"/>
      <c r="P1900"/>
      <c r="Q1900"/>
      <c r="R1900"/>
      <c r="S1900"/>
    </row>
    <row r="1901" spans="1:19" ht="15" x14ac:dyDescent="0.2">
      <c r="A1901"/>
      <c r="B1901"/>
      <c r="C1901"/>
      <c r="D1901"/>
      <c r="E1901"/>
      <c r="F1901"/>
      <c r="G1901"/>
      <c r="H1901"/>
      <c r="I1901"/>
      <c r="J1901"/>
      <c r="K1901"/>
      <c r="L1901"/>
      <c r="M1901"/>
      <c r="N1901"/>
      <c r="O1901"/>
      <c r="P1901"/>
      <c r="Q1901"/>
      <c r="R1901"/>
      <c r="S1901"/>
    </row>
    <row r="1902" spans="1:19" ht="15" x14ac:dyDescent="0.2">
      <c r="A1902"/>
      <c r="B1902"/>
      <c r="C1902"/>
      <c r="D1902"/>
      <c r="E1902"/>
      <c r="F1902"/>
      <c r="G1902"/>
      <c r="H1902"/>
      <c r="I1902"/>
      <c r="J1902"/>
      <c r="K1902"/>
      <c r="L1902"/>
      <c r="M1902"/>
      <c r="N1902"/>
      <c r="O1902"/>
      <c r="P1902"/>
      <c r="Q1902"/>
      <c r="R1902"/>
      <c r="S1902"/>
    </row>
    <row r="1903" spans="1:19" ht="15" x14ac:dyDescent="0.2">
      <c r="A1903"/>
      <c r="B1903"/>
      <c r="C1903"/>
      <c r="D1903"/>
      <c r="E1903"/>
      <c r="F1903"/>
      <c r="G1903"/>
      <c r="H1903"/>
      <c r="I1903"/>
      <c r="J1903"/>
      <c r="K1903"/>
      <c r="L1903"/>
      <c r="M1903"/>
      <c r="N1903"/>
      <c r="O1903"/>
      <c r="P1903"/>
      <c r="Q1903"/>
      <c r="R1903"/>
      <c r="S1903"/>
    </row>
    <row r="1904" spans="1:19" ht="15" x14ac:dyDescent="0.2">
      <c r="A1904"/>
      <c r="B1904"/>
      <c r="C1904"/>
      <c r="D1904"/>
      <c r="E1904"/>
      <c r="F1904"/>
      <c r="G1904"/>
      <c r="H1904"/>
      <c r="I1904"/>
      <c r="J1904"/>
      <c r="K1904"/>
      <c r="L1904"/>
      <c r="M1904"/>
      <c r="N1904"/>
      <c r="O1904"/>
      <c r="P1904"/>
      <c r="Q1904"/>
      <c r="R1904"/>
      <c r="S1904"/>
    </row>
    <row r="1905" spans="1:19" ht="15" x14ac:dyDescent="0.2">
      <c r="A1905"/>
      <c r="B1905"/>
      <c r="C1905"/>
      <c r="D1905"/>
      <c r="E1905"/>
      <c r="F1905"/>
      <c r="G1905"/>
      <c r="H1905"/>
      <c r="I1905"/>
      <c r="J1905"/>
      <c r="K1905"/>
      <c r="L1905"/>
      <c r="M1905"/>
      <c r="N1905"/>
      <c r="O1905"/>
      <c r="P1905"/>
      <c r="Q1905"/>
      <c r="R1905"/>
      <c r="S1905"/>
    </row>
    <row r="1906" spans="1:19" ht="15" x14ac:dyDescent="0.2">
      <c r="A1906"/>
      <c r="B1906"/>
      <c r="C1906"/>
      <c r="D1906"/>
      <c r="E1906"/>
      <c r="F1906"/>
      <c r="G1906"/>
      <c r="H1906"/>
      <c r="I1906"/>
      <c r="J1906"/>
      <c r="K1906"/>
      <c r="L1906"/>
      <c r="M1906"/>
      <c r="N1906"/>
      <c r="O1906"/>
      <c r="P1906"/>
      <c r="Q1906"/>
      <c r="R1906"/>
      <c r="S1906"/>
    </row>
    <row r="1907" spans="1:19" ht="15" x14ac:dyDescent="0.2">
      <c r="A1907"/>
      <c r="B1907"/>
      <c r="C1907"/>
      <c r="D1907"/>
      <c r="E1907"/>
      <c r="F1907"/>
      <c r="G1907"/>
      <c r="H1907"/>
      <c r="I1907"/>
      <c r="J1907"/>
      <c r="K1907"/>
      <c r="L1907"/>
      <c r="M1907"/>
      <c r="N1907"/>
      <c r="O1907"/>
      <c r="P1907"/>
      <c r="Q1907"/>
      <c r="R1907"/>
      <c r="S1907"/>
    </row>
    <row r="1908" spans="1:19" ht="15" x14ac:dyDescent="0.2">
      <c r="A1908"/>
      <c r="B1908"/>
      <c r="C1908"/>
      <c r="D1908"/>
      <c r="E1908"/>
      <c r="F1908"/>
      <c r="G1908"/>
      <c r="H1908"/>
      <c r="I1908"/>
      <c r="J1908"/>
      <c r="K1908"/>
      <c r="L1908"/>
      <c r="M1908"/>
      <c r="N1908"/>
      <c r="O1908"/>
      <c r="P1908"/>
      <c r="Q1908"/>
      <c r="R1908"/>
      <c r="S1908"/>
    </row>
    <row r="1909" spans="1:19" ht="15" x14ac:dyDescent="0.2">
      <c r="A1909"/>
      <c r="B1909"/>
      <c r="C1909"/>
      <c r="D1909"/>
      <c r="E1909"/>
      <c r="F1909"/>
      <c r="G1909"/>
      <c r="H1909"/>
      <c r="I1909"/>
      <c r="J1909"/>
      <c r="K1909"/>
      <c r="L1909"/>
      <c r="M1909"/>
      <c r="N1909"/>
      <c r="O1909"/>
      <c r="P1909"/>
      <c r="Q1909"/>
      <c r="R1909"/>
      <c r="S1909"/>
    </row>
    <row r="1910" spans="1:19" ht="15" x14ac:dyDescent="0.2">
      <c r="A1910"/>
      <c r="B1910"/>
      <c r="C1910"/>
      <c r="D1910"/>
      <c r="E1910"/>
      <c r="F1910"/>
      <c r="G1910"/>
      <c r="H1910"/>
      <c r="I1910"/>
      <c r="J1910"/>
      <c r="K1910"/>
      <c r="L1910"/>
      <c r="M1910"/>
      <c r="N1910"/>
      <c r="O1910"/>
      <c r="P1910"/>
      <c r="Q1910"/>
      <c r="R1910"/>
      <c r="S1910"/>
    </row>
    <row r="1911" spans="1:19" ht="15" x14ac:dyDescent="0.2">
      <c r="A1911"/>
      <c r="B1911"/>
      <c r="C1911"/>
      <c r="D1911"/>
      <c r="E1911"/>
      <c r="F1911"/>
      <c r="G1911"/>
      <c r="H1911"/>
      <c r="I1911"/>
      <c r="J1911"/>
      <c r="K1911"/>
      <c r="L1911"/>
      <c r="M1911"/>
      <c r="N1911"/>
      <c r="O1911"/>
      <c r="P1911"/>
      <c r="Q1911"/>
      <c r="R1911"/>
      <c r="S1911"/>
    </row>
    <row r="1912" spans="1:19" ht="15" x14ac:dyDescent="0.2">
      <c r="A1912"/>
      <c r="B1912"/>
      <c r="C1912"/>
      <c r="D1912"/>
      <c r="E1912"/>
      <c r="F1912"/>
      <c r="G1912"/>
      <c r="H1912"/>
      <c r="I1912"/>
      <c r="J1912"/>
      <c r="K1912"/>
      <c r="L1912"/>
      <c r="M1912"/>
      <c r="N1912"/>
      <c r="O1912"/>
      <c r="P1912"/>
      <c r="Q1912"/>
      <c r="R1912"/>
      <c r="S1912"/>
    </row>
    <row r="1913" spans="1:19" ht="15" x14ac:dyDescent="0.2">
      <c r="A1913"/>
      <c r="B1913"/>
      <c r="C1913"/>
      <c r="D1913"/>
      <c r="E1913"/>
      <c r="F1913"/>
      <c r="G1913"/>
      <c r="H1913"/>
      <c r="I1913"/>
      <c r="J1913"/>
      <c r="K1913"/>
      <c r="L1913"/>
      <c r="M1913"/>
      <c r="N1913"/>
      <c r="O1913"/>
      <c r="P1913"/>
      <c r="Q1913"/>
      <c r="R1913"/>
      <c r="S1913"/>
    </row>
    <row r="1914" spans="1:19" ht="15" x14ac:dyDescent="0.2">
      <c r="A1914"/>
      <c r="B1914"/>
      <c r="C1914"/>
      <c r="D1914"/>
      <c r="E1914"/>
      <c r="F1914"/>
      <c r="G1914"/>
      <c r="H1914"/>
      <c r="I1914"/>
      <c r="J1914"/>
      <c r="K1914"/>
      <c r="L1914"/>
      <c r="M1914"/>
      <c r="N1914"/>
      <c r="O1914"/>
      <c r="P1914"/>
      <c r="Q1914"/>
      <c r="R1914"/>
      <c r="S1914"/>
    </row>
    <row r="1915" spans="1:19" ht="15" x14ac:dyDescent="0.2">
      <c r="A1915"/>
      <c r="B1915"/>
      <c r="C1915"/>
      <c r="D1915"/>
      <c r="E1915"/>
      <c r="F1915"/>
      <c r="G1915"/>
      <c r="H1915"/>
      <c r="I1915"/>
      <c r="J1915"/>
      <c r="K1915"/>
      <c r="L1915"/>
      <c r="M1915"/>
      <c r="N1915"/>
      <c r="O1915"/>
      <c r="P1915"/>
      <c r="Q1915"/>
      <c r="R1915"/>
      <c r="S1915"/>
    </row>
    <row r="1916" spans="1:19" ht="15" x14ac:dyDescent="0.2">
      <c r="A1916"/>
      <c r="B1916"/>
      <c r="C1916"/>
      <c r="D1916"/>
      <c r="E1916"/>
      <c r="F1916"/>
      <c r="G1916"/>
      <c r="H1916"/>
      <c r="I1916"/>
      <c r="J1916"/>
      <c r="K1916"/>
      <c r="L1916"/>
      <c r="M1916"/>
      <c r="N1916"/>
      <c r="O1916"/>
      <c r="P1916"/>
      <c r="Q1916"/>
      <c r="R1916"/>
      <c r="S1916"/>
    </row>
    <row r="1917" spans="1:19" ht="15" x14ac:dyDescent="0.2">
      <c r="A1917"/>
      <c r="B1917"/>
      <c r="C1917"/>
      <c r="D1917"/>
      <c r="E1917"/>
      <c r="F1917"/>
      <c r="G1917"/>
      <c r="H1917"/>
      <c r="I1917"/>
      <c r="J1917"/>
      <c r="K1917"/>
      <c r="L1917"/>
      <c r="M1917"/>
      <c r="N1917"/>
      <c r="O1917"/>
      <c r="P1917"/>
      <c r="Q1917"/>
      <c r="R1917"/>
      <c r="S1917"/>
    </row>
    <row r="1918" spans="1:19" ht="15" x14ac:dyDescent="0.2">
      <c r="A1918"/>
      <c r="B1918"/>
      <c r="C1918"/>
      <c r="D1918"/>
      <c r="E1918"/>
      <c r="F1918"/>
      <c r="G1918"/>
      <c r="H1918"/>
      <c r="I1918"/>
      <c r="J1918"/>
      <c r="K1918"/>
      <c r="L1918"/>
      <c r="M1918"/>
      <c r="N1918"/>
      <c r="O1918"/>
      <c r="P1918"/>
      <c r="Q1918"/>
      <c r="R1918"/>
      <c r="S1918"/>
    </row>
    <row r="1919" spans="1:19" ht="15" x14ac:dyDescent="0.2">
      <c r="A1919"/>
      <c r="B1919"/>
      <c r="C1919"/>
      <c r="D1919"/>
      <c r="E1919"/>
      <c r="F1919"/>
      <c r="G1919"/>
      <c r="H1919"/>
      <c r="I1919"/>
      <c r="J1919"/>
      <c r="K1919"/>
      <c r="L1919"/>
      <c r="M1919"/>
      <c r="N1919"/>
      <c r="O1919"/>
      <c r="P1919"/>
      <c r="Q1919"/>
      <c r="R1919"/>
      <c r="S1919"/>
    </row>
    <row r="1920" spans="1:19" ht="15" x14ac:dyDescent="0.2">
      <c r="A1920"/>
      <c r="B1920"/>
      <c r="C1920"/>
      <c r="D1920"/>
      <c r="E1920"/>
      <c r="F1920"/>
      <c r="G1920"/>
      <c r="H1920"/>
      <c r="I1920"/>
      <c r="J1920"/>
      <c r="K1920"/>
      <c r="L1920"/>
      <c r="M1920"/>
      <c r="N1920"/>
      <c r="O1920"/>
      <c r="P1920"/>
      <c r="Q1920"/>
      <c r="R1920"/>
      <c r="S1920"/>
    </row>
    <row r="1921" spans="1:19" ht="15" x14ac:dyDescent="0.2">
      <c r="A1921"/>
      <c r="B1921"/>
      <c r="C1921"/>
      <c r="D1921"/>
      <c r="E1921"/>
      <c r="F1921"/>
      <c r="G1921"/>
      <c r="H1921"/>
      <c r="I1921"/>
      <c r="J1921"/>
      <c r="K1921"/>
      <c r="L1921"/>
      <c r="M1921"/>
      <c r="N1921"/>
      <c r="O1921"/>
      <c r="P1921"/>
      <c r="Q1921"/>
      <c r="R1921"/>
      <c r="S1921"/>
    </row>
    <row r="1922" spans="1:19" ht="15" x14ac:dyDescent="0.2">
      <c r="A1922"/>
      <c r="B1922"/>
      <c r="C1922"/>
      <c r="D1922"/>
      <c r="E1922"/>
      <c r="F1922"/>
      <c r="G1922"/>
      <c r="H1922"/>
      <c r="I1922"/>
      <c r="J1922"/>
      <c r="K1922"/>
      <c r="L1922"/>
      <c r="M1922"/>
      <c r="N1922"/>
      <c r="O1922"/>
      <c r="P1922"/>
      <c r="Q1922"/>
      <c r="R1922"/>
      <c r="S1922"/>
    </row>
    <row r="1923" spans="1:19" ht="15" x14ac:dyDescent="0.2">
      <c r="A1923"/>
      <c r="B1923"/>
      <c r="C1923"/>
      <c r="D1923"/>
      <c r="E1923"/>
      <c r="F1923"/>
      <c r="G1923"/>
      <c r="H1923"/>
      <c r="I1923"/>
      <c r="J1923"/>
      <c r="K1923"/>
      <c r="L1923"/>
      <c r="M1923"/>
      <c r="N1923"/>
      <c r="O1923"/>
      <c r="P1923"/>
      <c r="Q1923"/>
      <c r="R1923"/>
      <c r="S1923"/>
    </row>
    <row r="1924" spans="1:19" ht="15" x14ac:dyDescent="0.2">
      <c r="A1924"/>
      <c r="B1924"/>
      <c r="C1924"/>
      <c r="D1924"/>
      <c r="E1924"/>
      <c r="F1924"/>
      <c r="G1924"/>
      <c r="H1924"/>
      <c r="I1924"/>
      <c r="J1924"/>
      <c r="K1924"/>
      <c r="L1924"/>
      <c r="M1924"/>
      <c r="N1924"/>
      <c r="O1924"/>
      <c r="P1924"/>
      <c r="Q1924"/>
      <c r="R1924"/>
      <c r="S1924"/>
    </row>
    <row r="1925" spans="1:19" ht="15" x14ac:dyDescent="0.2">
      <c r="A1925"/>
      <c r="B1925"/>
      <c r="C1925"/>
      <c r="D1925"/>
      <c r="E1925"/>
      <c r="F1925"/>
      <c r="G1925"/>
      <c r="H1925"/>
      <c r="I1925"/>
      <c r="J1925"/>
      <c r="K1925"/>
      <c r="L1925"/>
      <c r="M1925"/>
      <c r="N1925"/>
      <c r="O1925"/>
      <c r="P1925"/>
      <c r="Q1925"/>
      <c r="R1925"/>
      <c r="S1925"/>
    </row>
    <row r="1926" spans="1:19" ht="15" x14ac:dyDescent="0.2">
      <c r="A1926"/>
      <c r="B1926"/>
      <c r="C1926"/>
      <c r="D1926"/>
      <c r="E1926"/>
      <c r="F1926"/>
      <c r="G1926"/>
      <c r="H1926"/>
      <c r="I1926"/>
      <c r="J1926"/>
      <c r="K1926"/>
      <c r="L1926"/>
      <c r="M1926"/>
      <c r="N1926"/>
      <c r="O1926"/>
      <c r="P1926"/>
      <c r="Q1926"/>
      <c r="R1926"/>
      <c r="S1926"/>
    </row>
    <row r="1927" spans="1:19" ht="15" x14ac:dyDescent="0.2">
      <c r="A1927"/>
      <c r="B1927"/>
      <c r="C1927"/>
      <c r="D1927"/>
      <c r="E1927"/>
      <c r="F1927"/>
      <c r="G1927"/>
      <c r="H1927"/>
      <c r="I1927"/>
      <c r="J1927"/>
      <c r="K1927"/>
      <c r="L1927"/>
      <c r="M1927"/>
      <c r="N1927"/>
      <c r="O1927"/>
      <c r="P1927"/>
      <c r="Q1927"/>
      <c r="R1927"/>
      <c r="S1927"/>
    </row>
    <row r="1928" spans="1:19" ht="15" x14ac:dyDescent="0.2">
      <c r="A1928"/>
      <c r="B1928"/>
      <c r="C1928"/>
      <c r="D1928"/>
      <c r="E1928"/>
      <c r="F1928"/>
      <c r="G1928"/>
      <c r="H1928"/>
      <c r="I1928"/>
      <c r="J1928"/>
      <c r="K1928"/>
      <c r="L1928"/>
      <c r="M1928"/>
      <c r="N1928"/>
      <c r="O1928"/>
      <c r="P1928"/>
      <c r="Q1928"/>
      <c r="R1928"/>
      <c r="S1928"/>
    </row>
    <row r="1929" spans="1:19" ht="15" x14ac:dyDescent="0.2">
      <c r="A1929"/>
      <c r="B1929"/>
      <c r="C1929"/>
      <c r="D1929"/>
      <c r="E1929"/>
      <c r="F1929"/>
      <c r="G1929"/>
      <c r="H1929"/>
      <c r="I1929"/>
      <c r="J1929"/>
      <c r="K1929"/>
      <c r="L1929"/>
      <c r="M1929"/>
      <c r="N1929"/>
      <c r="O1929"/>
      <c r="P1929"/>
      <c r="Q1929"/>
      <c r="R1929"/>
      <c r="S1929"/>
    </row>
    <row r="1930" spans="1:19" ht="15" x14ac:dyDescent="0.2">
      <c r="A1930"/>
      <c r="B1930"/>
      <c r="C1930"/>
      <c r="D1930"/>
      <c r="E1930"/>
      <c r="F1930"/>
      <c r="G1930"/>
      <c r="H1930"/>
      <c r="I1930"/>
      <c r="J1930"/>
      <c r="K1930"/>
      <c r="L1930"/>
      <c r="M1930"/>
      <c r="N1930"/>
      <c r="O1930"/>
      <c r="P1930"/>
      <c r="Q1930"/>
      <c r="R1930"/>
      <c r="S1930"/>
    </row>
    <row r="1931" spans="1:19" ht="15" x14ac:dyDescent="0.2">
      <c r="A1931"/>
      <c r="B1931"/>
      <c r="C1931"/>
      <c r="D1931"/>
      <c r="E1931"/>
      <c r="F1931"/>
      <c r="G1931"/>
      <c r="H1931"/>
      <c r="I1931"/>
      <c r="J1931"/>
      <c r="K1931"/>
      <c r="L1931"/>
      <c r="M1931"/>
      <c r="N1931"/>
      <c r="O1931"/>
      <c r="P1931"/>
      <c r="Q1931"/>
      <c r="R1931"/>
      <c r="S1931"/>
    </row>
    <row r="1932" spans="1:19" ht="15" x14ac:dyDescent="0.2">
      <c r="A1932"/>
      <c r="B1932"/>
      <c r="C1932"/>
      <c r="D1932"/>
      <c r="E1932"/>
      <c r="F1932"/>
      <c r="G1932"/>
      <c r="H1932"/>
      <c r="I1932"/>
      <c r="J1932"/>
      <c r="K1932"/>
      <c r="L1932"/>
      <c r="M1932"/>
      <c r="N1932"/>
      <c r="O1932"/>
      <c r="P1932"/>
      <c r="Q1932"/>
      <c r="R1932"/>
      <c r="S1932"/>
    </row>
    <row r="1933" spans="1:19" ht="15" x14ac:dyDescent="0.2">
      <c r="A1933"/>
      <c r="B1933"/>
      <c r="C1933"/>
      <c r="D1933"/>
      <c r="E1933"/>
      <c r="F1933"/>
      <c r="G1933"/>
      <c r="H1933"/>
      <c r="I1933"/>
      <c r="J1933"/>
      <c r="K1933"/>
      <c r="L1933"/>
      <c r="M1933"/>
      <c r="N1933"/>
      <c r="O1933"/>
      <c r="P1933"/>
      <c r="Q1933"/>
      <c r="R1933"/>
      <c r="S1933"/>
    </row>
    <row r="1934" spans="1:19" ht="15" x14ac:dyDescent="0.2">
      <c r="A1934"/>
      <c r="B1934"/>
      <c r="C1934"/>
      <c r="D1934"/>
      <c r="E1934"/>
      <c r="F1934"/>
      <c r="G1934"/>
      <c r="H1934"/>
      <c r="I1934"/>
      <c r="J1934"/>
      <c r="K1934"/>
      <c r="L1934"/>
      <c r="M1934"/>
      <c r="N1934"/>
      <c r="O1934"/>
      <c r="P1934"/>
      <c r="Q1934"/>
      <c r="R1934"/>
      <c r="S1934"/>
    </row>
    <row r="1935" spans="1:19" ht="15" x14ac:dyDescent="0.2">
      <c r="A1935"/>
      <c r="B1935"/>
      <c r="C1935"/>
      <c r="D1935"/>
      <c r="E1935"/>
      <c r="F1935"/>
      <c r="G1935"/>
      <c r="H1935"/>
      <c r="I1935"/>
      <c r="J1935"/>
      <c r="K1935"/>
      <c r="L1935"/>
      <c r="M1935"/>
      <c r="N1935"/>
      <c r="O1935"/>
      <c r="P1935"/>
      <c r="Q1935"/>
      <c r="R1935"/>
      <c r="S1935"/>
    </row>
    <row r="1936" spans="1:19" ht="15" x14ac:dyDescent="0.2">
      <c r="A1936"/>
      <c r="B1936"/>
      <c r="C1936"/>
      <c r="D1936"/>
      <c r="E1936"/>
      <c r="F1936"/>
      <c r="G1936"/>
      <c r="H1936"/>
      <c r="I1936"/>
      <c r="J1936"/>
      <c r="K1936"/>
      <c r="L1936"/>
      <c r="M1936"/>
      <c r="N1936"/>
      <c r="O1936"/>
      <c r="P1936"/>
      <c r="Q1936"/>
      <c r="R1936"/>
      <c r="S1936"/>
    </row>
    <row r="1937" spans="1:19" ht="15" x14ac:dyDescent="0.2">
      <c r="A1937"/>
      <c r="B1937"/>
      <c r="C1937"/>
      <c r="D1937"/>
      <c r="E1937"/>
      <c r="F1937"/>
      <c r="G1937"/>
      <c r="H1937"/>
      <c r="I1937"/>
      <c r="J1937"/>
      <c r="K1937"/>
      <c r="L1937"/>
      <c r="M1937"/>
      <c r="N1937"/>
      <c r="O1937"/>
      <c r="P1937"/>
      <c r="Q1937"/>
      <c r="R1937"/>
      <c r="S1937"/>
    </row>
    <row r="1938" spans="1:19" ht="15" x14ac:dyDescent="0.2">
      <c r="A1938"/>
      <c r="B1938"/>
      <c r="C1938"/>
      <c r="D1938"/>
      <c r="E1938"/>
      <c r="F1938"/>
      <c r="G1938"/>
      <c r="H1938"/>
      <c r="I1938"/>
      <c r="J1938"/>
      <c r="K1938"/>
      <c r="L1938"/>
      <c r="M1938"/>
      <c r="N1938"/>
      <c r="O1938"/>
      <c r="P1938"/>
      <c r="Q1938"/>
      <c r="R1938"/>
      <c r="S1938"/>
    </row>
    <row r="1939" spans="1:19" ht="15" x14ac:dyDescent="0.2">
      <c r="A1939"/>
      <c r="B1939"/>
      <c r="C1939"/>
      <c r="D1939"/>
      <c r="E1939"/>
      <c r="F1939"/>
      <c r="G1939"/>
      <c r="H1939"/>
      <c r="I1939"/>
      <c r="J1939"/>
      <c r="K1939"/>
      <c r="L1939"/>
      <c r="M1939"/>
      <c r="N1939"/>
      <c r="O1939"/>
      <c r="P1939"/>
      <c r="Q1939"/>
      <c r="R1939"/>
      <c r="S1939"/>
    </row>
    <row r="1940" spans="1:19" ht="15" x14ac:dyDescent="0.2">
      <c r="A1940"/>
      <c r="B1940"/>
      <c r="C1940"/>
      <c r="D1940"/>
      <c r="E1940"/>
      <c r="F1940"/>
      <c r="G1940"/>
      <c r="H1940"/>
      <c r="I1940"/>
      <c r="J1940"/>
      <c r="K1940"/>
      <c r="L1940"/>
      <c r="M1940"/>
      <c r="N1940"/>
      <c r="O1940"/>
      <c r="P1940"/>
      <c r="Q1940"/>
      <c r="R1940"/>
      <c r="S1940"/>
    </row>
    <row r="1941" spans="1:19" ht="15" x14ac:dyDescent="0.2">
      <c r="A1941"/>
      <c r="B1941"/>
      <c r="C1941"/>
      <c r="D1941"/>
      <c r="E1941"/>
      <c r="F1941"/>
      <c r="G1941"/>
      <c r="H1941"/>
      <c r="I1941"/>
      <c r="J1941"/>
      <c r="K1941"/>
      <c r="L1941"/>
      <c r="M1941"/>
      <c r="N1941"/>
      <c r="O1941"/>
      <c r="P1941"/>
      <c r="Q1941"/>
      <c r="R1941"/>
      <c r="S1941"/>
    </row>
    <row r="1942" spans="1:19" ht="15" x14ac:dyDescent="0.2">
      <c r="A1942"/>
      <c r="B1942"/>
      <c r="C1942"/>
      <c r="D1942"/>
      <c r="E1942"/>
      <c r="F1942"/>
      <c r="G1942"/>
      <c r="H1942"/>
      <c r="I1942"/>
      <c r="J1942"/>
      <c r="K1942"/>
      <c r="L1942"/>
      <c r="M1942"/>
      <c r="N1942"/>
      <c r="O1942"/>
      <c r="P1942"/>
      <c r="Q1942"/>
      <c r="R1942"/>
      <c r="S1942"/>
    </row>
    <row r="1943" spans="1:19" ht="15" x14ac:dyDescent="0.2">
      <c r="A1943"/>
      <c r="B1943"/>
      <c r="C1943"/>
      <c r="D1943"/>
      <c r="E1943"/>
      <c r="F1943"/>
      <c r="G1943"/>
      <c r="H1943"/>
      <c r="I1943"/>
      <c r="J1943"/>
      <c r="K1943"/>
      <c r="L1943"/>
      <c r="M1943"/>
      <c r="N1943"/>
      <c r="O1943"/>
      <c r="P1943"/>
      <c r="Q1943"/>
      <c r="R1943"/>
      <c r="S1943"/>
    </row>
    <row r="1944" spans="1:19" ht="15" x14ac:dyDescent="0.2">
      <c r="A1944"/>
      <c r="B1944"/>
      <c r="C1944"/>
      <c r="D1944"/>
      <c r="E1944"/>
      <c r="F1944"/>
      <c r="G1944"/>
      <c r="H1944"/>
      <c r="I1944"/>
      <c r="J1944"/>
      <c r="K1944"/>
      <c r="L1944"/>
      <c r="M1944"/>
      <c r="N1944"/>
      <c r="O1944"/>
      <c r="P1944"/>
      <c r="Q1944"/>
      <c r="R1944"/>
      <c r="S1944"/>
    </row>
    <row r="1945" spans="1:19" ht="15" x14ac:dyDescent="0.2">
      <c r="A1945"/>
      <c r="B1945"/>
      <c r="C1945"/>
      <c r="D1945"/>
      <c r="E1945"/>
      <c r="F1945"/>
      <c r="G1945"/>
      <c r="H1945"/>
      <c r="I1945"/>
      <c r="J1945"/>
      <c r="K1945"/>
      <c r="L1945"/>
      <c r="M1945"/>
      <c r="N1945"/>
      <c r="O1945"/>
      <c r="P1945"/>
      <c r="Q1945"/>
      <c r="R1945"/>
      <c r="S1945"/>
    </row>
    <row r="1946" spans="1:19" ht="15" x14ac:dyDescent="0.2">
      <c r="A1946"/>
      <c r="B1946"/>
      <c r="C1946"/>
      <c r="D1946"/>
      <c r="E1946"/>
      <c r="F1946"/>
      <c r="G1946"/>
      <c r="H1946"/>
      <c r="I1946"/>
      <c r="J1946"/>
      <c r="K1946"/>
      <c r="L1946"/>
      <c r="M1946"/>
      <c r="N1946"/>
      <c r="O1946"/>
      <c r="P1946"/>
      <c r="Q1946"/>
      <c r="R1946"/>
      <c r="S1946"/>
    </row>
    <row r="1947" spans="1:19" ht="15" x14ac:dyDescent="0.2">
      <c r="A1947"/>
      <c r="B1947"/>
      <c r="C1947"/>
      <c r="D1947"/>
      <c r="E1947"/>
      <c r="F1947"/>
      <c r="G1947"/>
      <c r="H1947"/>
      <c r="I1947"/>
      <c r="J1947"/>
      <c r="K1947"/>
      <c r="L1947"/>
      <c r="M1947"/>
      <c r="N1947"/>
      <c r="O1947"/>
      <c r="P1947"/>
      <c r="Q1947"/>
      <c r="R1947"/>
      <c r="S1947"/>
    </row>
    <row r="1948" spans="1:19" ht="15" x14ac:dyDescent="0.2">
      <c r="A1948"/>
      <c r="B1948"/>
      <c r="C1948"/>
      <c r="D1948"/>
      <c r="E1948"/>
      <c r="F1948"/>
      <c r="G1948"/>
      <c r="H1948"/>
      <c r="I1948"/>
      <c r="J1948"/>
      <c r="K1948"/>
      <c r="L1948"/>
      <c r="M1948"/>
      <c r="N1948"/>
      <c r="O1948"/>
      <c r="P1948"/>
      <c r="Q1948"/>
      <c r="R1948"/>
      <c r="S1948"/>
    </row>
    <row r="1949" spans="1:19" ht="15" x14ac:dyDescent="0.2">
      <c r="A1949"/>
      <c r="B1949"/>
      <c r="C1949"/>
      <c r="D1949"/>
      <c r="E1949"/>
      <c r="F1949"/>
      <c r="G1949"/>
      <c r="H1949"/>
      <c r="I1949"/>
      <c r="J1949"/>
      <c r="K1949"/>
      <c r="L1949"/>
      <c r="M1949"/>
      <c r="N1949"/>
      <c r="O1949"/>
      <c r="P1949"/>
      <c r="Q1949"/>
      <c r="R1949"/>
      <c r="S1949"/>
    </row>
    <row r="1950" spans="1:19" ht="15" x14ac:dyDescent="0.2">
      <c r="A1950"/>
      <c r="B1950"/>
      <c r="C1950"/>
      <c r="D1950"/>
      <c r="E1950"/>
      <c r="F1950"/>
      <c r="G1950"/>
      <c r="H1950"/>
      <c r="I1950"/>
      <c r="J1950"/>
      <c r="K1950"/>
      <c r="L1950"/>
      <c r="M1950"/>
      <c r="N1950"/>
      <c r="O1950"/>
      <c r="P1950"/>
      <c r="Q1950"/>
      <c r="R1950"/>
      <c r="S1950"/>
    </row>
    <row r="1951" spans="1:19" ht="15" x14ac:dyDescent="0.2">
      <c r="A1951"/>
      <c r="B1951"/>
      <c r="C1951"/>
      <c r="D1951"/>
      <c r="E1951"/>
      <c r="F1951"/>
      <c r="G1951"/>
      <c r="H1951"/>
      <c r="I1951"/>
      <c r="J1951"/>
      <c r="K1951"/>
      <c r="L1951"/>
      <c r="M1951"/>
      <c r="N1951"/>
      <c r="O1951"/>
      <c r="P1951"/>
      <c r="Q1951"/>
      <c r="R1951"/>
      <c r="S1951"/>
    </row>
    <row r="1952" spans="1:19" ht="15" x14ac:dyDescent="0.2">
      <c r="A1952"/>
      <c r="B1952"/>
      <c r="C1952"/>
      <c r="D1952"/>
      <c r="E1952"/>
      <c r="F1952"/>
      <c r="G1952"/>
      <c r="H1952"/>
      <c r="I1952"/>
      <c r="J1952"/>
      <c r="K1952"/>
      <c r="L1952"/>
      <c r="M1952"/>
      <c r="N1952"/>
      <c r="O1952"/>
      <c r="P1952"/>
      <c r="Q1952"/>
      <c r="R1952"/>
      <c r="S1952"/>
    </row>
    <row r="1953" spans="1:19" ht="15" x14ac:dyDescent="0.2">
      <c r="A1953"/>
      <c r="B1953"/>
      <c r="C1953"/>
      <c r="D1953"/>
      <c r="E1953"/>
      <c r="F1953"/>
      <c r="G1953"/>
      <c r="H1953"/>
      <c r="I1953"/>
      <c r="J1953"/>
      <c r="K1953"/>
      <c r="L1953"/>
      <c r="M1953"/>
      <c r="N1953"/>
      <c r="O1953"/>
      <c r="P1953"/>
      <c r="Q1953"/>
      <c r="R1953"/>
      <c r="S1953"/>
    </row>
    <row r="1954" spans="1:19" ht="15" x14ac:dyDescent="0.2">
      <c r="A1954"/>
      <c r="B1954"/>
      <c r="C1954"/>
      <c r="D1954"/>
      <c r="E1954"/>
      <c r="F1954"/>
      <c r="G1954"/>
      <c r="H1954"/>
      <c r="I1954"/>
      <c r="J1954"/>
      <c r="K1954"/>
      <c r="L1954"/>
      <c r="M1954"/>
      <c r="N1954"/>
      <c r="O1954"/>
      <c r="P1954"/>
      <c r="Q1954"/>
      <c r="R1954"/>
      <c r="S1954"/>
    </row>
    <row r="1955" spans="1:19" ht="15" x14ac:dyDescent="0.2">
      <c r="A1955"/>
      <c r="B1955"/>
      <c r="C1955"/>
      <c r="D1955"/>
      <c r="E1955"/>
      <c r="F1955"/>
      <c r="G1955"/>
      <c r="H1955"/>
      <c r="I1955"/>
      <c r="J1955"/>
      <c r="K1955"/>
      <c r="L1955"/>
      <c r="M1955"/>
      <c r="N1955"/>
      <c r="O1955"/>
      <c r="P1955"/>
      <c r="Q1955"/>
      <c r="R1955"/>
      <c r="S1955"/>
    </row>
    <row r="1956" spans="1:19" ht="15" x14ac:dyDescent="0.2">
      <c r="A1956"/>
      <c r="B1956"/>
      <c r="C1956"/>
      <c r="D1956"/>
      <c r="E1956"/>
      <c r="F1956"/>
      <c r="G1956"/>
      <c r="H1956"/>
      <c r="I1956"/>
      <c r="J1956"/>
      <c r="K1956"/>
      <c r="L1956"/>
      <c r="M1956"/>
      <c r="N1956"/>
      <c r="O1956"/>
      <c r="P1956"/>
      <c r="Q1956"/>
      <c r="R1956"/>
      <c r="S1956"/>
    </row>
    <row r="1957" spans="1:19" ht="15" x14ac:dyDescent="0.2">
      <c r="A1957"/>
      <c r="B1957"/>
      <c r="C1957"/>
      <c r="D1957"/>
      <c r="E1957"/>
      <c r="F1957"/>
      <c r="G1957"/>
      <c r="H1957"/>
      <c r="I1957"/>
      <c r="J1957"/>
      <c r="K1957"/>
      <c r="L1957"/>
      <c r="M1957"/>
      <c r="N1957"/>
      <c r="O1957"/>
      <c r="P1957"/>
      <c r="Q1957"/>
      <c r="R1957"/>
      <c r="S1957"/>
    </row>
    <row r="1958" spans="1:19" ht="15" x14ac:dyDescent="0.2">
      <c r="A1958"/>
      <c r="B1958"/>
      <c r="C1958"/>
      <c r="D1958"/>
      <c r="E1958"/>
      <c r="F1958"/>
      <c r="G1958"/>
      <c r="H1958"/>
      <c r="I1958"/>
      <c r="J1958"/>
      <c r="K1958"/>
      <c r="L1958"/>
      <c r="M1958"/>
      <c r="N1958"/>
      <c r="O1958"/>
      <c r="P1958"/>
      <c r="Q1958"/>
      <c r="R1958"/>
      <c r="S1958"/>
    </row>
    <row r="1959" spans="1:19" ht="15" x14ac:dyDescent="0.2">
      <c r="A1959"/>
      <c r="B1959"/>
      <c r="C1959"/>
      <c r="D1959"/>
      <c r="E1959"/>
      <c r="F1959"/>
      <c r="G1959"/>
      <c r="H1959"/>
      <c r="I1959"/>
      <c r="J1959"/>
      <c r="K1959"/>
      <c r="L1959"/>
      <c r="M1959"/>
      <c r="N1959"/>
      <c r="O1959"/>
      <c r="P1959"/>
      <c r="Q1959"/>
      <c r="R1959"/>
      <c r="S1959"/>
    </row>
    <row r="1960" spans="1:19" ht="15" x14ac:dyDescent="0.2">
      <c r="A1960"/>
      <c r="B1960"/>
      <c r="C1960"/>
      <c r="D1960"/>
      <c r="E1960"/>
      <c r="F1960"/>
      <c r="G1960"/>
      <c r="H1960"/>
      <c r="I1960"/>
      <c r="J1960"/>
      <c r="K1960"/>
      <c r="L1960"/>
      <c r="M1960"/>
      <c r="N1960"/>
      <c r="O1960"/>
      <c r="P1960"/>
      <c r="Q1960"/>
      <c r="R1960"/>
      <c r="S1960"/>
    </row>
    <row r="1961" spans="1:19" ht="15" x14ac:dyDescent="0.2">
      <c r="A1961"/>
      <c r="B1961"/>
      <c r="C1961"/>
      <c r="D1961"/>
      <c r="E1961"/>
      <c r="F1961"/>
      <c r="G1961"/>
      <c r="H1961"/>
      <c r="I1961"/>
      <c r="J1961"/>
      <c r="K1961"/>
      <c r="L1961"/>
      <c r="M1961"/>
      <c r="N1961"/>
      <c r="O1961"/>
      <c r="P1961"/>
      <c r="Q1961"/>
      <c r="R1961"/>
      <c r="S1961"/>
    </row>
    <row r="1962" spans="1:19" ht="15" x14ac:dyDescent="0.2">
      <c r="A1962"/>
      <c r="B1962"/>
      <c r="C1962"/>
      <c r="D1962"/>
      <c r="E1962"/>
      <c r="F1962"/>
      <c r="G1962"/>
      <c r="H1962"/>
      <c r="I1962"/>
      <c r="J1962"/>
      <c r="K1962"/>
      <c r="L1962"/>
      <c r="M1962"/>
      <c r="N1962"/>
      <c r="O1962"/>
      <c r="P1962"/>
      <c r="Q1962"/>
      <c r="R1962"/>
      <c r="S1962"/>
    </row>
    <row r="1963" spans="1:19" ht="15" x14ac:dyDescent="0.2">
      <c r="A1963"/>
      <c r="B1963"/>
      <c r="C1963"/>
      <c r="D1963"/>
      <c r="E1963"/>
      <c r="F1963"/>
      <c r="G1963"/>
      <c r="H1963"/>
      <c r="I1963"/>
      <c r="J1963"/>
      <c r="K1963"/>
      <c r="L1963"/>
      <c r="M1963"/>
      <c r="N1963"/>
      <c r="O1963"/>
      <c r="P1963"/>
      <c r="Q1963"/>
      <c r="R1963"/>
      <c r="S1963"/>
    </row>
    <row r="1964" spans="1:19" ht="15" x14ac:dyDescent="0.2">
      <c r="A1964"/>
      <c r="B1964"/>
      <c r="C1964"/>
      <c r="D1964"/>
      <c r="E1964"/>
      <c r="F1964"/>
      <c r="G1964"/>
      <c r="H1964"/>
      <c r="I1964"/>
      <c r="J1964"/>
      <c r="K1964"/>
      <c r="L1964"/>
      <c r="M1964"/>
      <c r="N1964"/>
      <c r="O1964"/>
      <c r="P1964"/>
      <c r="Q1964"/>
      <c r="R1964"/>
      <c r="S1964"/>
    </row>
    <row r="1965" spans="1:19" ht="15" x14ac:dyDescent="0.2">
      <c r="A1965"/>
      <c r="B1965"/>
      <c r="C1965"/>
      <c r="D1965"/>
      <c r="E1965"/>
      <c r="F1965"/>
      <c r="G1965"/>
      <c r="H1965"/>
      <c r="I1965"/>
      <c r="J1965"/>
      <c r="K1965"/>
      <c r="L1965"/>
      <c r="M1965"/>
      <c r="N1965"/>
      <c r="O1965"/>
      <c r="P1965"/>
      <c r="Q1965"/>
      <c r="R1965"/>
      <c r="S1965"/>
    </row>
    <row r="1966" spans="1:19" ht="15" x14ac:dyDescent="0.2">
      <c r="A1966"/>
      <c r="B1966"/>
      <c r="C1966"/>
      <c r="D1966"/>
      <c r="E1966"/>
      <c r="F1966"/>
      <c r="G1966"/>
      <c r="H1966"/>
      <c r="I1966"/>
      <c r="J1966"/>
      <c r="K1966"/>
      <c r="L1966"/>
      <c r="M1966"/>
      <c r="N1966"/>
      <c r="O1966"/>
      <c r="P1966"/>
      <c r="Q1966"/>
      <c r="R1966"/>
      <c r="S1966"/>
    </row>
    <row r="1967" spans="1:19" ht="15" x14ac:dyDescent="0.2">
      <c r="A1967"/>
      <c r="B1967"/>
      <c r="C1967"/>
      <c r="D1967"/>
      <c r="E1967"/>
      <c r="F1967"/>
      <c r="G1967"/>
      <c r="H1967"/>
      <c r="I1967"/>
      <c r="J1967"/>
      <c r="K1967"/>
      <c r="L1967"/>
      <c r="M1967"/>
      <c r="N1967"/>
      <c r="O1967"/>
      <c r="P1967"/>
      <c r="Q1967"/>
      <c r="R1967"/>
      <c r="S1967"/>
    </row>
    <row r="1968" spans="1:19" ht="15" x14ac:dyDescent="0.2">
      <c r="A1968"/>
      <c r="B1968"/>
      <c r="C1968"/>
      <c r="D1968"/>
      <c r="E1968"/>
      <c r="F1968"/>
      <c r="G1968"/>
      <c r="H1968"/>
      <c r="I1968"/>
      <c r="J1968"/>
      <c r="K1968"/>
      <c r="L1968"/>
      <c r="M1968"/>
      <c r="N1968"/>
      <c r="O1968"/>
      <c r="P1968"/>
      <c r="Q1968"/>
      <c r="R1968"/>
      <c r="S1968"/>
    </row>
    <row r="1969" spans="1:19" ht="15" x14ac:dyDescent="0.2">
      <c r="A1969"/>
      <c r="B1969"/>
      <c r="C1969"/>
      <c r="D1969"/>
      <c r="E1969"/>
      <c r="F1969"/>
      <c r="G1969"/>
      <c r="H1969"/>
      <c r="I1969"/>
      <c r="J1969"/>
      <c r="K1969"/>
      <c r="L1969"/>
      <c r="M1969"/>
      <c r="N1969"/>
      <c r="O1969"/>
      <c r="P1969"/>
      <c r="Q1969"/>
      <c r="R1969"/>
      <c r="S1969"/>
    </row>
    <row r="1970" spans="1:19" ht="15" x14ac:dyDescent="0.2">
      <c r="A1970"/>
      <c r="B1970"/>
      <c r="C1970"/>
      <c r="D1970"/>
      <c r="E1970"/>
      <c r="F1970"/>
      <c r="G1970"/>
      <c r="H1970"/>
      <c r="I1970"/>
      <c r="J1970"/>
      <c r="K1970"/>
      <c r="L1970"/>
      <c r="M1970"/>
      <c r="N1970"/>
      <c r="O1970"/>
      <c r="P1970"/>
      <c r="Q1970"/>
      <c r="R1970"/>
      <c r="S1970"/>
    </row>
    <row r="1971" spans="1:19" ht="15" x14ac:dyDescent="0.2">
      <c r="A1971"/>
      <c r="B1971"/>
      <c r="C1971"/>
      <c r="D1971"/>
      <c r="E1971"/>
      <c r="F1971"/>
      <c r="G1971"/>
      <c r="H1971"/>
      <c r="I1971"/>
      <c r="J1971"/>
      <c r="K1971"/>
      <c r="L1971"/>
      <c r="M1971"/>
      <c r="N1971"/>
      <c r="O1971"/>
      <c r="P1971"/>
      <c r="Q1971"/>
      <c r="R1971"/>
      <c r="S1971"/>
    </row>
    <row r="1972" spans="1:19" ht="15" x14ac:dyDescent="0.2">
      <c r="A1972"/>
      <c r="B1972"/>
      <c r="C1972"/>
      <c r="D1972"/>
      <c r="E1972"/>
      <c r="F1972"/>
      <c r="G1972"/>
      <c r="H1972"/>
      <c r="I1972"/>
      <c r="J1972"/>
      <c r="K1972"/>
      <c r="L1972"/>
      <c r="M1972"/>
      <c r="N1972"/>
      <c r="O1972"/>
      <c r="P1972"/>
      <c r="Q1972"/>
      <c r="R1972"/>
      <c r="S1972"/>
    </row>
    <row r="1973" spans="1:19" ht="15" x14ac:dyDescent="0.2">
      <c r="A1973"/>
      <c r="B1973"/>
      <c r="C1973"/>
      <c r="D1973"/>
      <c r="E1973"/>
      <c r="F1973"/>
      <c r="G1973"/>
      <c r="H1973"/>
      <c r="I1973"/>
      <c r="J1973"/>
      <c r="K1973"/>
      <c r="L1973"/>
      <c r="M1973"/>
      <c r="N1973"/>
      <c r="O1973"/>
      <c r="P1973"/>
      <c r="Q1973"/>
      <c r="R1973"/>
      <c r="S1973"/>
    </row>
    <row r="1974" spans="1:19" ht="15" x14ac:dyDescent="0.2">
      <c r="A1974"/>
      <c r="B1974"/>
      <c r="C1974"/>
      <c r="D1974"/>
      <c r="E1974"/>
      <c r="F1974"/>
      <c r="G1974"/>
      <c r="H1974"/>
      <c r="I1974"/>
      <c r="J1974"/>
      <c r="K1974"/>
      <c r="L1974"/>
      <c r="M1974"/>
      <c r="N1974"/>
      <c r="O1974"/>
      <c r="P1974"/>
      <c r="Q1974"/>
      <c r="R1974"/>
      <c r="S1974"/>
    </row>
    <row r="1975" spans="1:19" ht="15" x14ac:dyDescent="0.2">
      <c r="A1975"/>
      <c r="B1975"/>
      <c r="C1975"/>
      <c r="D1975"/>
      <c r="E1975"/>
      <c r="F1975"/>
      <c r="G1975"/>
      <c r="H1975"/>
      <c r="I1975"/>
      <c r="J1975"/>
      <c r="K1975"/>
      <c r="L1975"/>
      <c r="M1975"/>
      <c r="N1975"/>
      <c r="O1975"/>
      <c r="P1975"/>
      <c r="Q1975"/>
      <c r="R1975"/>
      <c r="S1975"/>
    </row>
    <row r="1976" spans="1:19" ht="15" x14ac:dyDescent="0.2">
      <c r="A1976"/>
      <c r="B1976"/>
      <c r="C1976"/>
      <c r="D1976"/>
      <c r="E1976"/>
      <c r="F1976"/>
      <c r="G1976"/>
      <c r="H1976"/>
      <c r="I1976"/>
      <c r="J1976"/>
      <c r="K1976"/>
      <c r="L1976"/>
      <c r="M1976"/>
      <c r="N1976"/>
      <c r="O1976"/>
      <c r="P1976"/>
      <c r="Q1976"/>
      <c r="R1976"/>
      <c r="S1976"/>
    </row>
    <row r="1977" spans="1:19" ht="15" x14ac:dyDescent="0.2">
      <c r="A1977"/>
      <c r="B1977"/>
      <c r="C1977"/>
      <c r="D1977"/>
      <c r="E1977"/>
      <c r="F1977"/>
      <c r="G1977"/>
      <c r="H1977"/>
      <c r="I1977"/>
      <c r="J1977"/>
      <c r="K1977"/>
      <c r="L1977"/>
      <c r="M1977"/>
      <c r="N1977"/>
      <c r="O1977"/>
      <c r="P1977"/>
      <c r="Q1977"/>
      <c r="R1977"/>
      <c r="S1977"/>
    </row>
    <row r="1978" spans="1:19" ht="15" x14ac:dyDescent="0.2">
      <c r="A1978"/>
      <c r="B1978"/>
      <c r="C1978"/>
      <c r="D1978"/>
      <c r="E1978"/>
      <c r="F1978"/>
      <c r="G1978"/>
      <c r="H1978"/>
      <c r="I1978"/>
      <c r="J1978"/>
      <c r="K1978"/>
      <c r="L1978"/>
      <c r="M1978"/>
      <c r="N1978"/>
      <c r="O1978"/>
      <c r="P1978"/>
      <c r="Q1978"/>
      <c r="R1978"/>
      <c r="S1978"/>
    </row>
    <row r="1979" spans="1:19" ht="15" x14ac:dyDescent="0.2">
      <c r="A1979"/>
      <c r="B1979"/>
      <c r="C1979"/>
      <c r="D1979"/>
      <c r="E1979"/>
      <c r="F1979"/>
      <c r="G1979"/>
      <c r="H1979"/>
      <c r="I1979"/>
      <c r="J1979"/>
      <c r="K1979"/>
      <c r="L1979"/>
      <c r="M1979"/>
      <c r="N1979"/>
      <c r="O1979"/>
      <c r="P1979"/>
      <c r="Q1979"/>
      <c r="R1979"/>
      <c r="S1979"/>
    </row>
    <row r="1980" spans="1:19" ht="15" x14ac:dyDescent="0.2">
      <c r="A1980"/>
      <c r="B1980"/>
      <c r="C1980"/>
      <c r="D1980"/>
      <c r="E1980"/>
      <c r="F1980"/>
      <c r="G1980"/>
      <c r="H1980"/>
      <c r="I1980"/>
      <c r="J1980"/>
      <c r="K1980"/>
      <c r="L1980"/>
      <c r="M1980"/>
      <c r="N1980"/>
      <c r="O1980"/>
      <c r="P1980"/>
      <c r="Q1980"/>
      <c r="R1980"/>
      <c r="S1980"/>
    </row>
    <row r="1981" spans="1:19" ht="15" x14ac:dyDescent="0.2">
      <c r="A1981"/>
      <c r="B1981"/>
      <c r="C1981"/>
      <c r="D1981"/>
      <c r="E1981"/>
      <c r="F1981"/>
      <c r="G1981"/>
      <c r="H1981"/>
      <c r="I1981"/>
      <c r="J1981"/>
      <c r="K1981"/>
      <c r="L1981"/>
      <c r="M1981"/>
      <c r="N1981"/>
      <c r="O1981"/>
      <c r="P1981"/>
      <c r="Q1981"/>
      <c r="R1981"/>
      <c r="S1981"/>
    </row>
    <row r="1982" spans="1:19" ht="15" x14ac:dyDescent="0.2">
      <c r="A1982"/>
      <c r="B1982"/>
      <c r="C1982"/>
      <c r="D1982"/>
      <c r="E1982"/>
      <c r="F1982"/>
      <c r="G1982"/>
      <c r="H1982"/>
      <c r="I1982"/>
      <c r="J1982"/>
      <c r="K1982"/>
      <c r="L1982"/>
      <c r="M1982"/>
      <c r="N1982"/>
      <c r="O1982"/>
      <c r="P1982"/>
      <c r="Q1982"/>
      <c r="R1982"/>
      <c r="S1982"/>
    </row>
    <row r="1983" spans="1:19" ht="15" x14ac:dyDescent="0.2">
      <c r="A1983"/>
      <c r="B1983"/>
      <c r="C1983"/>
      <c r="D1983"/>
      <c r="E1983"/>
      <c r="F1983"/>
      <c r="G1983"/>
      <c r="H1983"/>
      <c r="I1983"/>
      <c r="J1983"/>
      <c r="K1983"/>
      <c r="L1983"/>
      <c r="M1983"/>
      <c r="N1983"/>
      <c r="O1983"/>
      <c r="P1983"/>
      <c r="Q1983"/>
      <c r="R1983"/>
      <c r="S1983"/>
    </row>
    <row r="1984" spans="1:19" ht="15" x14ac:dyDescent="0.2">
      <c r="A1984"/>
      <c r="B1984"/>
      <c r="C1984"/>
      <c r="D1984"/>
      <c r="E1984"/>
      <c r="F1984"/>
      <c r="G1984"/>
      <c r="H1984"/>
      <c r="I1984"/>
      <c r="J1984"/>
      <c r="K1984"/>
      <c r="L1984"/>
      <c r="M1984"/>
      <c r="N1984"/>
      <c r="O1984"/>
      <c r="P1984"/>
      <c r="Q1984"/>
      <c r="R1984"/>
      <c r="S1984"/>
    </row>
    <row r="1985" spans="1:19" ht="15" x14ac:dyDescent="0.2">
      <c r="A1985"/>
      <c r="B1985"/>
      <c r="C1985"/>
      <c r="D1985"/>
      <c r="E1985"/>
      <c r="F1985"/>
      <c r="G1985"/>
      <c r="H1985"/>
      <c r="I1985"/>
      <c r="J1985"/>
      <c r="K1985"/>
      <c r="L1985"/>
      <c r="M1985"/>
      <c r="N1985"/>
      <c r="O1985"/>
      <c r="P1985"/>
      <c r="Q1985"/>
      <c r="R1985"/>
      <c r="S1985"/>
    </row>
    <row r="1986" spans="1:19" ht="15" x14ac:dyDescent="0.2">
      <c r="A1986"/>
      <c r="B1986"/>
      <c r="C1986"/>
      <c r="D1986"/>
      <c r="E1986"/>
      <c r="F1986"/>
      <c r="G1986"/>
      <c r="H1986"/>
      <c r="I1986"/>
      <c r="J1986"/>
      <c r="K1986"/>
      <c r="L1986"/>
      <c r="M1986"/>
      <c r="N1986"/>
      <c r="O1986"/>
      <c r="P1986"/>
      <c r="Q1986"/>
      <c r="R1986"/>
      <c r="S1986"/>
    </row>
    <row r="1987" spans="1:19" ht="15" x14ac:dyDescent="0.2">
      <c r="A1987"/>
      <c r="B1987"/>
      <c r="C1987"/>
      <c r="D1987"/>
      <c r="E1987"/>
      <c r="F1987"/>
      <c r="G1987"/>
      <c r="H1987"/>
      <c r="I1987"/>
      <c r="J1987"/>
      <c r="K1987"/>
      <c r="L1987"/>
      <c r="M1987"/>
      <c r="N1987"/>
      <c r="O1987"/>
      <c r="P1987"/>
      <c r="Q1987"/>
      <c r="R1987"/>
      <c r="S1987"/>
    </row>
    <row r="1988" spans="1:19" ht="15" x14ac:dyDescent="0.2">
      <c r="A1988"/>
      <c r="B1988"/>
      <c r="C1988"/>
      <c r="D1988"/>
      <c r="E1988"/>
      <c r="F1988"/>
      <c r="G1988"/>
      <c r="H1988"/>
      <c r="I1988"/>
      <c r="J1988"/>
      <c r="K1988"/>
      <c r="L1988"/>
      <c r="M1988"/>
      <c r="N1988"/>
      <c r="O1988"/>
      <c r="P1988"/>
      <c r="Q1988"/>
      <c r="R1988"/>
      <c r="S1988"/>
    </row>
    <row r="1989" spans="1:19" ht="15" x14ac:dyDescent="0.2">
      <c r="A1989"/>
      <c r="B1989"/>
      <c r="C1989"/>
      <c r="D1989"/>
      <c r="E1989"/>
      <c r="F1989"/>
      <c r="G1989"/>
      <c r="H1989"/>
      <c r="I1989"/>
      <c r="J1989"/>
      <c r="K1989"/>
      <c r="L1989"/>
      <c r="M1989"/>
      <c r="N1989"/>
      <c r="O1989"/>
      <c r="P1989"/>
      <c r="Q1989"/>
      <c r="R1989"/>
      <c r="S1989"/>
    </row>
    <row r="1990" spans="1:19" ht="15" x14ac:dyDescent="0.2">
      <c r="A1990"/>
      <c r="B1990"/>
      <c r="C1990"/>
      <c r="D1990"/>
      <c r="E1990"/>
      <c r="F1990"/>
      <c r="G1990"/>
      <c r="H1990"/>
      <c r="I1990"/>
      <c r="J1990"/>
      <c r="K1990"/>
      <c r="L1990"/>
      <c r="M1990"/>
      <c r="N1990"/>
      <c r="O1990"/>
      <c r="P1990"/>
      <c r="Q1990"/>
      <c r="R1990"/>
      <c r="S1990"/>
    </row>
    <row r="1991" spans="1:19" ht="15" x14ac:dyDescent="0.2">
      <c r="A1991"/>
      <c r="B1991"/>
      <c r="C1991"/>
      <c r="D1991"/>
      <c r="E1991"/>
      <c r="F1991"/>
      <c r="G1991"/>
      <c r="H1991"/>
      <c r="I1991"/>
      <c r="J1991"/>
      <c r="K1991"/>
      <c r="L1991"/>
      <c r="M1991"/>
      <c r="N1991"/>
      <c r="O1991"/>
      <c r="P1991"/>
      <c r="Q1991"/>
      <c r="R1991"/>
      <c r="S1991"/>
    </row>
    <row r="1992" spans="1:19" ht="15" x14ac:dyDescent="0.2">
      <c r="A1992"/>
      <c r="B1992"/>
      <c r="C1992"/>
      <c r="D1992"/>
      <c r="E1992"/>
      <c r="F1992"/>
      <c r="G1992"/>
      <c r="H1992"/>
      <c r="I1992"/>
      <c r="J1992"/>
      <c r="K1992"/>
      <c r="L1992"/>
      <c r="M1992"/>
      <c r="N1992"/>
      <c r="O1992"/>
      <c r="P1992"/>
      <c r="Q1992"/>
      <c r="R1992"/>
      <c r="S1992"/>
    </row>
    <row r="1993" spans="1:19" ht="15" x14ac:dyDescent="0.2">
      <c r="A1993"/>
      <c r="B1993"/>
      <c r="C1993"/>
      <c r="D1993"/>
      <c r="E1993"/>
      <c r="F1993"/>
      <c r="G1993"/>
      <c r="H1993"/>
      <c r="I1993"/>
      <c r="J1993"/>
      <c r="K1993"/>
      <c r="L1993"/>
      <c r="M1993"/>
      <c r="N1993"/>
      <c r="O1993"/>
      <c r="P1993"/>
      <c r="Q1993"/>
      <c r="R1993"/>
      <c r="S1993"/>
    </row>
    <row r="1994" spans="1:19" ht="15" x14ac:dyDescent="0.2">
      <c r="A1994"/>
      <c r="B1994"/>
      <c r="C1994"/>
      <c r="D1994"/>
      <c r="E1994"/>
      <c r="F1994"/>
      <c r="G1994"/>
      <c r="H1994"/>
      <c r="I1994"/>
      <c r="J1994"/>
      <c r="K1994"/>
      <c r="L1994"/>
      <c r="M1994"/>
      <c r="N1994"/>
      <c r="O1994"/>
      <c r="P1994"/>
      <c r="Q1994"/>
      <c r="R1994"/>
      <c r="S1994"/>
    </row>
    <row r="1995" spans="1:19" ht="15" x14ac:dyDescent="0.2">
      <c r="A1995"/>
      <c r="B1995"/>
      <c r="C1995"/>
      <c r="D1995"/>
      <c r="E1995"/>
      <c r="F1995"/>
      <c r="G1995"/>
      <c r="H1995"/>
      <c r="I1995"/>
      <c r="J1995"/>
      <c r="K1995"/>
      <c r="L1995"/>
      <c r="M1995"/>
      <c r="N1995"/>
      <c r="O1995"/>
      <c r="P1995"/>
      <c r="Q1995"/>
      <c r="R1995"/>
      <c r="S1995"/>
    </row>
    <row r="1996" spans="1:19" ht="15" x14ac:dyDescent="0.2">
      <c r="A1996"/>
      <c r="B1996"/>
      <c r="C1996"/>
      <c r="D1996"/>
      <c r="E1996"/>
      <c r="F1996"/>
      <c r="G1996"/>
      <c r="H1996"/>
      <c r="I1996"/>
      <c r="J1996"/>
      <c r="K1996"/>
      <c r="L1996"/>
      <c r="M1996"/>
      <c r="N1996"/>
      <c r="O1996"/>
      <c r="P1996"/>
      <c r="Q1996"/>
      <c r="R1996"/>
      <c r="S1996"/>
    </row>
    <row r="1997" spans="1:19" ht="15" x14ac:dyDescent="0.2">
      <c r="A1997"/>
      <c r="B1997"/>
      <c r="C1997"/>
      <c r="D1997"/>
      <c r="E1997"/>
      <c r="F1997"/>
      <c r="G1997"/>
      <c r="H1997"/>
      <c r="I1997"/>
      <c r="J1997"/>
      <c r="K1997"/>
      <c r="L1997"/>
      <c r="M1997"/>
      <c r="N1997"/>
      <c r="O1997"/>
      <c r="P1997"/>
      <c r="Q1997"/>
      <c r="R1997"/>
      <c r="S1997"/>
    </row>
    <row r="1998" spans="1:19" ht="15" x14ac:dyDescent="0.2">
      <c r="A1998"/>
      <c r="B1998"/>
      <c r="C1998"/>
      <c r="D1998"/>
      <c r="E1998"/>
      <c r="F1998"/>
      <c r="G1998"/>
      <c r="H1998"/>
      <c r="I1998"/>
      <c r="J1998"/>
      <c r="K1998"/>
      <c r="L1998"/>
      <c r="M1998"/>
      <c r="N1998"/>
      <c r="O1998"/>
      <c r="P1998"/>
      <c r="Q1998"/>
      <c r="R1998"/>
      <c r="S1998"/>
    </row>
    <row r="1999" spans="1:19" ht="15" x14ac:dyDescent="0.2">
      <c r="A1999"/>
      <c r="B1999"/>
      <c r="C1999"/>
      <c r="D1999"/>
      <c r="E1999"/>
      <c r="F1999"/>
      <c r="G1999"/>
      <c r="H1999"/>
      <c r="I1999"/>
      <c r="J1999"/>
      <c r="K1999"/>
      <c r="L1999"/>
      <c r="M1999"/>
      <c r="N1999"/>
      <c r="O1999"/>
      <c r="P1999"/>
      <c r="Q1999"/>
      <c r="R1999"/>
      <c r="S1999"/>
    </row>
    <row r="2000" spans="1:19" ht="15" x14ac:dyDescent="0.2">
      <c r="A2000"/>
      <c r="B2000"/>
      <c r="C2000"/>
      <c r="D2000"/>
      <c r="E2000"/>
      <c r="F2000"/>
      <c r="G2000"/>
      <c r="H2000"/>
      <c r="I2000"/>
      <c r="J2000"/>
      <c r="K2000"/>
      <c r="L2000"/>
      <c r="M2000"/>
      <c r="N2000"/>
      <c r="O2000"/>
      <c r="P2000"/>
      <c r="Q2000"/>
      <c r="R2000"/>
      <c r="S2000"/>
    </row>
    <row r="2001" spans="1:19" ht="15" x14ac:dyDescent="0.2">
      <c r="A2001"/>
      <c r="B2001"/>
      <c r="C2001"/>
      <c r="D2001"/>
      <c r="E2001"/>
      <c r="F2001"/>
      <c r="G2001"/>
      <c r="H2001"/>
      <c r="I2001"/>
      <c r="J2001"/>
      <c r="K2001"/>
      <c r="L2001"/>
      <c r="M2001"/>
      <c r="N2001"/>
      <c r="O2001"/>
      <c r="P2001"/>
      <c r="Q2001"/>
      <c r="R2001"/>
      <c r="S2001"/>
    </row>
    <row r="2002" spans="1:19" ht="15" x14ac:dyDescent="0.2">
      <c r="A2002"/>
      <c r="B2002"/>
      <c r="C2002"/>
      <c r="D2002"/>
      <c r="E2002"/>
      <c r="F2002"/>
      <c r="G2002"/>
      <c r="H2002"/>
      <c r="I2002"/>
      <c r="J2002"/>
      <c r="K2002"/>
      <c r="L2002"/>
      <c r="M2002"/>
      <c r="N2002"/>
      <c r="O2002"/>
      <c r="P2002"/>
      <c r="Q2002"/>
      <c r="R2002"/>
      <c r="S2002"/>
    </row>
    <row r="2003" spans="1:19" ht="15" x14ac:dyDescent="0.2">
      <c r="A2003"/>
      <c r="B2003"/>
      <c r="C2003"/>
      <c r="D2003"/>
      <c r="E2003"/>
      <c r="F2003"/>
      <c r="G2003"/>
      <c r="H2003"/>
      <c r="I2003"/>
      <c r="J2003"/>
      <c r="K2003"/>
      <c r="L2003"/>
      <c r="M2003"/>
      <c r="N2003"/>
      <c r="O2003"/>
      <c r="P2003"/>
      <c r="Q2003"/>
      <c r="R2003"/>
      <c r="S2003"/>
    </row>
    <row r="2004" spans="1:19" ht="15" x14ac:dyDescent="0.2">
      <c r="A2004"/>
      <c r="B2004"/>
      <c r="C2004"/>
      <c r="D2004"/>
      <c r="E2004"/>
      <c r="F2004"/>
      <c r="G2004"/>
      <c r="H2004"/>
      <c r="I2004"/>
      <c r="J2004"/>
      <c r="K2004"/>
      <c r="L2004"/>
      <c r="M2004"/>
      <c r="N2004"/>
      <c r="O2004"/>
      <c r="P2004"/>
      <c r="Q2004"/>
      <c r="R2004"/>
      <c r="S2004"/>
    </row>
    <row r="2005" spans="1:19" ht="15" x14ac:dyDescent="0.2">
      <c r="A2005"/>
      <c r="B2005"/>
      <c r="C2005"/>
      <c r="D2005"/>
      <c r="E2005"/>
      <c r="F2005"/>
      <c r="G2005"/>
      <c r="H2005"/>
      <c r="I2005"/>
      <c r="J2005"/>
      <c r="K2005"/>
      <c r="L2005"/>
      <c r="M2005"/>
      <c r="N2005"/>
      <c r="O2005"/>
      <c r="P2005"/>
      <c r="Q2005"/>
      <c r="R2005"/>
      <c r="S2005"/>
    </row>
    <row r="2006" spans="1:19" ht="15" x14ac:dyDescent="0.2">
      <c r="A2006"/>
      <c r="B2006"/>
      <c r="C2006"/>
      <c r="D2006"/>
      <c r="E2006"/>
      <c r="F2006"/>
      <c r="G2006"/>
      <c r="H2006"/>
      <c r="I2006"/>
      <c r="J2006"/>
      <c r="K2006"/>
      <c r="L2006"/>
      <c r="M2006"/>
      <c r="N2006"/>
      <c r="O2006"/>
      <c r="P2006"/>
      <c r="Q2006"/>
      <c r="R2006"/>
      <c r="S2006"/>
    </row>
    <row r="2007" spans="1:19" ht="15" x14ac:dyDescent="0.2">
      <c r="A2007"/>
      <c r="B2007"/>
      <c r="C2007"/>
      <c r="D2007"/>
      <c r="E2007"/>
      <c r="F2007"/>
      <c r="G2007"/>
      <c r="H2007"/>
      <c r="I2007"/>
      <c r="J2007"/>
      <c r="K2007"/>
      <c r="L2007"/>
      <c r="M2007"/>
      <c r="N2007"/>
      <c r="O2007"/>
      <c r="P2007"/>
      <c r="Q2007"/>
      <c r="R2007"/>
      <c r="S2007"/>
    </row>
    <row r="2008" spans="1:19" ht="15" x14ac:dyDescent="0.2">
      <c r="A2008"/>
      <c r="B2008"/>
      <c r="C2008"/>
      <c r="D2008"/>
      <c r="E2008"/>
      <c r="F2008"/>
      <c r="G2008"/>
      <c r="H2008"/>
      <c r="I2008"/>
      <c r="J2008"/>
      <c r="K2008"/>
      <c r="L2008"/>
      <c r="M2008"/>
      <c r="N2008"/>
      <c r="O2008"/>
      <c r="P2008"/>
      <c r="Q2008"/>
      <c r="R2008"/>
      <c r="S2008"/>
    </row>
    <row r="2009" spans="1:19" ht="15" x14ac:dyDescent="0.2">
      <c r="A2009"/>
      <c r="B2009"/>
      <c r="C2009"/>
      <c r="D2009"/>
      <c r="E2009"/>
      <c r="F2009"/>
      <c r="G2009"/>
      <c r="H2009"/>
      <c r="I2009"/>
      <c r="J2009"/>
      <c r="K2009"/>
      <c r="L2009"/>
      <c r="M2009"/>
      <c r="N2009"/>
      <c r="O2009"/>
      <c r="P2009"/>
      <c r="Q2009"/>
      <c r="R2009"/>
      <c r="S2009"/>
    </row>
    <row r="2010" spans="1:19" ht="15" x14ac:dyDescent="0.2">
      <c r="A2010"/>
      <c r="B2010"/>
      <c r="C2010"/>
      <c r="D2010"/>
      <c r="E2010"/>
      <c r="F2010"/>
      <c r="G2010"/>
      <c r="H2010"/>
      <c r="I2010"/>
      <c r="J2010"/>
      <c r="K2010"/>
      <c r="L2010"/>
      <c r="M2010"/>
      <c r="N2010"/>
      <c r="O2010"/>
      <c r="P2010"/>
      <c r="Q2010"/>
      <c r="R2010"/>
      <c r="S2010"/>
    </row>
    <row r="2011" spans="1:19" ht="15" x14ac:dyDescent="0.2">
      <c r="A2011"/>
      <c r="B2011"/>
      <c r="C2011"/>
      <c r="D2011"/>
      <c r="E2011"/>
      <c r="F2011"/>
      <c r="G2011"/>
      <c r="H2011"/>
      <c r="I2011"/>
      <c r="J2011"/>
      <c r="K2011"/>
      <c r="L2011"/>
      <c r="M2011"/>
      <c r="N2011"/>
      <c r="O2011"/>
      <c r="P2011"/>
      <c r="Q2011"/>
      <c r="R2011"/>
      <c r="S2011"/>
    </row>
    <row r="2012" spans="1:19" ht="15" x14ac:dyDescent="0.2">
      <c r="A2012"/>
      <c r="B2012"/>
      <c r="C2012"/>
      <c r="D2012"/>
      <c r="E2012"/>
      <c r="F2012"/>
      <c r="G2012"/>
      <c r="H2012"/>
      <c r="I2012"/>
      <c r="J2012"/>
      <c r="K2012"/>
      <c r="L2012"/>
      <c r="M2012"/>
      <c r="N2012"/>
      <c r="O2012"/>
      <c r="P2012"/>
      <c r="Q2012"/>
      <c r="R2012"/>
      <c r="S2012"/>
    </row>
    <row r="2013" spans="1:19" ht="15" x14ac:dyDescent="0.2">
      <c r="A2013"/>
      <c r="B2013"/>
      <c r="C2013"/>
      <c r="D2013"/>
      <c r="E2013"/>
      <c r="F2013"/>
      <c r="G2013"/>
      <c r="H2013"/>
      <c r="I2013"/>
      <c r="J2013"/>
      <c r="K2013"/>
      <c r="L2013"/>
      <c r="M2013"/>
      <c r="N2013"/>
      <c r="O2013"/>
      <c r="P2013"/>
      <c r="Q2013"/>
      <c r="R2013"/>
      <c r="S2013"/>
    </row>
    <row r="2014" spans="1:19" ht="15" x14ac:dyDescent="0.2">
      <c r="A2014"/>
      <c r="B2014"/>
      <c r="C2014"/>
      <c r="D2014"/>
      <c r="E2014"/>
      <c r="F2014"/>
      <c r="G2014"/>
      <c r="H2014"/>
      <c r="I2014"/>
      <c r="J2014"/>
      <c r="K2014"/>
      <c r="L2014"/>
      <c r="M2014"/>
      <c r="N2014"/>
      <c r="O2014"/>
      <c r="P2014"/>
      <c r="Q2014"/>
      <c r="R2014"/>
      <c r="S2014"/>
    </row>
    <row r="2015" spans="1:19" ht="15" x14ac:dyDescent="0.2">
      <c r="A2015"/>
      <c r="B2015"/>
      <c r="C2015"/>
      <c r="D2015"/>
      <c r="E2015"/>
      <c r="F2015"/>
      <c r="G2015"/>
      <c r="H2015"/>
      <c r="I2015"/>
      <c r="J2015"/>
      <c r="K2015"/>
      <c r="L2015"/>
      <c r="M2015"/>
      <c r="N2015"/>
      <c r="O2015"/>
      <c r="P2015"/>
      <c r="Q2015"/>
      <c r="R2015"/>
      <c r="S2015"/>
    </row>
    <row r="2016" spans="1:19" ht="15" x14ac:dyDescent="0.2">
      <c r="A2016"/>
      <c r="B2016"/>
      <c r="C2016"/>
      <c r="D2016"/>
      <c r="E2016"/>
      <c r="F2016"/>
      <c r="G2016"/>
      <c r="H2016"/>
      <c r="I2016"/>
      <c r="J2016"/>
      <c r="K2016"/>
      <c r="L2016"/>
      <c r="M2016"/>
      <c r="N2016"/>
      <c r="O2016"/>
      <c r="P2016"/>
      <c r="Q2016"/>
      <c r="R2016"/>
      <c r="S2016"/>
    </row>
    <row r="2017" spans="1:19" ht="15" x14ac:dyDescent="0.2">
      <c r="A2017"/>
      <c r="B2017"/>
      <c r="C2017"/>
      <c r="D2017"/>
      <c r="E2017"/>
      <c r="F2017"/>
      <c r="G2017"/>
      <c r="H2017"/>
      <c r="I2017"/>
      <c r="J2017"/>
      <c r="K2017"/>
      <c r="L2017"/>
      <c r="M2017"/>
      <c r="N2017"/>
      <c r="O2017"/>
      <c r="P2017"/>
      <c r="Q2017"/>
      <c r="R2017"/>
      <c r="S2017"/>
    </row>
    <row r="2018" spans="1:19" ht="15" x14ac:dyDescent="0.2">
      <c r="A2018"/>
      <c r="B2018"/>
      <c r="C2018"/>
      <c r="D2018"/>
      <c r="E2018"/>
      <c r="F2018"/>
      <c r="G2018"/>
      <c r="H2018"/>
      <c r="I2018"/>
      <c r="J2018"/>
      <c r="K2018"/>
      <c r="L2018"/>
      <c r="M2018"/>
      <c r="N2018"/>
      <c r="O2018"/>
      <c r="P2018"/>
      <c r="Q2018"/>
      <c r="R2018"/>
      <c r="S2018"/>
    </row>
    <row r="2019" spans="1:19" ht="15" x14ac:dyDescent="0.2">
      <c r="A2019"/>
      <c r="B2019"/>
      <c r="C2019"/>
      <c r="D2019"/>
      <c r="E2019"/>
      <c r="F2019"/>
      <c r="G2019"/>
      <c r="H2019"/>
      <c r="I2019"/>
      <c r="J2019"/>
      <c r="K2019"/>
      <c r="L2019"/>
      <c r="M2019"/>
      <c r="N2019"/>
      <c r="O2019"/>
      <c r="P2019"/>
      <c r="Q2019"/>
      <c r="R2019"/>
      <c r="S2019"/>
    </row>
    <row r="2020" spans="1:19" ht="15" x14ac:dyDescent="0.2">
      <c r="A2020"/>
      <c r="B2020"/>
      <c r="C2020"/>
      <c r="D2020"/>
      <c r="E2020"/>
      <c r="F2020"/>
      <c r="G2020"/>
      <c r="H2020"/>
      <c r="I2020"/>
      <c r="J2020"/>
      <c r="K2020"/>
      <c r="L2020"/>
      <c r="M2020"/>
      <c r="N2020"/>
      <c r="O2020"/>
      <c r="P2020"/>
      <c r="Q2020"/>
      <c r="R2020"/>
      <c r="S2020"/>
    </row>
    <row r="2021" spans="1:19" ht="15" x14ac:dyDescent="0.2">
      <c r="A2021"/>
      <c r="B2021"/>
      <c r="C2021"/>
      <c r="D2021"/>
      <c r="E2021"/>
      <c r="F2021"/>
      <c r="G2021"/>
      <c r="H2021"/>
      <c r="I2021"/>
      <c r="J2021"/>
      <c r="K2021"/>
      <c r="L2021"/>
      <c r="M2021"/>
      <c r="N2021"/>
      <c r="O2021"/>
      <c r="P2021"/>
      <c r="Q2021"/>
      <c r="R2021"/>
      <c r="S2021"/>
    </row>
    <row r="2022" spans="1:19" ht="15" x14ac:dyDescent="0.2">
      <c r="A2022"/>
      <c r="B2022"/>
      <c r="C2022"/>
      <c r="D2022"/>
      <c r="E2022"/>
      <c r="F2022"/>
      <c r="G2022"/>
      <c r="H2022"/>
      <c r="I2022"/>
      <c r="J2022"/>
      <c r="K2022"/>
      <c r="L2022"/>
      <c r="M2022"/>
      <c r="N2022"/>
      <c r="O2022"/>
      <c r="P2022"/>
      <c r="Q2022"/>
      <c r="R2022"/>
      <c r="S2022"/>
    </row>
    <row r="2023" spans="1:19" ht="15" x14ac:dyDescent="0.2">
      <c r="A2023"/>
      <c r="B2023"/>
      <c r="C2023"/>
      <c r="D2023"/>
      <c r="E2023"/>
      <c r="F2023"/>
      <c r="G2023"/>
      <c r="H2023"/>
      <c r="I2023"/>
      <c r="J2023"/>
      <c r="K2023"/>
      <c r="L2023"/>
      <c r="M2023"/>
      <c r="N2023"/>
      <c r="O2023"/>
      <c r="P2023"/>
      <c r="Q2023"/>
      <c r="R2023"/>
      <c r="S2023"/>
    </row>
    <row r="2024" spans="1:19" ht="15" x14ac:dyDescent="0.2">
      <c r="A2024"/>
      <c r="B2024"/>
      <c r="C2024"/>
      <c r="D2024"/>
      <c r="E2024"/>
      <c r="F2024"/>
      <c r="G2024"/>
      <c r="H2024"/>
      <c r="I2024"/>
      <c r="J2024"/>
      <c r="K2024"/>
      <c r="L2024"/>
      <c r="M2024"/>
      <c r="N2024"/>
      <c r="O2024"/>
      <c r="P2024"/>
      <c r="Q2024"/>
      <c r="R2024"/>
      <c r="S2024"/>
    </row>
    <row r="2025" spans="1:19" ht="15" x14ac:dyDescent="0.2">
      <c r="A2025"/>
      <c r="B2025"/>
      <c r="C2025"/>
      <c r="D2025"/>
      <c r="E2025"/>
      <c r="F2025"/>
      <c r="G2025"/>
      <c r="H2025"/>
      <c r="I2025"/>
      <c r="J2025"/>
      <c r="K2025"/>
      <c r="L2025"/>
      <c r="M2025"/>
      <c r="N2025"/>
      <c r="O2025"/>
      <c r="P2025"/>
      <c r="Q2025"/>
      <c r="R2025"/>
      <c r="S2025"/>
    </row>
    <row r="2026" spans="1:19" ht="15" x14ac:dyDescent="0.2">
      <c r="A2026"/>
      <c r="B2026"/>
      <c r="C2026"/>
      <c r="D2026"/>
      <c r="E2026"/>
      <c r="F2026"/>
      <c r="G2026"/>
      <c r="H2026"/>
      <c r="I2026"/>
      <c r="J2026"/>
      <c r="K2026"/>
      <c r="L2026"/>
      <c r="M2026"/>
      <c r="N2026"/>
      <c r="O2026"/>
      <c r="P2026"/>
      <c r="Q2026"/>
      <c r="R2026"/>
      <c r="S2026"/>
    </row>
    <row r="2027" spans="1:19" ht="15" x14ac:dyDescent="0.2">
      <c r="A2027"/>
      <c r="B2027"/>
      <c r="C2027"/>
      <c r="D2027"/>
      <c r="E2027"/>
      <c r="F2027"/>
      <c r="G2027"/>
      <c r="H2027"/>
      <c r="I2027"/>
      <c r="J2027"/>
      <c r="K2027"/>
      <c r="L2027"/>
      <c r="M2027"/>
      <c r="N2027"/>
      <c r="O2027"/>
      <c r="P2027"/>
      <c r="Q2027"/>
      <c r="R2027"/>
      <c r="S2027"/>
    </row>
    <row r="2028" spans="1:19" ht="15" x14ac:dyDescent="0.2">
      <c r="A2028"/>
      <c r="B2028"/>
      <c r="C2028"/>
      <c r="D2028"/>
      <c r="E2028"/>
      <c r="F2028"/>
      <c r="G2028"/>
      <c r="H2028"/>
      <c r="I2028"/>
      <c r="J2028"/>
      <c r="K2028"/>
      <c r="L2028"/>
      <c r="M2028"/>
      <c r="N2028"/>
      <c r="O2028"/>
      <c r="P2028"/>
      <c r="Q2028"/>
      <c r="R2028"/>
      <c r="S2028"/>
    </row>
    <row r="2029" spans="1:19" ht="15" x14ac:dyDescent="0.2">
      <c r="A2029"/>
      <c r="B2029"/>
      <c r="C2029"/>
      <c r="D2029"/>
      <c r="E2029"/>
      <c r="F2029"/>
      <c r="G2029"/>
      <c r="H2029"/>
      <c r="I2029"/>
      <c r="J2029"/>
      <c r="K2029"/>
      <c r="L2029"/>
      <c r="M2029"/>
      <c r="N2029"/>
      <c r="O2029"/>
      <c r="P2029"/>
      <c r="Q2029"/>
      <c r="R2029"/>
      <c r="S2029"/>
    </row>
    <row r="2030" spans="1:19" ht="15" x14ac:dyDescent="0.2">
      <c r="A2030"/>
      <c r="B2030"/>
      <c r="C2030"/>
      <c r="D2030"/>
      <c r="E2030"/>
      <c r="F2030"/>
      <c r="G2030"/>
      <c r="H2030"/>
      <c r="I2030"/>
      <c r="J2030"/>
      <c r="K2030"/>
      <c r="L2030"/>
      <c r="M2030"/>
      <c r="N2030"/>
      <c r="O2030"/>
      <c r="P2030"/>
      <c r="Q2030"/>
      <c r="R2030"/>
      <c r="S2030"/>
    </row>
    <row r="2031" spans="1:19" ht="15" x14ac:dyDescent="0.2">
      <c r="A2031"/>
      <c r="B2031"/>
      <c r="C2031"/>
      <c r="D2031"/>
      <c r="E2031"/>
      <c r="F2031"/>
      <c r="G2031"/>
      <c r="H2031"/>
      <c r="I2031"/>
      <c r="J2031"/>
      <c r="K2031"/>
      <c r="L2031"/>
      <c r="M2031"/>
      <c r="N2031"/>
      <c r="O2031"/>
      <c r="P2031"/>
      <c r="Q2031"/>
      <c r="R2031"/>
      <c r="S2031"/>
    </row>
    <row r="2032" spans="1:19" ht="15" x14ac:dyDescent="0.2">
      <c r="A2032"/>
      <c r="B2032"/>
      <c r="C2032"/>
      <c r="D2032"/>
      <c r="E2032"/>
      <c r="F2032"/>
      <c r="G2032"/>
      <c r="H2032"/>
      <c r="I2032"/>
      <c r="J2032"/>
      <c r="K2032"/>
      <c r="L2032"/>
      <c r="M2032"/>
      <c r="N2032"/>
      <c r="O2032"/>
      <c r="P2032"/>
      <c r="Q2032"/>
      <c r="R2032"/>
      <c r="S2032"/>
    </row>
    <row r="2033" spans="1:19" ht="15" x14ac:dyDescent="0.2">
      <c r="A2033"/>
      <c r="B2033"/>
      <c r="C2033"/>
      <c r="D2033"/>
      <c r="E2033"/>
      <c r="F2033"/>
      <c r="G2033"/>
      <c r="H2033"/>
      <c r="I2033"/>
      <c r="J2033"/>
      <c r="K2033"/>
      <c r="L2033"/>
      <c r="M2033"/>
      <c r="N2033"/>
      <c r="O2033"/>
      <c r="P2033"/>
      <c r="Q2033"/>
      <c r="R2033"/>
      <c r="S2033"/>
    </row>
    <row r="2034" spans="1:19" ht="15" x14ac:dyDescent="0.2">
      <c r="A2034"/>
      <c r="B2034"/>
      <c r="C2034"/>
      <c r="D2034"/>
      <c r="E2034"/>
      <c r="F2034"/>
      <c r="G2034"/>
      <c r="H2034"/>
      <c r="I2034"/>
      <c r="J2034"/>
      <c r="K2034"/>
      <c r="L2034"/>
      <c r="M2034"/>
      <c r="N2034"/>
      <c r="O2034"/>
      <c r="P2034"/>
      <c r="Q2034"/>
      <c r="R2034"/>
      <c r="S2034"/>
    </row>
    <row r="2035" spans="1:19" ht="15" x14ac:dyDescent="0.2">
      <c r="A2035"/>
      <c r="B2035"/>
      <c r="C2035"/>
      <c r="D2035"/>
      <c r="E2035"/>
      <c r="F2035"/>
      <c r="G2035"/>
      <c r="H2035"/>
      <c r="I2035"/>
      <c r="J2035"/>
      <c r="K2035"/>
      <c r="L2035"/>
      <c r="M2035"/>
      <c r="N2035"/>
      <c r="O2035"/>
      <c r="P2035"/>
      <c r="Q2035"/>
      <c r="R2035"/>
      <c r="S2035"/>
    </row>
    <row r="2036" spans="1:19" ht="15" x14ac:dyDescent="0.2">
      <c r="A2036"/>
      <c r="B2036"/>
      <c r="C2036"/>
      <c r="D2036"/>
      <c r="E2036"/>
      <c r="F2036"/>
      <c r="G2036"/>
      <c r="H2036"/>
      <c r="I2036"/>
      <c r="J2036"/>
      <c r="K2036"/>
      <c r="L2036"/>
      <c r="M2036"/>
      <c r="N2036"/>
      <c r="O2036"/>
      <c r="P2036"/>
      <c r="Q2036"/>
      <c r="R2036"/>
      <c r="S2036"/>
    </row>
    <row r="2037" spans="1:19" ht="15" x14ac:dyDescent="0.2">
      <c r="A2037"/>
      <c r="B2037"/>
      <c r="C2037"/>
      <c r="D2037"/>
      <c r="E2037"/>
      <c r="F2037"/>
      <c r="G2037"/>
      <c r="H2037"/>
      <c r="I2037"/>
      <c r="J2037"/>
      <c r="K2037"/>
      <c r="L2037"/>
      <c r="M2037"/>
      <c r="N2037"/>
      <c r="O2037"/>
      <c r="P2037"/>
      <c r="Q2037"/>
      <c r="R2037"/>
      <c r="S2037"/>
    </row>
    <row r="2038" spans="1:19" ht="15" x14ac:dyDescent="0.2">
      <c r="A2038"/>
      <c r="B2038"/>
      <c r="C2038"/>
      <c r="D2038"/>
      <c r="E2038"/>
      <c r="F2038"/>
      <c r="G2038"/>
      <c r="H2038"/>
      <c r="I2038"/>
      <c r="J2038"/>
      <c r="K2038"/>
      <c r="L2038"/>
      <c r="M2038"/>
      <c r="N2038"/>
      <c r="O2038"/>
      <c r="P2038"/>
      <c r="Q2038"/>
      <c r="R2038"/>
      <c r="S2038"/>
    </row>
    <row r="2039" spans="1:19" ht="15" x14ac:dyDescent="0.2">
      <c r="A2039"/>
      <c r="B2039"/>
      <c r="C2039"/>
      <c r="D2039"/>
      <c r="E2039"/>
      <c r="F2039"/>
      <c r="G2039"/>
      <c r="H2039"/>
      <c r="I2039"/>
      <c r="J2039"/>
      <c r="K2039"/>
      <c r="L2039"/>
      <c r="M2039"/>
      <c r="N2039"/>
      <c r="O2039"/>
      <c r="P2039"/>
      <c r="Q2039"/>
      <c r="R2039"/>
      <c r="S2039"/>
    </row>
    <row r="2040" spans="1:19" ht="15" x14ac:dyDescent="0.2">
      <c r="A2040"/>
      <c r="B2040"/>
      <c r="C2040"/>
      <c r="D2040"/>
      <c r="E2040"/>
      <c r="F2040"/>
      <c r="G2040"/>
      <c r="H2040"/>
      <c r="I2040"/>
      <c r="J2040"/>
      <c r="K2040"/>
      <c r="L2040"/>
      <c r="M2040"/>
      <c r="N2040"/>
      <c r="O2040"/>
      <c r="P2040"/>
      <c r="Q2040"/>
      <c r="R2040"/>
      <c r="S2040"/>
    </row>
    <row r="2041" spans="1:19" ht="15" x14ac:dyDescent="0.2">
      <c r="A2041"/>
      <c r="B2041"/>
      <c r="C2041"/>
      <c r="D2041"/>
      <c r="E2041"/>
      <c r="F2041"/>
      <c r="G2041"/>
      <c r="H2041"/>
      <c r="I2041"/>
      <c r="J2041"/>
      <c r="K2041"/>
      <c r="L2041"/>
      <c r="M2041"/>
      <c r="N2041"/>
      <c r="O2041"/>
      <c r="P2041"/>
      <c r="Q2041"/>
      <c r="R2041"/>
      <c r="S2041"/>
    </row>
    <row r="2042" spans="1:19" ht="15" x14ac:dyDescent="0.2">
      <c r="A2042"/>
      <c r="B2042"/>
      <c r="C2042"/>
      <c r="D2042"/>
      <c r="E2042"/>
      <c r="F2042"/>
      <c r="G2042"/>
      <c r="H2042"/>
      <c r="I2042"/>
      <c r="J2042"/>
      <c r="K2042"/>
      <c r="L2042"/>
      <c r="M2042"/>
      <c r="N2042"/>
      <c r="O2042"/>
      <c r="P2042"/>
      <c r="Q2042"/>
      <c r="R2042"/>
      <c r="S2042"/>
    </row>
    <row r="2043" spans="1:19" ht="15" x14ac:dyDescent="0.2">
      <c r="A2043"/>
      <c r="B2043"/>
      <c r="C2043"/>
      <c r="D2043"/>
      <c r="E2043"/>
      <c r="F2043"/>
      <c r="G2043"/>
      <c r="H2043"/>
      <c r="I2043"/>
      <c r="J2043"/>
      <c r="K2043"/>
      <c r="L2043"/>
      <c r="M2043"/>
      <c r="N2043"/>
      <c r="O2043"/>
      <c r="P2043"/>
      <c r="Q2043"/>
      <c r="R2043"/>
      <c r="S2043"/>
    </row>
    <row r="2044" spans="1:19" ht="15" x14ac:dyDescent="0.2">
      <c r="A2044"/>
      <c r="B2044"/>
      <c r="C2044"/>
      <c r="D2044"/>
      <c r="E2044"/>
      <c r="F2044"/>
      <c r="G2044"/>
      <c r="H2044"/>
      <c r="I2044"/>
      <c r="J2044"/>
      <c r="K2044"/>
      <c r="L2044"/>
      <c r="M2044"/>
      <c r="N2044"/>
      <c r="O2044"/>
      <c r="P2044"/>
      <c r="Q2044"/>
      <c r="R2044"/>
      <c r="S2044"/>
    </row>
    <row r="2045" spans="1:19" ht="15" x14ac:dyDescent="0.2">
      <c r="A2045"/>
      <c r="B2045"/>
      <c r="C2045"/>
      <c r="D2045"/>
      <c r="E2045"/>
      <c r="F2045"/>
      <c r="G2045"/>
      <c r="H2045"/>
      <c r="I2045"/>
      <c r="J2045"/>
      <c r="K2045"/>
      <c r="L2045"/>
      <c r="M2045"/>
      <c r="N2045"/>
      <c r="O2045"/>
      <c r="P2045"/>
      <c r="Q2045"/>
      <c r="R2045"/>
      <c r="S2045"/>
    </row>
    <row r="2046" spans="1:19" ht="15" x14ac:dyDescent="0.2">
      <c r="A2046"/>
      <c r="B2046"/>
      <c r="C2046"/>
      <c r="D2046"/>
      <c r="E2046"/>
      <c r="F2046"/>
      <c r="G2046"/>
      <c r="H2046"/>
      <c r="I2046"/>
      <c r="J2046"/>
      <c r="K2046"/>
      <c r="L2046"/>
      <c r="M2046"/>
      <c r="N2046"/>
      <c r="O2046"/>
      <c r="P2046"/>
      <c r="Q2046"/>
      <c r="R2046"/>
      <c r="S2046"/>
    </row>
    <row r="2047" spans="1:19" ht="15" x14ac:dyDescent="0.2">
      <c r="A2047"/>
      <c r="B2047"/>
      <c r="C2047"/>
      <c r="D2047"/>
      <c r="E2047"/>
      <c r="F2047"/>
      <c r="G2047"/>
      <c r="H2047"/>
      <c r="I2047"/>
      <c r="J2047"/>
      <c r="K2047"/>
      <c r="L2047"/>
      <c r="M2047"/>
      <c r="N2047"/>
      <c r="O2047"/>
      <c r="P2047"/>
      <c r="Q2047"/>
      <c r="R2047"/>
      <c r="S2047"/>
    </row>
    <row r="2048" spans="1:19" ht="15" x14ac:dyDescent="0.2">
      <c r="A2048"/>
      <c r="B2048"/>
      <c r="C2048"/>
      <c r="D2048"/>
      <c r="E2048"/>
      <c r="F2048"/>
      <c r="G2048"/>
      <c r="H2048"/>
      <c r="I2048"/>
      <c r="J2048"/>
      <c r="K2048"/>
      <c r="L2048"/>
      <c r="M2048"/>
      <c r="N2048"/>
      <c r="O2048"/>
      <c r="P2048"/>
      <c r="Q2048"/>
      <c r="R2048"/>
      <c r="S2048"/>
    </row>
    <row r="2049" spans="1:19" ht="15" x14ac:dyDescent="0.2">
      <c r="A2049"/>
      <c r="B2049"/>
      <c r="C2049"/>
      <c r="D2049"/>
      <c r="E2049"/>
      <c r="F2049"/>
      <c r="G2049"/>
      <c r="H2049"/>
      <c r="I2049"/>
      <c r="J2049"/>
      <c r="K2049"/>
      <c r="L2049"/>
      <c r="M2049"/>
      <c r="N2049"/>
      <c r="O2049"/>
      <c r="P2049"/>
      <c r="Q2049"/>
      <c r="R2049"/>
      <c r="S2049"/>
    </row>
    <row r="2050" spans="1:19" ht="15" x14ac:dyDescent="0.2">
      <c r="A2050"/>
      <c r="B2050"/>
      <c r="C2050"/>
      <c r="D2050"/>
      <c r="E2050"/>
      <c r="F2050"/>
      <c r="G2050"/>
      <c r="H2050"/>
      <c r="I2050"/>
      <c r="J2050"/>
      <c r="K2050"/>
      <c r="L2050"/>
      <c r="M2050"/>
      <c r="N2050"/>
      <c r="O2050"/>
      <c r="P2050"/>
      <c r="Q2050"/>
      <c r="R2050"/>
      <c r="S2050"/>
    </row>
    <row r="2051" spans="1:19" ht="15" x14ac:dyDescent="0.2">
      <c r="A2051"/>
      <c r="B2051"/>
      <c r="C2051"/>
      <c r="D2051"/>
      <c r="E2051"/>
      <c r="F2051"/>
      <c r="G2051"/>
      <c r="H2051"/>
      <c r="I2051"/>
      <c r="J2051"/>
      <c r="K2051"/>
      <c r="L2051"/>
      <c r="M2051"/>
      <c r="N2051"/>
      <c r="O2051"/>
      <c r="P2051"/>
      <c r="Q2051"/>
      <c r="R2051"/>
      <c r="S2051"/>
    </row>
    <row r="2052" spans="1:19" ht="15" x14ac:dyDescent="0.2">
      <c r="A2052"/>
      <c r="B2052"/>
      <c r="C2052"/>
      <c r="D2052"/>
      <c r="E2052"/>
      <c r="F2052"/>
      <c r="G2052"/>
      <c r="H2052"/>
      <c r="I2052"/>
      <c r="J2052"/>
      <c r="K2052"/>
      <c r="L2052"/>
      <c r="M2052"/>
      <c r="N2052"/>
      <c r="O2052"/>
      <c r="P2052"/>
      <c r="Q2052"/>
      <c r="R2052"/>
      <c r="S2052"/>
    </row>
    <row r="2053" spans="1:19" ht="15" x14ac:dyDescent="0.2">
      <c r="A2053"/>
      <c r="B2053"/>
      <c r="C2053"/>
      <c r="D2053"/>
      <c r="E2053"/>
      <c r="F2053"/>
      <c r="G2053"/>
      <c r="H2053"/>
      <c r="I2053"/>
      <c r="J2053"/>
      <c r="K2053"/>
      <c r="L2053"/>
      <c r="M2053"/>
      <c r="N2053"/>
      <c r="O2053"/>
      <c r="P2053"/>
      <c r="Q2053"/>
      <c r="R2053"/>
      <c r="S2053"/>
    </row>
    <row r="2054" spans="1:19" ht="15" x14ac:dyDescent="0.2">
      <c r="A2054"/>
      <c r="B2054"/>
      <c r="C2054"/>
      <c r="D2054"/>
      <c r="E2054"/>
      <c r="F2054"/>
      <c r="G2054"/>
      <c r="H2054"/>
      <c r="I2054"/>
      <c r="J2054"/>
      <c r="K2054"/>
      <c r="L2054"/>
      <c r="M2054"/>
      <c r="N2054"/>
      <c r="O2054"/>
      <c r="P2054"/>
      <c r="Q2054"/>
      <c r="R2054"/>
      <c r="S2054"/>
    </row>
    <row r="2055" spans="1:19" ht="15" x14ac:dyDescent="0.2">
      <c r="A2055"/>
      <c r="B2055"/>
      <c r="C2055"/>
      <c r="D2055"/>
      <c r="E2055"/>
      <c r="F2055"/>
      <c r="G2055"/>
      <c r="H2055"/>
      <c r="I2055"/>
      <c r="J2055"/>
      <c r="K2055"/>
      <c r="L2055"/>
      <c r="M2055"/>
      <c r="N2055"/>
      <c r="O2055"/>
      <c r="P2055"/>
      <c r="Q2055"/>
      <c r="R2055"/>
      <c r="S2055"/>
    </row>
    <row r="2056" spans="1:19" ht="15" x14ac:dyDescent="0.2">
      <c r="A2056"/>
      <c r="B2056"/>
      <c r="C2056"/>
      <c r="D2056"/>
      <c r="E2056"/>
      <c r="F2056"/>
      <c r="G2056"/>
      <c r="H2056"/>
      <c r="I2056"/>
      <c r="J2056"/>
      <c r="K2056"/>
      <c r="L2056"/>
      <c r="M2056"/>
      <c r="N2056"/>
      <c r="O2056"/>
      <c r="P2056"/>
      <c r="Q2056"/>
      <c r="R2056"/>
      <c r="S2056"/>
    </row>
    <row r="2057" spans="1:19" ht="15" x14ac:dyDescent="0.2">
      <c r="A2057"/>
      <c r="B2057"/>
      <c r="C2057"/>
      <c r="D2057"/>
      <c r="E2057"/>
      <c r="F2057"/>
      <c r="G2057"/>
      <c r="H2057"/>
      <c r="I2057"/>
      <c r="J2057"/>
      <c r="K2057"/>
      <c r="L2057"/>
      <c r="M2057"/>
      <c r="N2057"/>
      <c r="O2057"/>
      <c r="P2057"/>
      <c r="Q2057"/>
      <c r="R2057"/>
      <c r="S2057"/>
    </row>
    <row r="2058" spans="1:19" ht="15" x14ac:dyDescent="0.2">
      <c r="A2058"/>
      <c r="B2058"/>
      <c r="C2058"/>
      <c r="D2058"/>
      <c r="E2058"/>
      <c r="F2058"/>
      <c r="G2058"/>
      <c r="H2058"/>
      <c r="I2058"/>
      <c r="J2058"/>
      <c r="K2058"/>
      <c r="L2058"/>
      <c r="M2058"/>
      <c r="N2058"/>
      <c r="O2058"/>
      <c r="P2058"/>
      <c r="Q2058"/>
      <c r="R2058"/>
      <c r="S2058"/>
    </row>
    <row r="2059" spans="1:19" ht="15" x14ac:dyDescent="0.2">
      <c r="A2059"/>
      <c r="B2059"/>
      <c r="C2059"/>
      <c r="D2059"/>
      <c r="E2059"/>
      <c r="F2059"/>
      <c r="G2059"/>
      <c r="H2059"/>
      <c r="I2059"/>
      <c r="J2059"/>
      <c r="K2059"/>
      <c r="L2059"/>
      <c r="M2059"/>
      <c r="N2059"/>
      <c r="O2059"/>
      <c r="P2059"/>
      <c r="Q2059"/>
      <c r="R2059"/>
      <c r="S2059"/>
    </row>
    <row r="2060" spans="1:19" ht="15" x14ac:dyDescent="0.2">
      <c r="A2060"/>
      <c r="B2060"/>
      <c r="C2060"/>
      <c r="D2060"/>
      <c r="E2060"/>
      <c r="F2060"/>
      <c r="G2060"/>
      <c r="H2060"/>
      <c r="I2060"/>
      <c r="J2060"/>
      <c r="K2060"/>
      <c r="L2060"/>
      <c r="M2060"/>
      <c r="N2060"/>
      <c r="O2060"/>
      <c r="P2060"/>
      <c r="Q2060"/>
      <c r="R2060"/>
      <c r="S2060"/>
    </row>
    <row r="2061" spans="1:19" ht="15" x14ac:dyDescent="0.2">
      <c r="A2061"/>
      <c r="B2061"/>
      <c r="C2061"/>
      <c r="D2061"/>
      <c r="E2061"/>
      <c r="F2061"/>
      <c r="G2061"/>
      <c r="H2061"/>
      <c r="I2061"/>
      <c r="J2061"/>
      <c r="K2061"/>
      <c r="L2061"/>
      <c r="M2061"/>
      <c r="N2061"/>
      <c r="O2061"/>
      <c r="P2061"/>
      <c r="Q2061"/>
      <c r="R2061"/>
      <c r="S2061"/>
    </row>
    <row r="2062" spans="1:19" ht="15" x14ac:dyDescent="0.2">
      <c r="A2062"/>
      <c r="B2062"/>
      <c r="C2062"/>
      <c r="D2062"/>
      <c r="E2062"/>
      <c r="F2062"/>
      <c r="G2062"/>
      <c r="H2062"/>
      <c r="I2062"/>
      <c r="J2062"/>
      <c r="K2062"/>
      <c r="L2062"/>
      <c r="M2062"/>
      <c r="N2062"/>
      <c r="O2062"/>
      <c r="P2062"/>
      <c r="Q2062"/>
      <c r="R2062"/>
      <c r="S2062"/>
    </row>
    <row r="2063" spans="1:19" ht="15" x14ac:dyDescent="0.2">
      <c r="A2063"/>
      <c r="B2063"/>
      <c r="C2063"/>
      <c r="D2063"/>
      <c r="E2063"/>
      <c r="F2063"/>
      <c r="G2063"/>
      <c r="H2063"/>
      <c r="I2063"/>
      <c r="J2063"/>
      <c r="K2063"/>
      <c r="L2063"/>
      <c r="M2063"/>
      <c r="N2063"/>
      <c r="O2063"/>
      <c r="P2063"/>
      <c r="Q2063"/>
      <c r="R2063"/>
      <c r="S2063"/>
    </row>
    <row r="2064" spans="1:19" ht="15" x14ac:dyDescent="0.2">
      <c r="A2064"/>
      <c r="B2064"/>
      <c r="C2064"/>
      <c r="D2064"/>
      <c r="E2064"/>
      <c r="F2064"/>
      <c r="G2064"/>
      <c r="H2064"/>
      <c r="I2064"/>
      <c r="J2064"/>
      <c r="K2064"/>
      <c r="L2064"/>
      <c r="M2064"/>
      <c r="N2064"/>
      <c r="O2064"/>
      <c r="P2064"/>
      <c r="Q2064"/>
      <c r="R2064"/>
      <c r="S2064"/>
    </row>
    <row r="2065" spans="1:19" ht="15" x14ac:dyDescent="0.2">
      <c r="A2065"/>
      <c r="B2065"/>
      <c r="C2065"/>
      <c r="D2065"/>
      <c r="E2065"/>
      <c r="F2065"/>
      <c r="G2065"/>
      <c r="H2065"/>
      <c r="I2065"/>
      <c r="J2065"/>
      <c r="K2065"/>
      <c r="L2065"/>
      <c r="M2065"/>
      <c r="N2065"/>
      <c r="O2065"/>
      <c r="P2065"/>
      <c r="Q2065"/>
      <c r="R2065"/>
      <c r="S2065"/>
    </row>
    <row r="2066" spans="1:19" ht="15" x14ac:dyDescent="0.2">
      <c r="A2066"/>
      <c r="B2066"/>
      <c r="C2066"/>
      <c r="D2066"/>
      <c r="E2066"/>
      <c r="F2066"/>
      <c r="G2066"/>
      <c r="H2066"/>
      <c r="I2066"/>
      <c r="J2066"/>
      <c r="K2066"/>
      <c r="L2066"/>
      <c r="M2066"/>
      <c r="N2066"/>
      <c r="O2066"/>
      <c r="P2066"/>
      <c r="Q2066"/>
      <c r="R2066"/>
      <c r="S2066"/>
    </row>
    <row r="2067" spans="1:19" ht="15" x14ac:dyDescent="0.2">
      <c r="A2067"/>
      <c r="B2067"/>
      <c r="C2067"/>
      <c r="D2067"/>
      <c r="E2067"/>
      <c r="F2067"/>
      <c r="G2067"/>
      <c r="H2067"/>
      <c r="I2067"/>
      <c r="J2067"/>
      <c r="K2067"/>
      <c r="L2067"/>
      <c r="M2067"/>
      <c r="N2067"/>
      <c r="O2067"/>
      <c r="P2067"/>
      <c r="Q2067"/>
      <c r="R2067"/>
      <c r="S2067"/>
    </row>
    <row r="2068" spans="1:19" ht="15" x14ac:dyDescent="0.2">
      <c r="A2068"/>
      <c r="B2068"/>
      <c r="C2068"/>
      <c r="D2068"/>
      <c r="E2068"/>
      <c r="F2068"/>
      <c r="G2068"/>
      <c r="H2068"/>
      <c r="I2068"/>
      <c r="J2068"/>
      <c r="K2068"/>
      <c r="L2068"/>
      <c r="M2068"/>
      <c r="N2068"/>
      <c r="O2068"/>
      <c r="P2068"/>
      <c r="Q2068"/>
      <c r="R2068"/>
      <c r="S2068"/>
    </row>
    <row r="2069" spans="1:19" ht="15" x14ac:dyDescent="0.2">
      <c r="A2069"/>
      <c r="B2069"/>
      <c r="C2069"/>
      <c r="D2069"/>
      <c r="E2069"/>
      <c r="F2069"/>
      <c r="G2069"/>
      <c r="H2069"/>
      <c r="I2069"/>
      <c r="J2069"/>
      <c r="K2069"/>
      <c r="L2069"/>
      <c r="M2069"/>
      <c r="N2069"/>
      <c r="O2069"/>
      <c r="P2069"/>
      <c r="Q2069"/>
      <c r="R2069"/>
      <c r="S2069"/>
    </row>
    <row r="2070" spans="1:19" ht="15" x14ac:dyDescent="0.2">
      <c r="A2070"/>
      <c r="B2070"/>
      <c r="C2070"/>
      <c r="D2070"/>
      <c r="E2070"/>
      <c r="F2070"/>
      <c r="G2070"/>
      <c r="H2070"/>
      <c r="I2070"/>
      <c r="J2070"/>
      <c r="K2070"/>
      <c r="L2070"/>
      <c r="M2070"/>
      <c r="N2070"/>
      <c r="O2070"/>
      <c r="P2070"/>
      <c r="Q2070"/>
      <c r="R2070"/>
      <c r="S2070"/>
    </row>
    <row r="2071" spans="1:19" ht="15" x14ac:dyDescent="0.2">
      <c r="A2071"/>
      <c r="B2071"/>
      <c r="C2071"/>
      <c r="D2071"/>
      <c r="E2071"/>
      <c r="F2071"/>
      <c r="G2071"/>
      <c r="H2071"/>
      <c r="I2071"/>
      <c r="J2071"/>
      <c r="K2071"/>
      <c r="L2071"/>
      <c r="M2071"/>
      <c r="N2071"/>
      <c r="O2071"/>
      <c r="P2071"/>
      <c r="Q2071"/>
      <c r="R2071"/>
      <c r="S2071"/>
    </row>
    <row r="2072" spans="1:19" ht="15" x14ac:dyDescent="0.2">
      <c r="A2072"/>
      <c r="B2072"/>
      <c r="C2072"/>
      <c r="D2072"/>
      <c r="E2072"/>
      <c r="F2072"/>
      <c r="G2072"/>
      <c r="H2072"/>
      <c r="I2072"/>
      <c r="J2072"/>
      <c r="K2072"/>
      <c r="L2072"/>
      <c r="M2072"/>
      <c r="N2072"/>
      <c r="O2072"/>
      <c r="P2072"/>
      <c r="Q2072"/>
      <c r="R2072"/>
      <c r="S2072"/>
    </row>
    <row r="2073" spans="1:19" ht="15" x14ac:dyDescent="0.2">
      <c r="A2073"/>
      <c r="B2073"/>
      <c r="C2073"/>
      <c r="D2073"/>
      <c r="E2073"/>
      <c r="F2073"/>
      <c r="G2073"/>
      <c r="H2073"/>
      <c r="I2073"/>
      <c r="J2073"/>
      <c r="K2073"/>
      <c r="L2073"/>
      <c r="M2073"/>
      <c r="N2073"/>
      <c r="O2073"/>
      <c r="P2073"/>
      <c r="Q2073"/>
      <c r="R2073"/>
      <c r="S2073"/>
    </row>
    <row r="2074" spans="1:19" ht="15" x14ac:dyDescent="0.2">
      <c r="A2074"/>
      <c r="B2074"/>
      <c r="C2074"/>
      <c r="D2074"/>
      <c r="E2074"/>
      <c r="F2074"/>
      <c r="G2074"/>
      <c r="H2074"/>
      <c r="I2074"/>
      <c r="J2074"/>
      <c r="K2074"/>
      <c r="L2074"/>
      <c r="M2074"/>
      <c r="N2074"/>
      <c r="O2074"/>
      <c r="P2074"/>
      <c r="Q2074"/>
      <c r="R2074"/>
      <c r="S2074"/>
    </row>
    <row r="2075" spans="1:19" ht="15" x14ac:dyDescent="0.2">
      <c r="A2075"/>
      <c r="B2075"/>
      <c r="C2075"/>
      <c r="D2075"/>
      <c r="E2075"/>
      <c r="F2075"/>
      <c r="G2075"/>
      <c r="H2075"/>
      <c r="I2075"/>
      <c r="J2075"/>
      <c r="K2075"/>
      <c r="L2075"/>
      <c r="M2075"/>
      <c r="N2075"/>
      <c r="O2075"/>
      <c r="P2075"/>
      <c r="Q2075"/>
      <c r="R2075"/>
      <c r="S2075"/>
    </row>
    <row r="2076" spans="1:19" ht="15" x14ac:dyDescent="0.2">
      <c r="A2076"/>
      <c r="B2076"/>
      <c r="C2076"/>
      <c r="D2076"/>
      <c r="E2076"/>
      <c r="F2076"/>
      <c r="G2076"/>
      <c r="H2076"/>
      <c r="I2076"/>
      <c r="J2076"/>
      <c r="K2076"/>
      <c r="L2076"/>
      <c r="M2076"/>
      <c r="N2076"/>
      <c r="O2076"/>
      <c r="P2076"/>
      <c r="Q2076"/>
      <c r="R2076"/>
      <c r="S2076"/>
    </row>
    <row r="2077" spans="1:19" ht="15" x14ac:dyDescent="0.2">
      <c r="A2077"/>
      <c r="B2077"/>
      <c r="C2077"/>
      <c r="D2077"/>
      <c r="E2077"/>
      <c r="F2077"/>
      <c r="G2077"/>
      <c r="H2077"/>
      <c r="I2077"/>
      <c r="J2077"/>
      <c r="K2077"/>
      <c r="L2077"/>
      <c r="M2077"/>
      <c r="N2077"/>
      <c r="O2077"/>
      <c r="P2077"/>
      <c r="Q2077"/>
      <c r="R2077"/>
      <c r="S2077"/>
    </row>
    <row r="2078" spans="1:19" ht="15" x14ac:dyDescent="0.2">
      <c r="A2078"/>
      <c r="B2078"/>
      <c r="C2078"/>
      <c r="D2078"/>
      <c r="E2078"/>
      <c r="F2078"/>
      <c r="G2078"/>
      <c r="H2078"/>
      <c r="I2078"/>
      <c r="J2078"/>
      <c r="K2078"/>
      <c r="L2078"/>
      <c r="M2078"/>
      <c r="N2078"/>
      <c r="O2078"/>
      <c r="P2078"/>
      <c r="Q2078"/>
      <c r="R2078"/>
      <c r="S2078"/>
    </row>
    <row r="2079" spans="1:19" ht="15" x14ac:dyDescent="0.2">
      <c r="A2079"/>
      <c r="B2079"/>
      <c r="C2079"/>
      <c r="D2079"/>
      <c r="E2079"/>
      <c r="F2079"/>
      <c r="G2079"/>
      <c r="H2079"/>
      <c r="I2079"/>
      <c r="J2079"/>
      <c r="K2079"/>
      <c r="L2079"/>
      <c r="M2079"/>
      <c r="N2079"/>
      <c r="O2079"/>
      <c r="P2079"/>
      <c r="Q2079"/>
      <c r="R2079"/>
      <c r="S2079"/>
    </row>
    <row r="2080" spans="1:19" ht="15" x14ac:dyDescent="0.2">
      <c r="A2080"/>
      <c r="B2080"/>
      <c r="C2080"/>
      <c r="D2080"/>
      <c r="E2080"/>
      <c r="F2080"/>
      <c r="G2080"/>
      <c r="H2080"/>
      <c r="I2080"/>
      <c r="J2080"/>
      <c r="K2080"/>
      <c r="L2080"/>
      <c r="M2080"/>
      <c r="N2080"/>
      <c r="O2080"/>
      <c r="P2080"/>
      <c r="Q2080"/>
      <c r="R2080"/>
      <c r="S2080"/>
    </row>
    <row r="2081" spans="1:19" ht="15" x14ac:dyDescent="0.2">
      <c r="A2081"/>
      <c r="B2081"/>
      <c r="C2081"/>
      <c r="D2081"/>
      <c r="E2081"/>
      <c r="F2081"/>
      <c r="G2081"/>
      <c r="H2081"/>
      <c r="I2081"/>
      <c r="J2081"/>
      <c r="K2081"/>
      <c r="L2081"/>
      <c r="M2081"/>
      <c r="N2081"/>
      <c r="O2081"/>
      <c r="P2081"/>
      <c r="Q2081"/>
      <c r="R2081"/>
      <c r="S2081"/>
    </row>
    <row r="2082" spans="1:19" ht="15" x14ac:dyDescent="0.2">
      <c r="A2082"/>
      <c r="B2082"/>
      <c r="C2082"/>
      <c r="D2082"/>
      <c r="E2082"/>
      <c r="F2082"/>
      <c r="G2082"/>
      <c r="H2082"/>
      <c r="I2082"/>
      <c r="J2082"/>
      <c r="K2082"/>
      <c r="L2082"/>
      <c r="M2082"/>
      <c r="N2082"/>
      <c r="O2082"/>
      <c r="P2082"/>
      <c r="Q2082"/>
      <c r="R2082"/>
      <c r="S2082"/>
    </row>
    <row r="2083" spans="1:19" ht="15" x14ac:dyDescent="0.2">
      <c r="A2083"/>
      <c r="B2083"/>
      <c r="C2083"/>
      <c r="D2083"/>
      <c r="E2083"/>
      <c r="F2083"/>
      <c r="G2083"/>
      <c r="H2083"/>
      <c r="I2083"/>
      <c r="J2083"/>
      <c r="K2083"/>
      <c r="L2083"/>
      <c r="M2083"/>
      <c r="N2083"/>
      <c r="O2083"/>
      <c r="P2083"/>
      <c r="Q2083"/>
      <c r="R2083"/>
      <c r="S2083"/>
    </row>
    <row r="2084" spans="1:19" ht="15" x14ac:dyDescent="0.2">
      <c r="A2084"/>
      <c r="B2084"/>
      <c r="C2084"/>
      <c r="D2084"/>
      <c r="E2084"/>
      <c r="F2084"/>
      <c r="G2084"/>
      <c r="H2084"/>
      <c r="I2084"/>
      <c r="J2084"/>
      <c r="K2084"/>
      <c r="L2084"/>
      <c r="M2084"/>
      <c r="N2084"/>
      <c r="O2084"/>
      <c r="P2084"/>
      <c r="Q2084"/>
      <c r="R2084"/>
      <c r="S2084"/>
    </row>
    <row r="2085" spans="1:19" ht="15" x14ac:dyDescent="0.2">
      <c r="A2085"/>
      <c r="B2085"/>
      <c r="C2085"/>
      <c r="D2085"/>
      <c r="E2085"/>
      <c r="F2085"/>
      <c r="G2085"/>
      <c r="H2085"/>
      <c r="I2085"/>
      <c r="J2085"/>
      <c r="K2085"/>
      <c r="L2085"/>
      <c r="M2085"/>
      <c r="N2085"/>
      <c r="O2085"/>
      <c r="P2085"/>
      <c r="Q2085"/>
      <c r="R2085"/>
      <c r="S2085"/>
    </row>
    <row r="2086" spans="1:19" ht="15" x14ac:dyDescent="0.2">
      <c r="A2086"/>
      <c r="B2086"/>
      <c r="C2086"/>
      <c r="D2086"/>
      <c r="E2086"/>
      <c r="F2086"/>
      <c r="G2086"/>
      <c r="H2086"/>
      <c r="I2086"/>
      <c r="J2086"/>
      <c r="K2086"/>
      <c r="L2086"/>
      <c r="M2086"/>
      <c r="N2086"/>
      <c r="O2086"/>
      <c r="P2086"/>
      <c r="Q2086"/>
      <c r="R2086"/>
      <c r="S2086"/>
    </row>
    <row r="2087" spans="1:19" ht="15" x14ac:dyDescent="0.2">
      <c r="A2087"/>
      <c r="B2087"/>
      <c r="C2087"/>
      <c r="D2087"/>
      <c r="E2087"/>
      <c r="F2087"/>
      <c r="G2087"/>
      <c r="H2087"/>
      <c r="I2087"/>
      <c r="J2087"/>
      <c r="K2087"/>
      <c r="L2087"/>
      <c r="M2087"/>
      <c r="N2087"/>
      <c r="O2087"/>
      <c r="P2087"/>
      <c r="Q2087"/>
      <c r="R2087"/>
      <c r="S2087"/>
    </row>
    <row r="2088" spans="1:19" ht="15" x14ac:dyDescent="0.2">
      <c r="A2088"/>
      <c r="B2088"/>
      <c r="C2088"/>
      <c r="D2088"/>
      <c r="E2088"/>
      <c r="F2088"/>
      <c r="G2088"/>
      <c r="H2088"/>
      <c r="I2088"/>
      <c r="J2088"/>
      <c r="K2088"/>
      <c r="L2088"/>
      <c r="M2088"/>
      <c r="N2088"/>
      <c r="O2088"/>
      <c r="P2088"/>
      <c r="Q2088"/>
      <c r="R2088"/>
      <c r="S2088"/>
    </row>
    <row r="2089" spans="1:19" ht="15" x14ac:dyDescent="0.2">
      <c r="A2089"/>
      <c r="B2089"/>
      <c r="C2089"/>
      <c r="D2089"/>
      <c r="E2089"/>
      <c r="F2089"/>
      <c r="G2089"/>
      <c r="H2089"/>
      <c r="I2089"/>
      <c r="J2089"/>
      <c r="K2089"/>
      <c r="L2089"/>
      <c r="M2089"/>
      <c r="N2089"/>
      <c r="O2089"/>
      <c r="P2089"/>
      <c r="Q2089"/>
      <c r="R2089"/>
      <c r="S2089"/>
    </row>
    <row r="2090" spans="1:19" ht="15" x14ac:dyDescent="0.2">
      <c r="A2090"/>
      <c r="B2090"/>
      <c r="C2090"/>
      <c r="D2090"/>
      <c r="E2090"/>
      <c r="F2090"/>
      <c r="G2090"/>
      <c r="H2090"/>
      <c r="I2090"/>
      <c r="J2090"/>
      <c r="K2090"/>
      <c r="L2090"/>
      <c r="M2090"/>
      <c r="N2090"/>
      <c r="O2090"/>
      <c r="P2090"/>
      <c r="Q2090"/>
      <c r="R2090"/>
      <c r="S2090"/>
    </row>
    <row r="2091" spans="1:19" ht="15" x14ac:dyDescent="0.2">
      <c r="A2091"/>
      <c r="B2091"/>
      <c r="C2091"/>
      <c r="D2091"/>
      <c r="E2091"/>
      <c r="F2091"/>
      <c r="G2091"/>
      <c r="H2091"/>
      <c r="I2091"/>
      <c r="J2091"/>
      <c r="K2091"/>
      <c r="L2091"/>
      <c r="M2091"/>
      <c r="N2091"/>
      <c r="O2091"/>
      <c r="P2091"/>
      <c r="Q2091"/>
      <c r="R2091"/>
      <c r="S2091"/>
    </row>
    <row r="2092" spans="1:19" ht="15" x14ac:dyDescent="0.2">
      <c r="A2092"/>
      <c r="B2092"/>
      <c r="C2092"/>
      <c r="D2092"/>
      <c r="E2092"/>
      <c r="F2092"/>
      <c r="G2092"/>
      <c r="H2092"/>
      <c r="I2092"/>
      <c r="J2092"/>
      <c r="K2092"/>
      <c r="L2092"/>
      <c r="M2092"/>
      <c r="N2092"/>
      <c r="O2092"/>
      <c r="P2092"/>
      <c r="Q2092"/>
      <c r="R2092"/>
      <c r="S2092"/>
    </row>
    <row r="2093" spans="1:19" ht="15" x14ac:dyDescent="0.2">
      <c r="A2093"/>
      <c r="B2093"/>
      <c r="C2093"/>
      <c r="D2093"/>
      <c r="E2093"/>
      <c r="F2093"/>
      <c r="G2093"/>
      <c r="H2093"/>
      <c r="I2093"/>
      <c r="J2093"/>
      <c r="K2093"/>
      <c r="L2093"/>
      <c r="M2093"/>
      <c r="N2093"/>
      <c r="O2093"/>
      <c r="P2093"/>
      <c r="Q2093"/>
      <c r="R2093"/>
      <c r="S2093"/>
    </row>
    <row r="2094" spans="1:19" ht="15" x14ac:dyDescent="0.2">
      <c r="A2094"/>
      <c r="B2094"/>
      <c r="C2094"/>
      <c r="D2094"/>
      <c r="E2094"/>
      <c r="F2094"/>
      <c r="G2094"/>
      <c r="H2094"/>
      <c r="I2094"/>
      <c r="J2094"/>
      <c r="K2094"/>
      <c r="L2094"/>
      <c r="M2094"/>
      <c r="N2094"/>
      <c r="O2094"/>
      <c r="P2094"/>
      <c r="Q2094"/>
      <c r="R2094"/>
      <c r="S2094"/>
    </row>
    <row r="2095" spans="1:19" ht="15" x14ac:dyDescent="0.2">
      <c r="A2095"/>
      <c r="B2095"/>
      <c r="C2095"/>
      <c r="D2095"/>
      <c r="E2095"/>
      <c r="F2095"/>
      <c r="G2095"/>
      <c r="H2095"/>
      <c r="I2095"/>
      <c r="J2095"/>
      <c r="K2095"/>
      <c r="L2095"/>
      <c r="M2095"/>
      <c r="N2095"/>
      <c r="O2095"/>
      <c r="P2095"/>
      <c r="Q2095"/>
      <c r="R2095"/>
      <c r="S2095"/>
    </row>
    <row r="2096" spans="1:19" ht="15" x14ac:dyDescent="0.2">
      <c r="A2096"/>
      <c r="B2096"/>
      <c r="C2096"/>
      <c r="D2096"/>
      <c r="E2096"/>
      <c r="F2096"/>
      <c r="G2096"/>
      <c r="H2096"/>
      <c r="I2096"/>
      <c r="J2096"/>
      <c r="K2096"/>
      <c r="L2096"/>
      <c r="M2096"/>
      <c r="N2096"/>
      <c r="O2096"/>
      <c r="P2096"/>
      <c r="Q2096"/>
      <c r="R2096"/>
      <c r="S2096"/>
    </row>
    <row r="2097" spans="1:19" ht="15" x14ac:dyDescent="0.2">
      <c r="A2097"/>
      <c r="B2097"/>
      <c r="C2097"/>
      <c r="D2097"/>
      <c r="E2097"/>
      <c r="F2097"/>
      <c r="G2097"/>
      <c r="H2097"/>
      <c r="I2097"/>
      <c r="J2097"/>
      <c r="K2097"/>
      <c r="L2097"/>
      <c r="M2097"/>
      <c r="N2097"/>
      <c r="O2097"/>
      <c r="P2097"/>
      <c r="Q2097"/>
      <c r="R2097"/>
      <c r="S2097"/>
    </row>
    <row r="2098" spans="1:19" ht="15" x14ac:dyDescent="0.2">
      <c r="A2098"/>
      <c r="B2098"/>
      <c r="C2098"/>
      <c r="D2098"/>
      <c r="E2098"/>
      <c r="F2098"/>
      <c r="G2098"/>
      <c r="H2098"/>
      <c r="I2098"/>
      <c r="J2098"/>
      <c r="K2098"/>
      <c r="L2098"/>
      <c r="M2098"/>
      <c r="N2098"/>
      <c r="O2098"/>
      <c r="P2098"/>
      <c r="Q2098"/>
      <c r="R2098"/>
      <c r="S2098"/>
    </row>
    <row r="2099" spans="1:19" ht="15" x14ac:dyDescent="0.2">
      <c r="A2099"/>
      <c r="B2099"/>
      <c r="C2099"/>
      <c r="D2099"/>
      <c r="E2099"/>
      <c r="F2099"/>
      <c r="G2099"/>
      <c r="H2099"/>
      <c r="I2099"/>
      <c r="J2099"/>
      <c r="K2099"/>
      <c r="L2099"/>
      <c r="M2099"/>
      <c r="N2099"/>
      <c r="O2099"/>
      <c r="P2099"/>
      <c r="Q2099"/>
      <c r="R2099"/>
      <c r="S2099"/>
    </row>
    <row r="2100" spans="1:19" ht="15" x14ac:dyDescent="0.2">
      <c r="A2100"/>
      <c r="B2100"/>
      <c r="C2100"/>
      <c r="D2100"/>
      <c r="E2100"/>
      <c r="F2100"/>
      <c r="G2100"/>
      <c r="H2100"/>
      <c r="I2100"/>
      <c r="J2100"/>
      <c r="K2100"/>
      <c r="L2100"/>
      <c r="M2100"/>
      <c r="N2100"/>
      <c r="O2100"/>
      <c r="P2100"/>
      <c r="Q2100"/>
      <c r="R2100"/>
      <c r="S2100"/>
    </row>
    <row r="2101" spans="1:19" ht="15" x14ac:dyDescent="0.2">
      <c r="A2101"/>
      <c r="B2101"/>
      <c r="C2101"/>
      <c r="D2101"/>
      <c r="E2101"/>
      <c r="F2101"/>
      <c r="G2101"/>
      <c r="H2101"/>
      <c r="I2101"/>
      <c r="J2101"/>
      <c r="K2101"/>
      <c r="L2101"/>
      <c r="M2101"/>
      <c r="N2101"/>
      <c r="O2101"/>
      <c r="P2101"/>
      <c r="Q2101"/>
      <c r="R2101"/>
      <c r="S2101"/>
    </row>
    <row r="2102" spans="1:19" ht="15" x14ac:dyDescent="0.2">
      <c r="A2102"/>
      <c r="B2102"/>
      <c r="C2102"/>
      <c r="D2102"/>
      <c r="E2102"/>
      <c r="F2102"/>
      <c r="G2102"/>
      <c r="H2102"/>
      <c r="I2102"/>
      <c r="J2102"/>
      <c r="K2102"/>
      <c r="L2102"/>
      <c r="M2102"/>
      <c r="N2102"/>
      <c r="O2102"/>
      <c r="P2102"/>
      <c r="Q2102"/>
      <c r="R2102"/>
      <c r="S2102"/>
    </row>
    <row r="2103" spans="1:19" ht="15" x14ac:dyDescent="0.2">
      <c r="A2103"/>
      <c r="B2103"/>
      <c r="C2103"/>
      <c r="D2103"/>
      <c r="E2103"/>
      <c r="F2103"/>
      <c r="G2103"/>
      <c r="H2103"/>
      <c r="I2103"/>
      <c r="J2103"/>
      <c r="K2103"/>
      <c r="L2103"/>
      <c r="M2103"/>
      <c r="N2103"/>
      <c r="O2103"/>
      <c r="P2103"/>
      <c r="Q2103"/>
      <c r="R2103"/>
      <c r="S2103"/>
    </row>
    <row r="2104" spans="1:19" ht="15" x14ac:dyDescent="0.2">
      <c r="A2104"/>
      <c r="B2104"/>
      <c r="C2104"/>
      <c r="D2104"/>
      <c r="E2104"/>
      <c r="F2104"/>
      <c r="G2104"/>
      <c r="H2104"/>
      <c r="I2104"/>
      <c r="J2104"/>
      <c r="K2104"/>
      <c r="L2104"/>
      <c r="M2104"/>
      <c r="N2104"/>
      <c r="O2104"/>
      <c r="P2104"/>
      <c r="Q2104"/>
      <c r="R2104"/>
      <c r="S2104"/>
    </row>
    <row r="2105" spans="1:19" ht="15" x14ac:dyDescent="0.2">
      <c r="A2105"/>
      <c r="B2105"/>
      <c r="C2105"/>
      <c r="D2105"/>
      <c r="E2105"/>
      <c r="F2105"/>
      <c r="G2105"/>
      <c r="H2105"/>
      <c r="I2105"/>
      <c r="J2105"/>
      <c r="K2105"/>
      <c r="L2105"/>
      <c r="M2105"/>
      <c r="N2105"/>
      <c r="O2105"/>
      <c r="P2105"/>
      <c r="Q2105"/>
      <c r="R2105"/>
      <c r="S2105"/>
    </row>
    <row r="2106" spans="1:19" ht="15" x14ac:dyDescent="0.2">
      <c r="A2106"/>
      <c r="B2106"/>
      <c r="C2106"/>
      <c r="D2106"/>
      <c r="E2106"/>
      <c r="F2106"/>
      <c r="G2106"/>
      <c r="H2106"/>
      <c r="I2106"/>
      <c r="J2106"/>
      <c r="K2106"/>
      <c r="L2106"/>
      <c r="M2106"/>
      <c r="N2106"/>
      <c r="O2106"/>
      <c r="P2106"/>
      <c r="Q2106"/>
      <c r="R2106"/>
      <c r="S2106"/>
    </row>
    <row r="2107" spans="1:19" ht="15" x14ac:dyDescent="0.2">
      <c r="A2107"/>
      <c r="B2107"/>
      <c r="C2107"/>
      <c r="D2107"/>
      <c r="E2107"/>
      <c r="F2107"/>
      <c r="G2107"/>
      <c r="H2107"/>
      <c r="I2107"/>
      <c r="J2107"/>
      <c r="K2107"/>
      <c r="L2107"/>
      <c r="M2107"/>
      <c r="N2107"/>
      <c r="O2107"/>
      <c r="P2107"/>
      <c r="Q2107"/>
      <c r="R2107"/>
      <c r="S2107"/>
    </row>
    <row r="2108" spans="1:19" ht="15" x14ac:dyDescent="0.2">
      <c r="A2108"/>
      <c r="B2108"/>
      <c r="C2108"/>
      <c r="D2108"/>
      <c r="E2108"/>
      <c r="F2108"/>
      <c r="G2108"/>
      <c r="H2108"/>
      <c r="I2108"/>
      <c r="J2108"/>
      <c r="K2108"/>
      <c r="L2108"/>
      <c r="M2108"/>
      <c r="N2108"/>
      <c r="O2108"/>
      <c r="P2108"/>
      <c r="Q2108"/>
      <c r="R2108"/>
      <c r="S2108"/>
    </row>
    <row r="2109" spans="1:19" ht="15" x14ac:dyDescent="0.2">
      <c r="A2109"/>
      <c r="B2109"/>
      <c r="C2109"/>
      <c r="D2109"/>
      <c r="E2109"/>
      <c r="F2109"/>
      <c r="G2109"/>
      <c r="H2109"/>
      <c r="I2109"/>
      <c r="J2109"/>
      <c r="K2109"/>
      <c r="L2109"/>
      <c r="M2109"/>
      <c r="N2109"/>
      <c r="O2109"/>
      <c r="P2109"/>
      <c r="Q2109"/>
      <c r="R2109"/>
      <c r="S2109"/>
    </row>
    <row r="2110" spans="1:19" ht="15" x14ac:dyDescent="0.2">
      <c r="A2110"/>
      <c r="B2110"/>
      <c r="C2110"/>
      <c r="D2110"/>
      <c r="E2110"/>
      <c r="F2110"/>
      <c r="G2110"/>
      <c r="H2110"/>
      <c r="I2110"/>
      <c r="J2110"/>
      <c r="K2110"/>
      <c r="L2110"/>
      <c r="M2110"/>
      <c r="N2110"/>
      <c r="O2110"/>
      <c r="P2110"/>
      <c r="Q2110"/>
      <c r="R2110"/>
      <c r="S2110"/>
    </row>
    <row r="2111" spans="1:19" ht="15" x14ac:dyDescent="0.2">
      <c r="A2111"/>
      <c r="B2111"/>
      <c r="C2111"/>
      <c r="D2111"/>
      <c r="E2111"/>
      <c r="F2111"/>
      <c r="G2111"/>
      <c r="H2111"/>
      <c r="I2111"/>
      <c r="J2111"/>
      <c r="K2111"/>
      <c r="L2111"/>
      <c r="M2111"/>
      <c r="N2111"/>
      <c r="O2111"/>
      <c r="P2111"/>
      <c r="Q2111"/>
      <c r="R2111"/>
      <c r="S2111"/>
    </row>
    <row r="2112" spans="1:19" ht="15" x14ac:dyDescent="0.2">
      <c r="A2112"/>
      <c r="B2112"/>
      <c r="C2112"/>
      <c r="D2112"/>
      <c r="E2112"/>
      <c r="F2112"/>
      <c r="G2112"/>
      <c r="H2112"/>
      <c r="I2112"/>
      <c r="J2112"/>
      <c r="K2112"/>
      <c r="L2112"/>
      <c r="M2112"/>
      <c r="N2112"/>
      <c r="O2112"/>
      <c r="P2112"/>
      <c r="Q2112"/>
      <c r="R2112"/>
      <c r="S2112"/>
    </row>
    <row r="2113" spans="1:19" ht="15" x14ac:dyDescent="0.2">
      <c r="A2113"/>
      <c r="B2113"/>
      <c r="C2113"/>
      <c r="D2113"/>
      <c r="E2113"/>
      <c r="F2113"/>
      <c r="G2113"/>
      <c r="H2113"/>
      <c r="I2113"/>
      <c r="J2113"/>
      <c r="K2113"/>
      <c r="L2113"/>
      <c r="M2113"/>
      <c r="N2113"/>
      <c r="O2113"/>
      <c r="P2113"/>
      <c r="Q2113"/>
      <c r="R2113"/>
      <c r="S2113"/>
    </row>
    <row r="2114" spans="1:19" ht="15" x14ac:dyDescent="0.2">
      <c r="A2114"/>
      <c r="B2114"/>
      <c r="C2114"/>
      <c r="D2114"/>
      <c r="E2114"/>
      <c r="F2114"/>
      <c r="G2114"/>
      <c r="H2114"/>
      <c r="I2114"/>
      <c r="J2114"/>
      <c r="K2114"/>
      <c r="L2114"/>
      <c r="M2114"/>
      <c r="N2114"/>
      <c r="O2114"/>
      <c r="P2114"/>
      <c r="Q2114"/>
      <c r="R2114"/>
      <c r="S2114"/>
    </row>
    <row r="2115" spans="1:19" ht="15" x14ac:dyDescent="0.2">
      <c r="A2115"/>
      <c r="B2115"/>
      <c r="C2115"/>
      <c r="D2115"/>
      <c r="E2115"/>
      <c r="F2115"/>
      <c r="G2115"/>
      <c r="H2115"/>
      <c r="I2115"/>
      <c r="J2115"/>
      <c r="K2115"/>
      <c r="L2115"/>
      <c r="M2115"/>
      <c r="N2115"/>
      <c r="O2115"/>
      <c r="P2115"/>
      <c r="Q2115"/>
      <c r="R2115"/>
      <c r="S2115"/>
    </row>
    <row r="2116" spans="1:19" ht="15" x14ac:dyDescent="0.2">
      <c r="A2116"/>
      <c r="B2116"/>
      <c r="C2116"/>
      <c r="D2116"/>
      <c r="E2116"/>
      <c r="F2116"/>
      <c r="G2116"/>
      <c r="H2116"/>
      <c r="I2116"/>
      <c r="J2116"/>
      <c r="K2116"/>
      <c r="L2116"/>
      <c r="M2116"/>
      <c r="N2116"/>
      <c r="O2116"/>
      <c r="P2116"/>
      <c r="Q2116"/>
      <c r="R2116"/>
      <c r="S2116"/>
    </row>
    <row r="2117" spans="1:19" ht="15" x14ac:dyDescent="0.2">
      <c r="A2117"/>
      <c r="B2117"/>
      <c r="C2117"/>
      <c r="D2117"/>
      <c r="E2117"/>
      <c r="F2117"/>
      <c r="G2117"/>
      <c r="H2117"/>
      <c r="I2117"/>
      <c r="J2117"/>
      <c r="K2117"/>
      <c r="L2117"/>
      <c r="M2117"/>
      <c r="N2117"/>
      <c r="O2117"/>
      <c r="P2117"/>
      <c r="Q2117"/>
      <c r="R2117"/>
      <c r="S2117"/>
    </row>
    <row r="2118" spans="1:19" ht="15" x14ac:dyDescent="0.2">
      <c r="A2118"/>
      <c r="B2118"/>
      <c r="C2118"/>
      <c r="D2118"/>
      <c r="E2118"/>
      <c r="F2118"/>
      <c r="G2118"/>
      <c r="H2118"/>
      <c r="I2118"/>
      <c r="J2118"/>
      <c r="K2118"/>
      <c r="L2118"/>
      <c r="M2118"/>
      <c r="N2118"/>
      <c r="O2118"/>
      <c r="P2118"/>
      <c r="Q2118"/>
      <c r="R2118"/>
      <c r="S2118"/>
    </row>
    <row r="2119" spans="1:19" ht="15" x14ac:dyDescent="0.2">
      <c r="A2119"/>
      <c r="B2119"/>
      <c r="C2119"/>
      <c r="D2119"/>
      <c r="E2119"/>
      <c r="F2119"/>
      <c r="G2119"/>
      <c r="H2119"/>
      <c r="I2119"/>
      <c r="J2119"/>
      <c r="K2119"/>
      <c r="L2119"/>
      <c r="M2119"/>
      <c r="N2119"/>
      <c r="O2119"/>
      <c r="P2119"/>
      <c r="Q2119"/>
      <c r="R2119"/>
      <c r="S2119"/>
    </row>
    <row r="2120" spans="1:19" ht="15" x14ac:dyDescent="0.2">
      <c r="A2120"/>
      <c r="B2120"/>
      <c r="C2120"/>
      <c r="D2120"/>
      <c r="E2120"/>
      <c r="F2120"/>
      <c r="G2120"/>
      <c r="H2120"/>
      <c r="I2120"/>
      <c r="J2120"/>
      <c r="K2120"/>
      <c r="L2120"/>
      <c r="M2120"/>
      <c r="N2120"/>
      <c r="O2120"/>
      <c r="P2120"/>
      <c r="Q2120"/>
      <c r="R2120"/>
      <c r="S2120"/>
    </row>
    <row r="2121" spans="1:19" ht="15" x14ac:dyDescent="0.2">
      <c r="A2121"/>
      <c r="B2121"/>
      <c r="C2121"/>
      <c r="D2121"/>
      <c r="E2121"/>
      <c r="F2121"/>
      <c r="G2121"/>
      <c r="H2121"/>
      <c r="I2121"/>
      <c r="J2121"/>
      <c r="K2121"/>
      <c r="L2121"/>
      <c r="M2121"/>
      <c r="N2121"/>
      <c r="O2121"/>
      <c r="P2121"/>
      <c r="Q2121"/>
      <c r="R2121"/>
      <c r="S2121"/>
    </row>
    <row r="2122" spans="1:19" ht="15" x14ac:dyDescent="0.2">
      <c r="A2122"/>
      <c r="B2122"/>
      <c r="C2122"/>
      <c r="D2122"/>
      <c r="E2122"/>
      <c r="F2122"/>
      <c r="G2122"/>
      <c r="H2122"/>
      <c r="I2122"/>
      <c r="J2122"/>
      <c r="K2122"/>
      <c r="L2122"/>
      <c r="M2122"/>
      <c r="N2122"/>
      <c r="O2122"/>
      <c r="P2122"/>
      <c r="Q2122"/>
      <c r="R2122"/>
      <c r="S2122"/>
    </row>
    <row r="2123" spans="1:19" ht="15" x14ac:dyDescent="0.2">
      <c r="A2123"/>
      <c r="B2123"/>
      <c r="C2123"/>
      <c r="D2123"/>
      <c r="E2123"/>
      <c r="F2123"/>
      <c r="G2123"/>
      <c r="H2123"/>
      <c r="I2123"/>
      <c r="J2123"/>
      <c r="K2123"/>
      <c r="L2123"/>
      <c r="M2123"/>
      <c r="N2123"/>
      <c r="O2123"/>
      <c r="P2123"/>
      <c r="Q2123"/>
      <c r="R2123"/>
      <c r="S2123"/>
    </row>
    <row r="2124" spans="1:19" ht="15" x14ac:dyDescent="0.2">
      <c r="A2124"/>
      <c r="B2124"/>
      <c r="C2124"/>
      <c r="D2124"/>
      <c r="E2124"/>
      <c r="F2124"/>
      <c r="G2124"/>
      <c r="H2124"/>
      <c r="I2124"/>
      <c r="J2124"/>
      <c r="K2124"/>
      <c r="L2124"/>
      <c r="M2124"/>
      <c r="N2124"/>
      <c r="O2124"/>
      <c r="P2124"/>
      <c r="Q2124"/>
      <c r="R2124"/>
      <c r="S2124"/>
    </row>
    <row r="2125" spans="1:19" ht="15" x14ac:dyDescent="0.2">
      <c r="A2125"/>
      <c r="B2125"/>
      <c r="C2125"/>
      <c r="D2125"/>
      <c r="E2125"/>
      <c r="F2125"/>
      <c r="G2125"/>
      <c r="H2125"/>
      <c r="I2125"/>
      <c r="J2125"/>
      <c r="K2125"/>
      <c r="L2125"/>
      <c r="M2125"/>
      <c r="N2125"/>
      <c r="O2125"/>
      <c r="P2125"/>
      <c r="Q2125"/>
      <c r="R2125"/>
      <c r="S2125"/>
    </row>
    <row r="2126" spans="1:19" ht="15" x14ac:dyDescent="0.2">
      <c r="A2126"/>
      <c r="B2126"/>
      <c r="C2126"/>
      <c r="D2126"/>
      <c r="E2126"/>
      <c r="F2126"/>
      <c r="G2126"/>
      <c r="H2126"/>
      <c r="I2126"/>
      <c r="J2126"/>
      <c r="K2126"/>
      <c r="L2126"/>
      <c r="M2126"/>
      <c r="N2126"/>
      <c r="O2126"/>
      <c r="P2126"/>
      <c r="Q2126"/>
      <c r="R2126"/>
      <c r="S2126"/>
    </row>
    <row r="2127" spans="1:19" ht="15" x14ac:dyDescent="0.2">
      <c r="A2127"/>
      <c r="B2127"/>
      <c r="C2127"/>
      <c r="D2127"/>
      <c r="E2127"/>
      <c r="F2127"/>
      <c r="G2127"/>
      <c r="H2127"/>
      <c r="I2127"/>
      <c r="J2127"/>
      <c r="K2127"/>
      <c r="L2127"/>
      <c r="M2127"/>
      <c r="N2127"/>
      <c r="O2127"/>
      <c r="P2127"/>
      <c r="Q2127"/>
      <c r="R2127"/>
      <c r="S2127"/>
    </row>
    <row r="2128" spans="1:19" ht="15" x14ac:dyDescent="0.2">
      <c r="A2128"/>
      <c r="B2128"/>
      <c r="C2128"/>
      <c r="D2128"/>
      <c r="E2128"/>
      <c r="F2128"/>
      <c r="G2128"/>
      <c r="H2128"/>
      <c r="I2128"/>
      <c r="J2128"/>
      <c r="K2128"/>
      <c r="L2128"/>
      <c r="M2128"/>
      <c r="N2128"/>
      <c r="O2128"/>
      <c r="P2128"/>
      <c r="Q2128"/>
      <c r="R2128"/>
      <c r="S2128"/>
    </row>
    <row r="2129" spans="1:19" ht="15" x14ac:dyDescent="0.2">
      <c r="A2129"/>
      <c r="B2129"/>
      <c r="C2129"/>
      <c r="D2129"/>
      <c r="E2129"/>
      <c r="F2129"/>
      <c r="G2129"/>
      <c r="H2129"/>
      <c r="I2129"/>
      <c r="J2129"/>
      <c r="K2129"/>
      <c r="L2129"/>
      <c r="M2129"/>
      <c r="N2129"/>
      <c r="O2129"/>
      <c r="P2129"/>
      <c r="Q2129"/>
      <c r="R2129"/>
      <c r="S2129"/>
    </row>
    <row r="2130" spans="1:19" ht="15" x14ac:dyDescent="0.2">
      <c r="A2130"/>
      <c r="B2130"/>
      <c r="C2130"/>
      <c r="D2130"/>
      <c r="E2130"/>
      <c r="F2130"/>
      <c r="G2130"/>
      <c r="H2130"/>
      <c r="I2130"/>
      <c r="J2130"/>
      <c r="K2130"/>
      <c r="L2130"/>
      <c r="M2130"/>
      <c r="N2130"/>
      <c r="O2130"/>
      <c r="P2130"/>
      <c r="Q2130"/>
      <c r="R2130"/>
      <c r="S2130"/>
    </row>
    <row r="2131" spans="1:19" ht="15" x14ac:dyDescent="0.2">
      <c r="A2131"/>
      <c r="B2131"/>
      <c r="C2131"/>
      <c r="D2131"/>
      <c r="E2131"/>
      <c r="F2131"/>
      <c r="G2131"/>
      <c r="H2131"/>
      <c r="I2131"/>
      <c r="J2131"/>
      <c r="K2131"/>
      <c r="L2131"/>
      <c r="M2131"/>
      <c r="N2131"/>
      <c r="O2131"/>
      <c r="P2131"/>
      <c r="Q2131"/>
      <c r="R2131"/>
      <c r="S2131"/>
    </row>
    <row r="2132" spans="1:19" ht="15" x14ac:dyDescent="0.2">
      <c r="A2132"/>
      <c r="B2132"/>
      <c r="C2132"/>
      <c r="D2132"/>
      <c r="E2132"/>
      <c r="F2132"/>
      <c r="G2132"/>
      <c r="H2132"/>
      <c r="I2132"/>
      <c r="J2132"/>
      <c r="K2132"/>
      <c r="L2132"/>
      <c r="M2132"/>
      <c r="N2132"/>
      <c r="O2132"/>
      <c r="P2132"/>
      <c r="Q2132"/>
      <c r="R2132"/>
      <c r="S2132"/>
    </row>
    <row r="2133" spans="1:19" ht="15" x14ac:dyDescent="0.2">
      <c r="A2133"/>
      <c r="B2133"/>
      <c r="C2133"/>
      <c r="D2133"/>
      <c r="E2133"/>
      <c r="F2133"/>
      <c r="G2133"/>
      <c r="H2133"/>
      <c r="I2133"/>
      <c r="J2133"/>
      <c r="K2133"/>
      <c r="L2133"/>
      <c r="M2133"/>
      <c r="N2133"/>
      <c r="O2133"/>
      <c r="P2133"/>
      <c r="Q2133"/>
      <c r="R2133"/>
      <c r="S2133"/>
    </row>
    <row r="2134" spans="1:19" ht="15" x14ac:dyDescent="0.2">
      <c r="A2134"/>
      <c r="B2134"/>
      <c r="C2134"/>
      <c r="D2134"/>
      <c r="E2134"/>
      <c r="F2134"/>
      <c r="G2134"/>
      <c r="H2134"/>
      <c r="I2134"/>
      <c r="J2134"/>
      <c r="K2134"/>
      <c r="L2134"/>
      <c r="M2134"/>
      <c r="N2134"/>
      <c r="O2134"/>
      <c r="P2134"/>
      <c r="Q2134"/>
      <c r="R2134"/>
      <c r="S2134"/>
    </row>
    <row r="2135" spans="1:19" ht="15" x14ac:dyDescent="0.2">
      <c r="A2135"/>
      <c r="B2135"/>
      <c r="C2135"/>
      <c r="D2135"/>
      <c r="E2135"/>
      <c r="F2135"/>
      <c r="G2135"/>
      <c r="H2135"/>
      <c r="I2135"/>
      <c r="J2135"/>
      <c r="K2135"/>
      <c r="L2135"/>
      <c r="M2135"/>
      <c r="N2135"/>
      <c r="O2135"/>
      <c r="P2135"/>
      <c r="Q2135"/>
      <c r="R2135"/>
      <c r="S2135"/>
    </row>
    <row r="2136" spans="1:19" ht="15" x14ac:dyDescent="0.2">
      <c r="A2136"/>
      <c r="B2136"/>
      <c r="C2136"/>
      <c r="D2136"/>
      <c r="E2136"/>
      <c r="F2136"/>
      <c r="G2136"/>
      <c r="H2136"/>
      <c r="I2136"/>
      <c r="J2136"/>
      <c r="K2136"/>
      <c r="L2136"/>
      <c r="M2136"/>
      <c r="N2136"/>
      <c r="O2136"/>
      <c r="P2136"/>
      <c r="Q2136"/>
      <c r="R2136"/>
      <c r="S2136"/>
    </row>
    <row r="2137" spans="1:19" ht="15" x14ac:dyDescent="0.2">
      <c r="A2137"/>
      <c r="B2137"/>
      <c r="C2137"/>
      <c r="D2137"/>
      <c r="E2137"/>
      <c r="F2137"/>
      <c r="G2137"/>
      <c r="H2137"/>
      <c r="I2137"/>
      <c r="J2137"/>
      <c r="K2137"/>
      <c r="L2137"/>
      <c r="M2137"/>
      <c r="N2137"/>
      <c r="O2137"/>
      <c r="P2137"/>
      <c r="Q2137"/>
      <c r="R2137"/>
      <c r="S2137"/>
    </row>
    <row r="2138" spans="1:19" ht="15" x14ac:dyDescent="0.2">
      <c r="A2138"/>
      <c r="B2138"/>
      <c r="C2138"/>
      <c r="D2138"/>
      <c r="E2138"/>
      <c r="F2138"/>
      <c r="G2138"/>
      <c r="H2138"/>
      <c r="I2138"/>
      <c r="J2138"/>
      <c r="K2138"/>
      <c r="L2138"/>
      <c r="M2138"/>
      <c r="N2138"/>
      <c r="O2138"/>
      <c r="P2138"/>
      <c r="Q2138"/>
      <c r="R2138"/>
      <c r="S2138"/>
    </row>
    <row r="2139" spans="1:19" ht="15" x14ac:dyDescent="0.2">
      <c r="A2139"/>
      <c r="B2139"/>
      <c r="C2139"/>
      <c r="D2139"/>
      <c r="E2139"/>
      <c r="F2139"/>
      <c r="G2139"/>
      <c r="H2139"/>
      <c r="I2139"/>
      <c r="J2139"/>
      <c r="K2139"/>
      <c r="L2139"/>
      <c r="M2139"/>
      <c r="N2139"/>
      <c r="O2139"/>
      <c r="P2139"/>
      <c r="Q2139"/>
      <c r="R2139"/>
      <c r="S2139"/>
    </row>
    <row r="2140" spans="1:19" ht="15" x14ac:dyDescent="0.2">
      <c r="A2140"/>
      <c r="B2140"/>
      <c r="C2140"/>
      <c r="D2140"/>
      <c r="E2140"/>
      <c r="F2140"/>
      <c r="G2140"/>
      <c r="H2140"/>
      <c r="I2140"/>
      <c r="J2140"/>
      <c r="K2140"/>
      <c r="L2140"/>
      <c r="M2140"/>
      <c r="N2140"/>
      <c r="O2140"/>
      <c r="P2140"/>
      <c r="Q2140"/>
      <c r="R2140"/>
      <c r="S2140"/>
    </row>
    <row r="2141" spans="1:19" ht="15" x14ac:dyDescent="0.2">
      <c r="A2141"/>
      <c r="B2141"/>
      <c r="C2141"/>
      <c r="D2141"/>
      <c r="E2141"/>
      <c r="F2141"/>
      <c r="G2141"/>
      <c r="H2141"/>
      <c r="I2141"/>
      <c r="J2141"/>
      <c r="K2141"/>
      <c r="L2141"/>
      <c r="M2141"/>
      <c r="N2141"/>
      <c r="O2141"/>
      <c r="P2141"/>
      <c r="Q2141"/>
      <c r="R2141"/>
      <c r="S2141"/>
    </row>
    <row r="2142" spans="1:19" ht="15" x14ac:dyDescent="0.2">
      <c r="A2142"/>
      <c r="B2142"/>
      <c r="C2142"/>
      <c r="D2142"/>
      <c r="E2142"/>
      <c r="F2142"/>
      <c r="G2142"/>
      <c r="H2142"/>
      <c r="I2142"/>
      <c r="J2142"/>
      <c r="K2142"/>
      <c r="L2142"/>
      <c r="M2142"/>
      <c r="N2142"/>
      <c r="O2142"/>
      <c r="P2142"/>
      <c r="Q2142"/>
      <c r="R2142"/>
      <c r="S2142"/>
    </row>
    <row r="2143" spans="1:19" ht="15" x14ac:dyDescent="0.2">
      <c r="A2143"/>
      <c r="B2143"/>
      <c r="C2143"/>
      <c r="D2143"/>
      <c r="E2143"/>
      <c r="F2143"/>
      <c r="G2143"/>
      <c r="H2143"/>
      <c r="I2143"/>
      <c r="J2143"/>
      <c r="K2143"/>
      <c r="L2143"/>
      <c r="M2143"/>
      <c r="N2143"/>
      <c r="O2143"/>
      <c r="P2143"/>
      <c r="Q2143"/>
      <c r="R2143"/>
      <c r="S2143"/>
    </row>
    <row r="2144" spans="1:19" ht="15" x14ac:dyDescent="0.2">
      <c r="A2144"/>
      <c r="B2144"/>
      <c r="C2144"/>
      <c r="D2144"/>
      <c r="E2144"/>
      <c r="F2144"/>
      <c r="G2144"/>
      <c r="H2144"/>
      <c r="I2144"/>
      <c r="J2144"/>
      <c r="K2144"/>
      <c r="L2144"/>
      <c r="M2144"/>
      <c r="N2144"/>
      <c r="O2144"/>
      <c r="P2144"/>
      <c r="Q2144"/>
      <c r="R2144"/>
      <c r="S2144"/>
    </row>
    <row r="2145" spans="1:19" ht="15" x14ac:dyDescent="0.2">
      <c r="A2145"/>
      <c r="B2145"/>
      <c r="C2145"/>
      <c r="D2145"/>
      <c r="E2145"/>
      <c r="F2145"/>
      <c r="G2145"/>
      <c r="H2145"/>
      <c r="I2145"/>
      <c r="J2145"/>
      <c r="K2145"/>
      <c r="L2145"/>
      <c r="M2145"/>
      <c r="N2145"/>
      <c r="O2145"/>
      <c r="P2145"/>
      <c r="Q2145"/>
      <c r="R2145"/>
      <c r="S2145"/>
    </row>
    <row r="2146" spans="1:19" ht="15" x14ac:dyDescent="0.2">
      <c r="A2146"/>
      <c r="B2146"/>
      <c r="C2146"/>
      <c r="D2146"/>
      <c r="E2146"/>
      <c r="F2146"/>
      <c r="G2146"/>
      <c r="H2146"/>
      <c r="I2146"/>
      <c r="J2146"/>
      <c r="K2146"/>
      <c r="L2146"/>
      <c r="M2146"/>
      <c r="N2146"/>
      <c r="O2146"/>
      <c r="P2146"/>
      <c r="Q2146"/>
      <c r="R2146"/>
      <c r="S2146"/>
    </row>
    <row r="2147" spans="1:19" ht="15" x14ac:dyDescent="0.2">
      <c r="A2147"/>
      <c r="B2147"/>
      <c r="C2147"/>
      <c r="D2147"/>
      <c r="E2147"/>
      <c r="F2147"/>
      <c r="G2147"/>
      <c r="H2147"/>
      <c r="I2147"/>
      <c r="J2147"/>
      <c r="K2147"/>
      <c r="L2147"/>
      <c r="M2147"/>
      <c r="N2147"/>
      <c r="O2147"/>
      <c r="P2147"/>
      <c r="Q2147"/>
      <c r="R2147"/>
      <c r="S2147"/>
    </row>
    <row r="2148" spans="1:19" ht="15" x14ac:dyDescent="0.2">
      <c r="A2148"/>
      <c r="B2148"/>
      <c r="C2148"/>
      <c r="D2148"/>
      <c r="E2148"/>
      <c r="F2148"/>
      <c r="G2148"/>
      <c r="H2148"/>
      <c r="I2148"/>
      <c r="J2148"/>
      <c r="K2148"/>
      <c r="L2148"/>
      <c r="M2148"/>
      <c r="N2148"/>
      <c r="O2148"/>
      <c r="P2148"/>
      <c r="Q2148"/>
      <c r="R2148"/>
      <c r="S2148"/>
    </row>
    <row r="2149" spans="1:19" ht="15" x14ac:dyDescent="0.2">
      <c r="A2149"/>
      <c r="B2149"/>
      <c r="C2149"/>
      <c r="D2149"/>
      <c r="E2149"/>
      <c r="F2149"/>
      <c r="G2149"/>
      <c r="H2149"/>
      <c r="I2149"/>
      <c r="J2149"/>
      <c r="K2149"/>
      <c r="L2149"/>
      <c r="M2149"/>
      <c r="N2149"/>
      <c r="O2149"/>
      <c r="P2149"/>
      <c r="Q2149"/>
      <c r="R2149"/>
      <c r="S2149"/>
    </row>
    <row r="2150" spans="1:19" ht="15" x14ac:dyDescent="0.2">
      <c r="A2150"/>
      <c r="B2150"/>
      <c r="C2150"/>
      <c r="D2150"/>
      <c r="E2150"/>
      <c r="F2150"/>
      <c r="G2150"/>
      <c r="H2150"/>
      <c r="I2150"/>
      <c r="J2150"/>
      <c r="K2150"/>
      <c r="L2150"/>
      <c r="M2150"/>
      <c r="N2150"/>
      <c r="O2150"/>
      <c r="P2150"/>
      <c r="Q2150"/>
      <c r="R2150"/>
      <c r="S2150"/>
    </row>
    <row r="2151" spans="1:19" ht="15" x14ac:dyDescent="0.2">
      <c r="A2151"/>
      <c r="B2151"/>
      <c r="C2151"/>
      <c r="D2151"/>
      <c r="E2151"/>
      <c r="F2151"/>
      <c r="G2151"/>
      <c r="H2151"/>
      <c r="I2151"/>
      <c r="J2151"/>
      <c r="K2151"/>
      <c r="L2151"/>
      <c r="M2151"/>
      <c r="N2151"/>
      <c r="O2151"/>
      <c r="P2151"/>
      <c r="Q2151"/>
      <c r="R2151"/>
      <c r="S2151"/>
    </row>
    <row r="2152" spans="1:19" ht="15" x14ac:dyDescent="0.2">
      <c r="A2152"/>
      <c r="B2152"/>
      <c r="C2152"/>
      <c r="D2152"/>
      <c r="E2152"/>
      <c r="F2152"/>
      <c r="G2152"/>
      <c r="H2152"/>
      <c r="I2152"/>
      <c r="J2152"/>
      <c r="K2152"/>
      <c r="L2152"/>
      <c r="M2152"/>
      <c r="N2152"/>
      <c r="O2152"/>
      <c r="P2152"/>
      <c r="Q2152"/>
      <c r="R2152"/>
      <c r="S2152"/>
    </row>
    <row r="2153" spans="1:19" ht="15" x14ac:dyDescent="0.2">
      <c r="A2153"/>
      <c r="B2153"/>
      <c r="C2153"/>
      <c r="D2153"/>
      <c r="E2153"/>
      <c r="F2153"/>
      <c r="G2153"/>
      <c r="H2153"/>
      <c r="I2153"/>
      <c r="J2153"/>
      <c r="K2153"/>
      <c r="L2153"/>
      <c r="M2153"/>
      <c r="N2153"/>
      <c r="O2153"/>
      <c r="P2153"/>
      <c r="Q2153"/>
      <c r="R2153"/>
      <c r="S2153"/>
    </row>
    <row r="2154" spans="1:19" ht="15" x14ac:dyDescent="0.2">
      <c r="A2154"/>
      <c r="B2154"/>
      <c r="C2154"/>
      <c r="D2154"/>
      <c r="E2154"/>
      <c r="F2154"/>
      <c r="G2154"/>
      <c r="H2154"/>
      <c r="I2154"/>
      <c r="J2154"/>
      <c r="K2154"/>
      <c r="L2154"/>
      <c r="M2154"/>
      <c r="N2154"/>
      <c r="O2154"/>
      <c r="P2154"/>
      <c r="Q2154"/>
      <c r="R2154"/>
      <c r="S2154"/>
    </row>
    <row r="2155" spans="1:19" ht="15" x14ac:dyDescent="0.2">
      <c r="A2155"/>
      <c r="B2155"/>
      <c r="C2155"/>
      <c r="D2155"/>
      <c r="E2155"/>
      <c r="F2155"/>
      <c r="G2155"/>
      <c r="H2155"/>
      <c r="I2155"/>
      <c r="J2155"/>
      <c r="K2155"/>
      <c r="L2155"/>
      <c r="M2155"/>
      <c r="N2155"/>
      <c r="O2155"/>
      <c r="P2155"/>
      <c r="Q2155"/>
      <c r="R2155"/>
      <c r="S2155"/>
    </row>
    <row r="2156" spans="1:19" ht="15" x14ac:dyDescent="0.2">
      <c r="A2156"/>
      <c r="B2156"/>
      <c r="C2156"/>
      <c r="D2156"/>
      <c r="E2156"/>
      <c r="F2156"/>
      <c r="G2156"/>
      <c r="H2156"/>
      <c r="I2156"/>
      <c r="J2156"/>
      <c r="K2156"/>
      <c r="L2156"/>
      <c r="M2156"/>
      <c r="N2156"/>
      <c r="O2156"/>
      <c r="P2156"/>
      <c r="Q2156"/>
      <c r="R2156"/>
      <c r="S2156"/>
    </row>
    <row r="2157" spans="1:19" ht="15" x14ac:dyDescent="0.2">
      <c r="A2157"/>
      <c r="B2157"/>
      <c r="C2157"/>
      <c r="D2157"/>
      <c r="E2157"/>
      <c r="F2157"/>
      <c r="G2157"/>
      <c r="H2157"/>
      <c r="I2157"/>
      <c r="J2157"/>
      <c r="K2157"/>
      <c r="L2157"/>
      <c r="M2157"/>
      <c r="N2157"/>
      <c r="O2157"/>
      <c r="P2157"/>
      <c r="Q2157"/>
      <c r="R2157"/>
      <c r="S2157"/>
    </row>
    <row r="2158" spans="1:19" ht="15" x14ac:dyDescent="0.2">
      <c r="A2158"/>
      <c r="B2158"/>
      <c r="C2158"/>
      <c r="D2158"/>
      <c r="E2158"/>
      <c r="F2158"/>
      <c r="G2158"/>
      <c r="H2158"/>
      <c r="I2158"/>
      <c r="J2158"/>
      <c r="K2158"/>
      <c r="L2158"/>
      <c r="M2158"/>
      <c r="N2158"/>
      <c r="O2158"/>
      <c r="P2158"/>
      <c r="Q2158"/>
      <c r="R2158"/>
      <c r="S2158"/>
    </row>
    <row r="2159" spans="1:19" ht="15" x14ac:dyDescent="0.2">
      <c r="A2159"/>
      <c r="B2159"/>
      <c r="C2159"/>
      <c r="D2159"/>
      <c r="E2159"/>
      <c r="F2159"/>
      <c r="G2159"/>
      <c r="H2159"/>
      <c r="I2159"/>
      <c r="J2159"/>
      <c r="K2159"/>
      <c r="L2159"/>
      <c r="M2159"/>
      <c r="N2159"/>
      <c r="O2159"/>
      <c r="P2159"/>
      <c r="Q2159"/>
      <c r="R2159"/>
      <c r="S2159"/>
    </row>
    <row r="2160" spans="1:19" ht="15" x14ac:dyDescent="0.2">
      <c r="A2160"/>
      <c r="B2160"/>
      <c r="C2160"/>
      <c r="D2160"/>
      <c r="E2160"/>
      <c r="F2160"/>
      <c r="G2160"/>
      <c r="H2160"/>
      <c r="I2160"/>
      <c r="J2160"/>
      <c r="K2160"/>
      <c r="L2160"/>
      <c r="M2160"/>
      <c r="N2160"/>
      <c r="O2160"/>
      <c r="P2160"/>
      <c r="Q2160"/>
      <c r="R2160"/>
      <c r="S2160"/>
    </row>
    <row r="2161" spans="1:19" ht="15" x14ac:dyDescent="0.2">
      <c r="A2161"/>
      <c r="B2161"/>
      <c r="C2161"/>
      <c r="D2161"/>
      <c r="E2161"/>
      <c r="F2161"/>
      <c r="G2161"/>
      <c r="H2161"/>
      <c r="I2161"/>
      <c r="J2161"/>
      <c r="K2161"/>
      <c r="L2161"/>
      <c r="M2161"/>
      <c r="N2161"/>
      <c r="O2161"/>
      <c r="P2161"/>
      <c r="Q2161"/>
      <c r="R2161"/>
      <c r="S2161"/>
    </row>
    <row r="2162" spans="1:19" ht="15" x14ac:dyDescent="0.2">
      <c r="A2162"/>
      <c r="B2162"/>
      <c r="C2162"/>
      <c r="D2162"/>
      <c r="E2162"/>
      <c r="F2162"/>
      <c r="G2162"/>
      <c r="H2162"/>
      <c r="I2162"/>
      <c r="J2162"/>
      <c r="K2162"/>
      <c r="L2162"/>
      <c r="M2162"/>
      <c r="N2162"/>
      <c r="O2162"/>
      <c r="P2162"/>
      <c r="Q2162"/>
      <c r="R2162"/>
      <c r="S2162"/>
    </row>
    <row r="2163" spans="1:19" ht="15" x14ac:dyDescent="0.2">
      <c r="A2163"/>
      <c r="B2163"/>
      <c r="C2163"/>
      <c r="D2163"/>
      <c r="E2163"/>
      <c r="F2163"/>
      <c r="G2163"/>
      <c r="H2163"/>
      <c r="I2163"/>
      <c r="J2163"/>
      <c r="K2163"/>
      <c r="L2163"/>
      <c r="M2163"/>
      <c r="N2163"/>
      <c r="O2163"/>
      <c r="P2163"/>
      <c r="Q2163"/>
      <c r="R2163"/>
      <c r="S2163"/>
    </row>
    <row r="2164" spans="1:19" ht="15" x14ac:dyDescent="0.2">
      <c r="A2164"/>
      <c r="B2164"/>
      <c r="C2164"/>
      <c r="D2164"/>
      <c r="E2164"/>
      <c r="F2164"/>
      <c r="G2164"/>
      <c r="H2164"/>
      <c r="I2164"/>
      <c r="J2164"/>
      <c r="K2164"/>
      <c r="L2164"/>
      <c r="M2164"/>
      <c r="N2164"/>
      <c r="O2164"/>
      <c r="P2164"/>
      <c r="Q2164"/>
      <c r="R2164"/>
      <c r="S2164"/>
    </row>
    <row r="2165" spans="1:19" ht="15" x14ac:dyDescent="0.2">
      <c r="A2165"/>
      <c r="B2165"/>
      <c r="C2165"/>
      <c r="D2165"/>
      <c r="E2165"/>
      <c r="F2165"/>
      <c r="G2165"/>
      <c r="H2165"/>
      <c r="I2165"/>
      <c r="J2165"/>
      <c r="K2165"/>
      <c r="L2165"/>
      <c r="M2165"/>
      <c r="N2165"/>
      <c r="O2165"/>
      <c r="P2165"/>
      <c r="Q2165"/>
      <c r="R2165"/>
      <c r="S2165"/>
    </row>
    <row r="2166" spans="1:19" ht="15" x14ac:dyDescent="0.2">
      <c r="A2166"/>
      <c r="B2166"/>
      <c r="C2166"/>
      <c r="D2166"/>
      <c r="E2166"/>
      <c r="F2166"/>
      <c r="G2166"/>
      <c r="H2166"/>
      <c r="I2166"/>
      <c r="J2166"/>
      <c r="K2166"/>
      <c r="L2166"/>
      <c r="M2166"/>
      <c r="N2166"/>
      <c r="O2166"/>
      <c r="P2166"/>
      <c r="Q2166"/>
      <c r="R2166"/>
      <c r="S2166"/>
    </row>
    <row r="2167" spans="1:19" ht="15" x14ac:dyDescent="0.2">
      <c r="A2167"/>
      <c r="B2167"/>
      <c r="C2167"/>
      <c r="D2167"/>
      <c r="E2167"/>
      <c r="F2167"/>
      <c r="G2167"/>
      <c r="H2167"/>
      <c r="I2167"/>
      <c r="J2167"/>
      <c r="K2167"/>
      <c r="L2167"/>
      <c r="M2167"/>
      <c r="N2167"/>
      <c r="O2167"/>
      <c r="P2167"/>
      <c r="Q2167"/>
      <c r="R2167"/>
      <c r="S2167"/>
    </row>
    <row r="2168" spans="1:19" ht="15" x14ac:dyDescent="0.2">
      <c r="A2168"/>
      <c r="B2168"/>
      <c r="C2168"/>
      <c r="D2168"/>
      <c r="E2168"/>
      <c r="F2168"/>
      <c r="G2168"/>
      <c r="H2168"/>
      <c r="I2168"/>
      <c r="J2168"/>
      <c r="K2168"/>
      <c r="L2168"/>
      <c r="M2168"/>
      <c r="N2168"/>
      <c r="O2168"/>
      <c r="P2168"/>
      <c r="Q2168"/>
      <c r="R2168"/>
      <c r="S2168"/>
    </row>
    <row r="2169" spans="1:19" ht="15" x14ac:dyDescent="0.2">
      <c r="A2169"/>
      <c r="B2169"/>
      <c r="C2169"/>
      <c r="D2169"/>
      <c r="E2169"/>
      <c r="F2169"/>
      <c r="G2169"/>
      <c r="H2169"/>
      <c r="I2169"/>
      <c r="J2169"/>
      <c r="K2169"/>
      <c r="L2169"/>
      <c r="M2169"/>
      <c r="N2169"/>
      <c r="O2169"/>
      <c r="P2169"/>
      <c r="Q2169"/>
      <c r="R2169"/>
      <c r="S2169"/>
    </row>
    <row r="2170" spans="1:19" ht="15" x14ac:dyDescent="0.2">
      <c r="A2170"/>
      <c r="B2170"/>
      <c r="C2170"/>
      <c r="D2170"/>
      <c r="E2170"/>
      <c r="F2170"/>
      <c r="G2170"/>
      <c r="H2170"/>
      <c r="I2170"/>
      <c r="J2170"/>
      <c r="K2170"/>
      <c r="L2170"/>
      <c r="M2170"/>
      <c r="N2170"/>
      <c r="O2170"/>
      <c r="P2170"/>
      <c r="Q2170"/>
      <c r="R2170"/>
      <c r="S2170"/>
    </row>
    <row r="2171" spans="1:19" ht="15" x14ac:dyDescent="0.2">
      <c r="A2171"/>
      <c r="B2171"/>
      <c r="C2171"/>
      <c r="D2171"/>
      <c r="E2171"/>
      <c r="F2171"/>
      <c r="G2171"/>
      <c r="H2171"/>
      <c r="I2171"/>
      <c r="J2171"/>
      <c r="K2171"/>
      <c r="L2171"/>
      <c r="M2171"/>
      <c r="N2171"/>
      <c r="O2171"/>
      <c r="P2171"/>
      <c r="Q2171"/>
      <c r="R2171"/>
      <c r="S2171"/>
    </row>
    <row r="2172" spans="1:19" ht="15" x14ac:dyDescent="0.2">
      <c r="A2172"/>
      <c r="B2172"/>
      <c r="C2172"/>
      <c r="D2172"/>
      <c r="E2172"/>
      <c r="F2172"/>
      <c r="G2172"/>
      <c r="H2172"/>
      <c r="I2172"/>
      <c r="J2172"/>
      <c r="K2172"/>
      <c r="L2172"/>
      <c r="M2172"/>
      <c r="N2172"/>
      <c r="O2172"/>
      <c r="P2172"/>
      <c r="Q2172"/>
      <c r="R2172"/>
      <c r="S2172"/>
    </row>
    <row r="2173" spans="1:19" ht="15" x14ac:dyDescent="0.2">
      <c r="A2173"/>
      <c r="B2173"/>
      <c r="C2173"/>
      <c r="D2173"/>
      <c r="E2173"/>
      <c r="F2173"/>
      <c r="G2173"/>
      <c r="H2173"/>
      <c r="I2173"/>
      <c r="J2173"/>
      <c r="K2173"/>
      <c r="L2173"/>
      <c r="M2173"/>
      <c r="N2173"/>
      <c r="O2173"/>
      <c r="P2173"/>
      <c r="Q2173"/>
      <c r="R2173"/>
      <c r="S2173"/>
    </row>
    <row r="2174" spans="1:19" ht="15" x14ac:dyDescent="0.2">
      <c r="A2174"/>
      <c r="B2174"/>
      <c r="C2174"/>
      <c r="D2174"/>
      <c r="E2174"/>
      <c r="F2174"/>
      <c r="G2174"/>
      <c r="H2174"/>
      <c r="I2174"/>
      <c r="J2174"/>
      <c r="K2174"/>
      <c r="L2174"/>
      <c r="M2174"/>
      <c r="N2174"/>
      <c r="O2174"/>
      <c r="P2174"/>
      <c r="Q2174"/>
      <c r="R2174"/>
      <c r="S2174"/>
    </row>
    <row r="2175" spans="1:19" ht="15" x14ac:dyDescent="0.2">
      <c r="A2175"/>
      <c r="B2175"/>
      <c r="C2175"/>
      <c r="D2175"/>
      <c r="E2175"/>
      <c r="F2175"/>
      <c r="G2175"/>
      <c r="H2175"/>
      <c r="I2175"/>
      <c r="J2175"/>
      <c r="K2175"/>
      <c r="L2175"/>
      <c r="M2175"/>
      <c r="N2175"/>
      <c r="O2175"/>
      <c r="P2175"/>
      <c r="Q2175"/>
      <c r="R2175"/>
      <c r="S2175"/>
    </row>
    <row r="2176" spans="1:19" ht="15" x14ac:dyDescent="0.2">
      <c r="A2176"/>
      <c r="B2176"/>
      <c r="C2176"/>
      <c r="D2176"/>
      <c r="E2176"/>
      <c r="F2176"/>
      <c r="G2176"/>
      <c r="H2176"/>
      <c r="I2176"/>
      <c r="J2176"/>
      <c r="K2176"/>
      <c r="L2176"/>
      <c r="M2176"/>
      <c r="N2176"/>
      <c r="O2176"/>
      <c r="P2176"/>
      <c r="Q2176"/>
      <c r="R2176"/>
      <c r="S2176"/>
    </row>
    <row r="2177" spans="1:19" ht="15" x14ac:dyDescent="0.2">
      <c r="A2177"/>
      <c r="B2177"/>
      <c r="C2177"/>
      <c r="D2177"/>
      <c r="E2177"/>
      <c r="F2177"/>
      <c r="G2177"/>
      <c r="H2177"/>
      <c r="I2177"/>
      <c r="J2177"/>
      <c r="K2177"/>
      <c r="L2177"/>
      <c r="M2177"/>
      <c r="N2177"/>
      <c r="O2177"/>
      <c r="P2177"/>
      <c r="Q2177"/>
      <c r="R2177"/>
      <c r="S2177"/>
    </row>
    <row r="2178" spans="1:19" ht="15" x14ac:dyDescent="0.2">
      <c r="A2178"/>
      <c r="B2178"/>
      <c r="C2178"/>
      <c r="D2178"/>
      <c r="E2178"/>
      <c r="F2178"/>
      <c r="G2178"/>
      <c r="H2178"/>
      <c r="I2178"/>
      <c r="J2178"/>
      <c r="K2178"/>
      <c r="L2178"/>
      <c r="M2178"/>
      <c r="N2178"/>
      <c r="O2178"/>
      <c r="P2178"/>
      <c r="Q2178"/>
      <c r="R2178"/>
      <c r="S2178"/>
    </row>
    <row r="2179" spans="1:19" ht="15" x14ac:dyDescent="0.2">
      <c r="A2179"/>
      <c r="B2179"/>
      <c r="C2179"/>
      <c r="D2179"/>
      <c r="E2179"/>
      <c r="F2179"/>
      <c r="G2179"/>
      <c r="H2179"/>
      <c r="I2179"/>
      <c r="J2179"/>
      <c r="K2179"/>
      <c r="L2179"/>
      <c r="M2179"/>
      <c r="N2179"/>
      <c r="O2179"/>
      <c r="P2179"/>
      <c r="Q2179"/>
      <c r="R2179"/>
      <c r="S2179"/>
    </row>
    <row r="2180" spans="1:19" ht="15" x14ac:dyDescent="0.2">
      <c r="A2180"/>
      <c r="B2180"/>
      <c r="C2180"/>
      <c r="D2180"/>
      <c r="E2180"/>
      <c r="F2180"/>
      <c r="G2180"/>
      <c r="H2180"/>
      <c r="I2180"/>
      <c r="J2180"/>
      <c r="K2180"/>
      <c r="L2180"/>
      <c r="M2180"/>
      <c r="N2180"/>
      <c r="O2180"/>
      <c r="P2180"/>
      <c r="Q2180"/>
      <c r="R2180"/>
      <c r="S2180"/>
    </row>
    <row r="2181" spans="1:19" ht="15" x14ac:dyDescent="0.2">
      <c r="A2181"/>
      <c r="B2181"/>
      <c r="C2181"/>
      <c r="D2181"/>
      <c r="E2181"/>
      <c r="F2181"/>
      <c r="G2181"/>
      <c r="H2181"/>
      <c r="I2181"/>
      <c r="J2181"/>
      <c r="K2181"/>
      <c r="L2181"/>
      <c r="M2181"/>
      <c r="N2181"/>
      <c r="O2181"/>
      <c r="P2181"/>
      <c r="Q2181"/>
      <c r="R2181"/>
      <c r="S2181"/>
    </row>
    <row r="2182" spans="1:19" ht="15" x14ac:dyDescent="0.2">
      <c r="A2182"/>
      <c r="B2182"/>
      <c r="C2182"/>
      <c r="D2182"/>
      <c r="E2182"/>
      <c r="F2182"/>
      <c r="G2182"/>
      <c r="H2182"/>
      <c r="I2182"/>
      <c r="J2182"/>
      <c r="K2182"/>
      <c r="L2182"/>
      <c r="M2182"/>
      <c r="N2182"/>
      <c r="O2182"/>
      <c r="P2182"/>
      <c r="Q2182"/>
      <c r="R2182"/>
      <c r="S2182"/>
    </row>
    <row r="2183" spans="1:19" ht="15" x14ac:dyDescent="0.2">
      <c r="A2183"/>
      <c r="B2183"/>
      <c r="C2183"/>
      <c r="D2183"/>
      <c r="E2183"/>
      <c r="F2183"/>
      <c r="G2183"/>
      <c r="H2183"/>
      <c r="I2183"/>
      <c r="J2183"/>
      <c r="K2183"/>
      <c r="L2183"/>
      <c r="M2183"/>
      <c r="N2183"/>
      <c r="O2183"/>
      <c r="P2183"/>
      <c r="Q2183"/>
      <c r="R2183"/>
      <c r="S2183"/>
    </row>
    <row r="2184" spans="1:19" ht="15" x14ac:dyDescent="0.2">
      <c r="A2184"/>
      <c r="B2184"/>
      <c r="C2184"/>
      <c r="D2184"/>
      <c r="E2184"/>
      <c r="F2184"/>
      <c r="G2184"/>
      <c r="H2184"/>
      <c r="I2184"/>
      <c r="J2184"/>
      <c r="K2184"/>
      <c r="L2184"/>
      <c r="M2184"/>
      <c r="N2184"/>
      <c r="O2184"/>
      <c r="P2184"/>
      <c r="Q2184"/>
      <c r="R2184"/>
      <c r="S2184"/>
    </row>
    <row r="2185" spans="1:19" ht="15" x14ac:dyDescent="0.2">
      <c r="A2185"/>
      <c r="B2185"/>
      <c r="C2185"/>
      <c r="D2185"/>
      <c r="E2185"/>
      <c r="F2185"/>
      <c r="G2185"/>
      <c r="H2185"/>
      <c r="I2185"/>
      <c r="J2185"/>
      <c r="K2185"/>
      <c r="L2185"/>
      <c r="M2185"/>
      <c r="N2185"/>
      <c r="O2185"/>
      <c r="P2185"/>
      <c r="Q2185"/>
      <c r="R2185"/>
      <c r="S2185"/>
    </row>
    <row r="2186" spans="1:19" ht="15" x14ac:dyDescent="0.2">
      <c r="A2186"/>
      <c r="B2186"/>
      <c r="C2186"/>
      <c r="D2186"/>
      <c r="E2186"/>
      <c r="F2186"/>
      <c r="G2186"/>
      <c r="H2186"/>
      <c r="I2186"/>
      <c r="J2186"/>
      <c r="K2186"/>
      <c r="L2186"/>
      <c r="M2186"/>
      <c r="N2186"/>
      <c r="O2186"/>
      <c r="P2186"/>
      <c r="Q2186"/>
      <c r="R2186"/>
      <c r="S2186"/>
    </row>
    <row r="2187" spans="1:19" ht="15" x14ac:dyDescent="0.2">
      <c r="A2187"/>
      <c r="B2187"/>
      <c r="C2187"/>
      <c r="D2187"/>
      <c r="E2187"/>
      <c r="F2187"/>
      <c r="G2187"/>
      <c r="H2187"/>
      <c r="I2187"/>
      <c r="J2187"/>
      <c r="K2187"/>
      <c r="L2187"/>
      <c r="M2187"/>
      <c r="N2187"/>
      <c r="O2187"/>
      <c r="P2187"/>
      <c r="Q2187"/>
      <c r="R2187"/>
      <c r="S2187"/>
    </row>
    <row r="2188" spans="1:19" ht="15" x14ac:dyDescent="0.2">
      <c r="A2188"/>
      <c r="B2188"/>
      <c r="C2188"/>
      <c r="D2188"/>
      <c r="E2188"/>
      <c r="F2188"/>
      <c r="G2188"/>
      <c r="H2188"/>
      <c r="I2188"/>
      <c r="J2188"/>
      <c r="K2188"/>
      <c r="L2188"/>
      <c r="M2188"/>
      <c r="N2188"/>
      <c r="O2188"/>
      <c r="P2188"/>
      <c r="Q2188"/>
      <c r="R2188"/>
      <c r="S2188"/>
    </row>
    <row r="2189" spans="1:19" ht="15" x14ac:dyDescent="0.2">
      <c r="A2189"/>
      <c r="B2189"/>
      <c r="C2189"/>
      <c r="D2189"/>
      <c r="E2189"/>
      <c r="F2189"/>
      <c r="G2189"/>
      <c r="H2189"/>
      <c r="I2189"/>
      <c r="J2189"/>
      <c r="K2189"/>
      <c r="L2189"/>
      <c r="M2189"/>
      <c r="N2189"/>
      <c r="O2189"/>
      <c r="P2189"/>
      <c r="Q2189"/>
      <c r="R2189"/>
      <c r="S2189"/>
    </row>
    <row r="2190" spans="1:19" ht="15" x14ac:dyDescent="0.2">
      <c r="A2190"/>
      <c r="B2190"/>
      <c r="C2190"/>
      <c r="D2190"/>
      <c r="E2190"/>
      <c r="F2190"/>
      <c r="G2190"/>
      <c r="H2190"/>
      <c r="I2190"/>
      <c r="J2190"/>
      <c r="K2190"/>
      <c r="L2190"/>
      <c r="M2190"/>
      <c r="N2190"/>
      <c r="O2190"/>
      <c r="P2190"/>
      <c r="Q2190"/>
      <c r="R2190"/>
      <c r="S2190"/>
    </row>
    <row r="2191" spans="1:19" ht="15" x14ac:dyDescent="0.2">
      <c r="A2191"/>
      <c r="B2191"/>
      <c r="C2191"/>
      <c r="D2191"/>
      <c r="E2191"/>
      <c r="F2191"/>
      <c r="G2191"/>
      <c r="H2191"/>
      <c r="I2191"/>
      <c r="J2191"/>
      <c r="K2191"/>
      <c r="L2191"/>
      <c r="M2191"/>
      <c r="N2191"/>
      <c r="O2191"/>
      <c r="P2191"/>
      <c r="Q2191"/>
      <c r="R2191"/>
      <c r="S2191"/>
    </row>
    <row r="2192" spans="1:19" ht="15" x14ac:dyDescent="0.2">
      <c r="A2192"/>
      <c r="B2192"/>
      <c r="C2192"/>
      <c r="D2192"/>
      <c r="E2192"/>
      <c r="F2192"/>
      <c r="G2192"/>
      <c r="H2192"/>
      <c r="I2192"/>
      <c r="J2192"/>
      <c r="K2192"/>
      <c r="L2192"/>
      <c r="M2192"/>
      <c r="N2192"/>
      <c r="O2192"/>
      <c r="P2192"/>
      <c r="Q2192"/>
      <c r="R2192"/>
      <c r="S2192"/>
    </row>
    <row r="2193" spans="1:19" ht="15" x14ac:dyDescent="0.2">
      <c r="A2193"/>
      <c r="B2193"/>
      <c r="C2193"/>
      <c r="D2193"/>
      <c r="E2193"/>
      <c r="F2193"/>
      <c r="G2193"/>
      <c r="H2193"/>
      <c r="I2193"/>
      <c r="J2193"/>
      <c r="K2193"/>
      <c r="L2193"/>
      <c r="M2193"/>
      <c r="N2193"/>
      <c r="O2193"/>
      <c r="P2193"/>
      <c r="Q2193"/>
      <c r="R2193"/>
      <c r="S2193"/>
    </row>
    <row r="2194" spans="1:19" ht="15" x14ac:dyDescent="0.2">
      <c r="A2194"/>
      <c r="B2194"/>
      <c r="C2194"/>
      <c r="D2194"/>
      <c r="E2194"/>
      <c r="F2194"/>
      <c r="G2194"/>
      <c r="H2194"/>
      <c r="I2194"/>
      <c r="J2194"/>
      <c r="K2194"/>
      <c r="L2194"/>
      <c r="M2194"/>
      <c r="N2194"/>
      <c r="O2194"/>
      <c r="P2194"/>
      <c r="Q2194"/>
      <c r="R2194"/>
      <c r="S2194"/>
    </row>
    <row r="2195" spans="1:19" ht="15" x14ac:dyDescent="0.2">
      <c r="A2195"/>
      <c r="B2195"/>
      <c r="C2195"/>
      <c r="D2195"/>
      <c r="E2195"/>
      <c r="F2195"/>
      <c r="G2195"/>
      <c r="H2195"/>
      <c r="I2195"/>
      <c r="J2195"/>
      <c r="K2195"/>
      <c r="L2195"/>
      <c r="M2195"/>
      <c r="N2195"/>
      <c r="O2195"/>
      <c r="P2195"/>
      <c r="Q2195"/>
      <c r="R2195"/>
      <c r="S2195"/>
    </row>
    <row r="2196" spans="1:19" ht="15" x14ac:dyDescent="0.2">
      <c r="A2196"/>
      <c r="B2196"/>
      <c r="C2196"/>
      <c r="D2196"/>
      <c r="E2196"/>
      <c r="F2196"/>
      <c r="G2196"/>
      <c r="H2196"/>
      <c r="I2196"/>
      <c r="J2196"/>
      <c r="K2196"/>
      <c r="L2196"/>
      <c r="M2196"/>
      <c r="N2196"/>
      <c r="O2196"/>
      <c r="P2196"/>
      <c r="Q2196"/>
      <c r="R2196"/>
      <c r="S2196"/>
    </row>
    <row r="2197" spans="1:19" ht="15" x14ac:dyDescent="0.2">
      <c r="A2197"/>
      <c r="B2197"/>
      <c r="C2197"/>
      <c r="D2197"/>
      <c r="E2197"/>
      <c r="F2197"/>
      <c r="G2197"/>
      <c r="H2197"/>
      <c r="I2197"/>
      <c r="J2197"/>
      <c r="K2197"/>
      <c r="L2197"/>
      <c r="M2197"/>
      <c r="N2197"/>
      <c r="O2197"/>
      <c r="P2197"/>
      <c r="Q2197"/>
      <c r="R2197"/>
      <c r="S2197"/>
    </row>
    <row r="2198" spans="1:19" ht="15" x14ac:dyDescent="0.2">
      <c r="A2198"/>
      <c r="B2198"/>
      <c r="C2198"/>
      <c r="D2198"/>
      <c r="E2198"/>
      <c r="F2198"/>
      <c r="G2198"/>
      <c r="H2198"/>
      <c r="I2198"/>
      <c r="J2198"/>
      <c r="K2198"/>
      <c r="L2198"/>
      <c r="M2198"/>
      <c r="N2198"/>
      <c r="O2198"/>
      <c r="P2198"/>
      <c r="Q2198"/>
      <c r="R2198"/>
      <c r="S2198"/>
    </row>
    <row r="2199" spans="1:19" ht="15" x14ac:dyDescent="0.2">
      <c r="A2199"/>
      <c r="B2199"/>
      <c r="C2199"/>
      <c r="D2199"/>
      <c r="E2199"/>
      <c r="F2199"/>
      <c r="G2199"/>
      <c r="H2199"/>
      <c r="I2199"/>
      <c r="J2199"/>
      <c r="K2199"/>
      <c r="L2199"/>
      <c r="M2199"/>
      <c r="N2199"/>
      <c r="O2199"/>
      <c r="P2199"/>
      <c r="Q2199"/>
      <c r="R2199"/>
      <c r="S2199"/>
    </row>
    <row r="2200" spans="1:19" ht="15" x14ac:dyDescent="0.2">
      <c r="A2200"/>
      <c r="B2200"/>
      <c r="C2200"/>
      <c r="D2200"/>
      <c r="E2200"/>
      <c r="F2200"/>
      <c r="G2200"/>
      <c r="H2200"/>
      <c r="I2200"/>
      <c r="J2200"/>
      <c r="K2200"/>
      <c r="L2200"/>
      <c r="M2200"/>
      <c r="N2200"/>
      <c r="O2200"/>
      <c r="P2200"/>
      <c r="Q2200"/>
      <c r="R2200"/>
      <c r="S2200"/>
    </row>
    <row r="2201" spans="1:19" ht="15" x14ac:dyDescent="0.2">
      <c r="A2201"/>
      <c r="B2201"/>
      <c r="C2201"/>
      <c r="D2201"/>
      <c r="E2201"/>
      <c r="F2201"/>
      <c r="G2201"/>
      <c r="H2201"/>
      <c r="I2201"/>
      <c r="J2201"/>
      <c r="K2201"/>
      <c r="L2201"/>
      <c r="M2201"/>
      <c r="N2201"/>
      <c r="O2201"/>
      <c r="P2201"/>
      <c r="Q2201"/>
      <c r="R2201"/>
      <c r="S2201"/>
    </row>
    <row r="2202" spans="1:19" ht="15" x14ac:dyDescent="0.2">
      <c r="A2202"/>
      <c r="B2202"/>
      <c r="C2202"/>
      <c r="D2202"/>
      <c r="E2202"/>
      <c r="F2202"/>
      <c r="G2202"/>
      <c r="H2202"/>
      <c r="I2202"/>
      <c r="J2202"/>
      <c r="K2202"/>
      <c r="L2202"/>
      <c r="M2202"/>
      <c r="N2202"/>
      <c r="O2202"/>
      <c r="P2202"/>
      <c r="Q2202"/>
      <c r="R2202"/>
      <c r="S2202"/>
    </row>
    <row r="2203" spans="1:19" ht="15" x14ac:dyDescent="0.2">
      <c r="A2203"/>
      <c r="B2203"/>
      <c r="C2203"/>
      <c r="D2203"/>
      <c r="E2203"/>
      <c r="F2203"/>
      <c r="G2203"/>
      <c r="H2203"/>
      <c r="I2203"/>
      <c r="J2203"/>
      <c r="K2203"/>
      <c r="L2203"/>
      <c r="M2203"/>
      <c r="N2203"/>
      <c r="O2203"/>
      <c r="P2203"/>
      <c r="Q2203"/>
      <c r="R2203"/>
      <c r="S2203"/>
    </row>
    <row r="2204" spans="1:19" ht="15" x14ac:dyDescent="0.2">
      <c r="A2204"/>
      <c r="B2204"/>
      <c r="C2204"/>
      <c r="D2204"/>
      <c r="E2204"/>
      <c r="F2204"/>
      <c r="G2204"/>
      <c r="H2204"/>
      <c r="I2204"/>
      <c r="J2204"/>
      <c r="K2204"/>
      <c r="L2204"/>
      <c r="M2204"/>
      <c r="N2204"/>
      <c r="O2204"/>
      <c r="P2204"/>
      <c r="Q2204"/>
      <c r="R2204"/>
      <c r="S2204"/>
    </row>
    <row r="2205" spans="1:19" ht="15" x14ac:dyDescent="0.2">
      <c r="A2205"/>
      <c r="B2205"/>
      <c r="C2205"/>
      <c r="D2205"/>
      <c r="E2205"/>
      <c r="F2205"/>
      <c r="G2205"/>
      <c r="H2205"/>
      <c r="I2205"/>
      <c r="J2205"/>
      <c r="K2205"/>
      <c r="L2205"/>
      <c r="M2205"/>
      <c r="N2205"/>
      <c r="O2205"/>
      <c r="P2205"/>
      <c r="Q2205"/>
      <c r="R2205"/>
      <c r="S2205"/>
    </row>
    <row r="2206" spans="1:19" ht="15" x14ac:dyDescent="0.2">
      <c r="A2206"/>
      <c r="B2206"/>
      <c r="C2206"/>
      <c r="D2206"/>
      <c r="E2206"/>
      <c r="F2206"/>
      <c r="G2206"/>
      <c r="H2206"/>
      <c r="I2206"/>
      <c r="J2206"/>
      <c r="K2206"/>
      <c r="L2206"/>
      <c r="M2206"/>
      <c r="N2206"/>
      <c r="O2206"/>
      <c r="P2206"/>
      <c r="Q2206"/>
      <c r="R2206"/>
      <c r="S2206"/>
    </row>
    <row r="2207" spans="1:19" ht="15" x14ac:dyDescent="0.2">
      <c r="A2207"/>
      <c r="B2207"/>
      <c r="C2207"/>
      <c r="D2207"/>
      <c r="E2207"/>
      <c r="F2207"/>
      <c r="G2207"/>
      <c r="H2207"/>
      <c r="I2207"/>
      <c r="J2207"/>
      <c r="K2207"/>
      <c r="L2207"/>
      <c r="M2207"/>
      <c r="N2207"/>
      <c r="O2207"/>
      <c r="P2207"/>
      <c r="Q2207"/>
      <c r="R2207"/>
      <c r="S2207"/>
    </row>
    <row r="2208" spans="1:19" ht="15" x14ac:dyDescent="0.2">
      <c r="A2208"/>
      <c r="B2208"/>
      <c r="C2208"/>
      <c r="D2208"/>
      <c r="E2208"/>
      <c r="F2208"/>
      <c r="G2208"/>
      <c r="H2208"/>
      <c r="I2208"/>
      <c r="J2208"/>
      <c r="K2208"/>
      <c r="L2208"/>
      <c r="M2208"/>
      <c r="N2208"/>
      <c r="O2208"/>
      <c r="P2208"/>
      <c r="Q2208"/>
      <c r="R2208"/>
      <c r="S2208"/>
    </row>
    <row r="2209" spans="1:19" ht="15" x14ac:dyDescent="0.2">
      <c r="A2209"/>
      <c r="B2209"/>
      <c r="C2209"/>
      <c r="D2209"/>
      <c r="E2209"/>
      <c r="F2209"/>
      <c r="G2209"/>
      <c r="H2209"/>
      <c r="I2209"/>
      <c r="J2209"/>
      <c r="K2209"/>
      <c r="L2209"/>
      <c r="M2209"/>
      <c r="N2209"/>
      <c r="O2209"/>
      <c r="P2209"/>
      <c r="Q2209"/>
      <c r="R2209"/>
      <c r="S2209"/>
    </row>
    <row r="2210" spans="1:19" ht="15" x14ac:dyDescent="0.2">
      <c r="A2210"/>
      <c r="B2210"/>
      <c r="C2210"/>
      <c r="D2210"/>
      <c r="E2210"/>
      <c r="F2210"/>
      <c r="G2210"/>
      <c r="H2210"/>
      <c r="I2210"/>
      <c r="J2210"/>
      <c r="K2210"/>
      <c r="L2210"/>
      <c r="M2210"/>
      <c r="N2210"/>
      <c r="O2210"/>
      <c r="P2210"/>
      <c r="Q2210"/>
      <c r="R2210"/>
      <c r="S2210"/>
    </row>
    <row r="2211" spans="1:19" ht="15" x14ac:dyDescent="0.2">
      <c r="A2211"/>
      <c r="B2211"/>
      <c r="C2211"/>
      <c r="D2211"/>
      <c r="E2211"/>
      <c r="F2211"/>
      <c r="G2211"/>
      <c r="H2211"/>
      <c r="I2211"/>
      <c r="J2211"/>
      <c r="K2211"/>
      <c r="L2211"/>
      <c r="M2211"/>
      <c r="N2211"/>
      <c r="O2211"/>
      <c r="P2211"/>
      <c r="Q2211"/>
      <c r="R2211"/>
      <c r="S2211"/>
    </row>
    <row r="2212" spans="1:19" ht="15" x14ac:dyDescent="0.2">
      <c r="A2212"/>
      <c r="B2212"/>
      <c r="C2212"/>
      <c r="D2212"/>
      <c r="E2212"/>
      <c r="F2212"/>
      <c r="G2212"/>
      <c r="H2212"/>
      <c r="I2212"/>
      <c r="J2212"/>
      <c r="K2212"/>
      <c r="L2212"/>
      <c r="M2212"/>
      <c r="N2212"/>
      <c r="O2212"/>
      <c r="P2212"/>
      <c r="Q2212"/>
      <c r="R2212"/>
      <c r="S2212"/>
    </row>
    <row r="2213" spans="1:19" ht="15" x14ac:dyDescent="0.2">
      <c r="A2213"/>
      <c r="B2213"/>
      <c r="C2213"/>
      <c r="D2213"/>
      <c r="E2213"/>
      <c r="F2213"/>
      <c r="G2213"/>
      <c r="H2213"/>
      <c r="I2213"/>
      <c r="J2213"/>
      <c r="K2213"/>
      <c r="L2213"/>
      <c r="M2213"/>
      <c r="N2213"/>
      <c r="O2213"/>
      <c r="P2213"/>
      <c r="Q2213"/>
      <c r="R2213"/>
      <c r="S2213"/>
    </row>
    <row r="2214" spans="1:19" ht="15" x14ac:dyDescent="0.2">
      <c r="A2214"/>
      <c r="B2214"/>
      <c r="C2214"/>
      <c r="D2214"/>
      <c r="E2214"/>
      <c r="F2214"/>
      <c r="G2214"/>
      <c r="H2214"/>
      <c r="I2214"/>
      <c r="J2214"/>
      <c r="K2214"/>
      <c r="L2214"/>
      <c r="M2214"/>
      <c r="N2214"/>
      <c r="O2214"/>
      <c r="P2214"/>
      <c r="Q2214"/>
      <c r="R2214"/>
      <c r="S2214"/>
    </row>
    <row r="2215" spans="1:19" ht="15" x14ac:dyDescent="0.2">
      <c r="A2215"/>
      <c r="B2215"/>
      <c r="C2215"/>
      <c r="D2215"/>
      <c r="E2215"/>
      <c r="F2215"/>
      <c r="G2215"/>
      <c r="H2215"/>
      <c r="I2215"/>
      <c r="J2215"/>
      <c r="K2215"/>
      <c r="L2215"/>
      <c r="M2215"/>
      <c r="N2215"/>
      <c r="O2215"/>
      <c r="P2215"/>
      <c r="Q2215"/>
      <c r="R2215"/>
      <c r="S2215"/>
    </row>
    <row r="2216" spans="1:19" ht="15" x14ac:dyDescent="0.2">
      <c r="A2216"/>
      <c r="B2216"/>
      <c r="C2216"/>
      <c r="D2216"/>
      <c r="E2216"/>
      <c r="F2216"/>
      <c r="G2216"/>
      <c r="H2216"/>
      <c r="I2216"/>
      <c r="J2216"/>
      <c r="K2216"/>
      <c r="L2216"/>
      <c r="M2216"/>
      <c r="N2216"/>
      <c r="O2216"/>
      <c r="P2216"/>
      <c r="Q2216"/>
      <c r="R2216"/>
      <c r="S2216"/>
    </row>
    <row r="2217" spans="1:19" ht="15" x14ac:dyDescent="0.2">
      <c r="A2217"/>
      <c r="B2217"/>
      <c r="C2217"/>
      <c r="D2217"/>
      <c r="E2217"/>
      <c r="F2217"/>
      <c r="G2217"/>
      <c r="H2217"/>
      <c r="I2217"/>
      <c r="J2217"/>
      <c r="K2217"/>
      <c r="L2217"/>
      <c r="M2217"/>
      <c r="N2217"/>
      <c r="O2217"/>
      <c r="P2217"/>
      <c r="Q2217"/>
      <c r="R2217"/>
      <c r="S2217"/>
    </row>
    <row r="2218" spans="1:19" ht="15" x14ac:dyDescent="0.2">
      <c r="A2218"/>
      <c r="B2218"/>
      <c r="C2218"/>
      <c r="D2218"/>
      <c r="E2218"/>
      <c r="F2218"/>
      <c r="G2218"/>
      <c r="H2218"/>
      <c r="I2218"/>
      <c r="J2218"/>
      <c r="K2218"/>
      <c r="L2218"/>
      <c r="M2218"/>
      <c r="N2218"/>
      <c r="O2218"/>
      <c r="P2218"/>
      <c r="Q2218"/>
      <c r="R2218"/>
      <c r="S2218"/>
    </row>
    <row r="2219" spans="1:19" ht="15" x14ac:dyDescent="0.2">
      <c r="A2219"/>
      <c r="B2219"/>
      <c r="C2219"/>
      <c r="D2219"/>
      <c r="E2219"/>
      <c r="F2219"/>
      <c r="G2219"/>
      <c r="H2219"/>
      <c r="I2219"/>
      <c r="J2219"/>
      <c r="K2219"/>
      <c r="L2219"/>
      <c r="M2219"/>
      <c r="N2219"/>
      <c r="O2219"/>
      <c r="P2219"/>
      <c r="Q2219"/>
      <c r="R2219"/>
      <c r="S2219"/>
    </row>
    <row r="2220" spans="1:19" ht="15" x14ac:dyDescent="0.2">
      <c r="A2220"/>
      <c r="B2220"/>
      <c r="C2220"/>
      <c r="D2220"/>
      <c r="E2220"/>
      <c r="F2220"/>
      <c r="G2220"/>
      <c r="H2220"/>
      <c r="I2220"/>
      <c r="J2220"/>
      <c r="K2220"/>
      <c r="L2220"/>
      <c r="M2220"/>
      <c r="N2220"/>
      <c r="O2220"/>
      <c r="P2220"/>
      <c r="Q2220"/>
      <c r="R2220"/>
      <c r="S2220"/>
    </row>
    <row r="2221" spans="1:19" ht="15" x14ac:dyDescent="0.2">
      <c r="A2221"/>
      <c r="B2221"/>
      <c r="C2221"/>
      <c r="D2221"/>
      <c r="E2221"/>
      <c r="F2221"/>
      <c r="G2221"/>
      <c r="H2221"/>
      <c r="I2221"/>
      <c r="J2221"/>
      <c r="K2221"/>
      <c r="L2221"/>
      <c r="M2221"/>
      <c r="N2221"/>
      <c r="O2221"/>
      <c r="P2221"/>
      <c r="Q2221"/>
      <c r="R2221"/>
      <c r="S2221"/>
    </row>
    <row r="2222" spans="1:19" ht="15" x14ac:dyDescent="0.2">
      <c r="A2222"/>
      <c r="B2222"/>
      <c r="C2222"/>
      <c r="D2222"/>
      <c r="E2222"/>
      <c r="F2222"/>
      <c r="G2222"/>
      <c r="H2222"/>
      <c r="I2222"/>
      <c r="J2222"/>
      <c r="K2222"/>
      <c r="L2222"/>
      <c r="M2222"/>
      <c r="N2222"/>
      <c r="O2222"/>
      <c r="P2222"/>
      <c r="Q2222"/>
      <c r="R2222"/>
      <c r="S2222"/>
    </row>
    <row r="2223" spans="1:19" ht="15" x14ac:dyDescent="0.2">
      <c r="A2223"/>
      <c r="B2223"/>
      <c r="C2223"/>
      <c r="D2223"/>
      <c r="E2223"/>
      <c r="F2223"/>
      <c r="G2223"/>
      <c r="H2223"/>
      <c r="I2223"/>
      <c r="J2223"/>
      <c r="K2223"/>
      <c r="L2223"/>
      <c r="M2223"/>
      <c r="N2223"/>
      <c r="O2223"/>
      <c r="P2223"/>
      <c r="Q2223"/>
      <c r="R2223"/>
      <c r="S2223"/>
    </row>
    <row r="2224" spans="1:19" ht="15" x14ac:dyDescent="0.2">
      <c r="A2224"/>
      <c r="B2224"/>
      <c r="C2224"/>
      <c r="D2224"/>
      <c r="E2224"/>
      <c r="F2224"/>
      <c r="G2224"/>
      <c r="H2224"/>
      <c r="I2224"/>
      <c r="J2224"/>
      <c r="K2224"/>
      <c r="L2224"/>
      <c r="M2224"/>
      <c r="N2224"/>
      <c r="O2224"/>
      <c r="P2224"/>
      <c r="Q2224"/>
      <c r="R2224"/>
      <c r="S2224"/>
    </row>
    <row r="2225" spans="1:19" ht="15" x14ac:dyDescent="0.2">
      <c r="A2225"/>
      <c r="B2225"/>
      <c r="C2225"/>
      <c r="D2225"/>
      <c r="E2225"/>
      <c r="F2225"/>
      <c r="G2225"/>
      <c r="H2225"/>
      <c r="I2225"/>
      <c r="J2225"/>
      <c r="K2225"/>
      <c r="L2225"/>
      <c r="M2225"/>
      <c r="N2225"/>
      <c r="O2225"/>
      <c r="P2225"/>
      <c r="Q2225"/>
      <c r="R2225"/>
      <c r="S2225"/>
    </row>
    <row r="2226" spans="1:19" ht="15" x14ac:dyDescent="0.2">
      <c r="A2226"/>
      <c r="B2226"/>
      <c r="C2226"/>
      <c r="D2226"/>
      <c r="E2226"/>
      <c r="F2226"/>
      <c r="G2226"/>
      <c r="H2226"/>
      <c r="I2226"/>
      <c r="J2226"/>
      <c r="K2226"/>
      <c r="L2226"/>
      <c r="M2226"/>
      <c r="N2226"/>
      <c r="O2226"/>
      <c r="P2226"/>
      <c r="Q2226"/>
      <c r="R2226"/>
      <c r="S2226"/>
    </row>
    <row r="2227" spans="1:19" ht="15" x14ac:dyDescent="0.2">
      <c r="A2227"/>
      <c r="B2227"/>
      <c r="C2227"/>
      <c r="D2227"/>
      <c r="E2227"/>
      <c r="F2227"/>
      <c r="G2227"/>
      <c r="H2227"/>
      <c r="I2227"/>
      <c r="J2227"/>
      <c r="K2227"/>
      <c r="L2227"/>
      <c r="M2227"/>
      <c r="N2227"/>
      <c r="O2227"/>
      <c r="P2227"/>
      <c r="Q2227"/>
      <c r="R2227"/>
      <c r="S2227"/>
    </row>
    <row r="2228" spans="1:19" ht="15" x14ac:dyDescent="0.2">
      <c r="A2228"/>
      <c r="B2228"/>
      <c r="C2228"/>
      <c r="D2228"/>
      <c r="E2228"/>
      <c r="F2228"/>
      <c r="G2228"/>
      <c r="H2228"/>
      <c r="I2228"/>
      <c r="J2228"/>
      <c r="K2228"/>
      <c r="L2228"/>
      <c r="M2228"/>
      <c r="N2228"/>
      <c r="O2228"/>
      <c r="P2228"/>
      <c r="Q2228"/>
      <c r="R2228"/>
      <c r="S2228"/>
    </row>
    <row r="2229" spans="1:19" ht="15" x14ac:dyDescent="0.2">
      <c r="A2229"/>
      <c r="B2229"/>
      <c r="C2229"/>
      <c r="D2229"/>
      <c r="E2229"/>
      <c r="F2229"/>
      <c r="G2229"/>
      <c r="H2229"/>
      <c r="I2229"/>
      <c r="J2229"/>
      <c r="K2229"/>
      <c r="L2229"/>
      <c r="M2229"/>
      <c r="N2229"/>
      <c r="O2229"/>
      <c r="P2229"/>
      <c r="Q2229"/>
      <c r="R2229"/>
      <c r="S2229"/>
    </row>
    <row r="2230" spans="1:19" ht="15" x14ac:dyDescent="0.2">
      <c r="A2230"/>
      <c r="B2230"/>
      <c r="C2230"/>
      <c r="D2230"/>
      <c r="E2230"/>
      <c r="F2230"/>
      <c r="G2230"/>
      <c r="H2230"/>
      <c r="I2230"/>
      <c r="J2230"/>
      <c r="K2230"/>
      <c r="L2230"/>
      <c r="M2230"/>
      <c r="N2230"/>
      <c r="O2230"/>
      <c r="P2230"/>
      <c r="Q2230"/>
      <c r="R2230"/>
      <c r="S2230"/>
    </row>
    <row r="2231" spans="1:19" ht="15" x14ac:dyDescent="0.2">
      <c r="A2231"/>
      <c r="B2231"/>
      <c r="C2231"/>
      <c r="D2231"/>
      <c r="E2231"/>
      <c r="F2231"/>
      <c r="G2231"/>
      <c r="H2231"/>
      <c r="I2231"/>
      <c r="J2231"/>
      <c r="K2231"/>
      <c r="L2231"/>
      <c r="M2231"/>
      <c r="N2231"/>
      <c r="O2231"/>
      <c r="P2231"/>
      <c r="Q2231"/>
      <c r="R2231"/>
      <c r="S2231"/>
    </row>
    <row r="2232" spans="1:19" ht="15" x14ac:dyDescent="0.2">
      <c r="A2232"/>
      <c r="B2232"/>
      <c r="C2232"/>
      <c r="D2232"/>
      <c r="E2232"/>
      <c r="F2232"/>
      <c r="G2232"/>
      <c r="H2232"/>
      <c r="I2232"/>
      <c r="J2232"/>
      <c r="K2232"/>
      <c r="L2232"/>
      <c r="M2232"/>
      <c r="N2232"/>
      <c r="O2232"/>
      <c r="P2232"/>
      <c r="Q2232"/>
      <c r="R2232"/>
      <c r="S2232"/>
    </row>
    <row r="2233" spans="1:19" ht="15" x14ac:dyDescent="0.2">
      <c r="A2233"/>
      <c r="B2233"/>
      <c r="C2233"/>
      <c r="D2233"/>
      <c r="E2233"/>
      <c r="F2233"/>
      <c r="G2233"/>
      <c r="H2233"/>
      <c r="I2233"/>
      <c r="J2233"/>
      <c r="K2233"/>
      <c r="L2233"/>
      <c r="M2233"/>
      <c r="N2233"/>
      <c r="O2233"/>
      <c r="P2233"/>
      <c r="Q2233"/>
      <c r="R2233"/>
      <c r="S2233"/>
    </row>
    <row r="2234" spans="1:19" ht="15" x14ac:dyDescent="0.2">
      <c r="A2234"/>
      <c r="B2234"/>
      <c r="C2234"/>
      <c r="D2234"/>
      <c r="E2234"/>
      <c r="F2234"/>
      <c r="G2234"/>
      <c r="H2234"/>
      <c r="I2234"/>
      <c r="J2234"/>
      <c r="K2234"/>
      <c r="L2234"/>
      <c r="M2234"/>
      <c r="N2234"/>
      <c r="O2234"/>
      <c r="P2234"/>
      <c r="Q2234"/>
      <c r="R2234"/>
      <c r="S2234"/>
    </row>
    <row r="2235" spans="1:19" ht="15" x14ac:dyDescent="0.2">
      <c r="A2235"/>
      <c r="B2235"/>
      <c r="C2235"/>
      <c r="D2235"/>
      <c r="E2235"/>
      <c r="F2235"/>
      <c r="G2235"/>
      <c r="H2235"/>
      <c r="I2235"/>
      <c r="J2235"/>
      <c r="K2235"/>
      <c r="L2235"/>
      <c r="M2235"/>
      <c r="N2235"/>
      <c r="O2235"/>
      <c r="P2235"/>
      <c r="Q2235"/>
      <c r="R2235"/>
      <c r="S2235"/>
    </row>
    <row r="2236" spans="1:19" ht="15" x14ac:dyDescent="0.2">
      <c r="A2236"/>
      <c r="B2236"/>
      <c r="C2236"/>
      <c r="D2236"/>
      <c r="E2236"/>
      <c r="F2236"/>
      <c r="G2236"/>
      <c r="H2236"/>
      <c r="I2236"/>
      <c r="J2236"/>
      <c r="K2236"/>
      <c r="L2236"/>
      <c r="M2236"/>
      <c r="N2236"/>
      <c r="O2236"/>
      <c r="P2236"/>
      <c r="Q2236"/>
      <c r="R2236"/>
      <c r="S2236"/>
    </row>
    <row r="2237" spans="1:19" ht="15" x14ac:dyDescent="0.2">
      <c r="A2237"/>
      <c r="B2237"/>
      <c r="C2237"/>
      <c r="D2237"/>
      <c r="E2237"/>
      <c r="F2237"/>
      <c r="G2237"/>
      <c r="H2237"/>
      <c r="I2237"/>
      <c r="J2237"/>
      <c r="K2237"/>
      <c r="L2237"/>
      <c r="M2237"/>
      <c r="N2237"/>
      <c r="O2237"/>
      <c r="P2237"/>
      <c r="Q2237"/>
      <c r="R2237"/>
      <c r="S2237"/>
    </row>
    <row r="2238" spans="1:19" ht="15" x14ac:dyDescent="0.2">
      <c r="A2238"/>
      <c r="B2238"/>
      <c r="C2238"/>
      <c r="D2238"/>
      <c r="E2238"/>
      <c r="F2238"/>
      <c r="G2238"/>
      <c r="H2238"/>
      <c r="I2238"/>
      <c r="J2238"/>
      <c r="K2238"/>
      <c r="L2238"/>
      <c r="M2238"/>
      <c r="N2238"/>
      <c r="O2238"/>
      <c r="P2238"/>
      <c r="Q2238"/>
      <c r="R2238"/>
      <c r="S2238"/>
    </row>
    <row r="2239" spans="1:19" ht="15" x14ac:dyDescent="0.2">
      <c r="A2239"/>
      <c r="B2239"/>
      <c r="C2239"/>
      <c r="D2239"/>
      <c r="E2239"/>
      <c r="F2239"/>
      <c r="G2239"/>
      <c r="H2239"/>
      <c r="I2239"/>
      <c r="J2239"/>
      <c r="K2239"/>
      <c r="L2239"/>
      <c r="M2239"/>
      <c r="N2239"/>
      <c r="O2239"/>
      <c r="P2239"/>
      <c r="Q2239"/>
      <c r="R2239"/>
      <c r="S2239"/>
    </row>
    <row r="2240" spans="1:19" ht="15" x14ac:dyDescent="0.2">
      <c r="A2240"/>
      <c r="B2240"/>
      <c r="C2240"/>
      <c r="D2240"/>
      <c r="E2240"/>
      <c r="F2240"/>
      <c r="G2240"/>
      <c r="H2240"/>
      <c r="I2240"/>
      <c r="J2240"/>
      <c r="K2240"/>
      <c r="L2240"/>
      <c r="M2240"/>
      <c r="N2240"/>
      <c r="O2240"/>
      <c r="P2240"/>
      <c r="Q2240"/>
      <c r="R2240"/>
      <c r="S2240"/>
    </row>
    <row r="2241" spans="1:19" ht="15" x14ac:dyDescent="0.2">
      <c r="A2241"/>
      <c r="B2241"/>
      <c r="C2241"/>
      <c r="D2241"/>
      <c r="E2241"/>
      <c r="F2241"/>
      <c r="G2241"/>
      <c r="H2241"/>
      <c r="I2241"/>
      <c r="J2241"/>
      <c r="K2241"/>
      <c r="L2241"/>
      <c r="M2241"/>
      <c r="N2241"/>
      <c r="O2241"/>
      <c r="P2241"/>
      <c r="Q2241"/>
      <c r="R2241"/>
      <c r="S2241"/>
    </row>
    <row r="2242" spans="1:19" ht="15" x14ac:dyDescent="0.2">
      <c r="A2242"/>
      <c r="B2242"/>
      <c r="C2242"/>
      <c r="D2242"/>
      <c r="E2242"/>
      <c r="F2242"/>
      <c r="G2242"/>
      <c r="H2242"/>
      <c r="I2242"/>
      <c r="J2242"/>
      <c r="K2242"/>
      <c r="L2242"/>
      <c r="M2242"/>
      <c r="N2242"/>
      <c r="O2242"/>
      <c r="P2242"/>
      <c r="Q2242"/>
      <c r="R2242"/>
      <c r="S2242"/>
    </row>
    <row r="2243" spans="1:19" ht="15" x14ac:dyDescent="0.2">
      <c r="A2243"/>
      <c r="B2243"/>
      <c r="C2243"/>
      <c r="D2243"/>
      <c r="E2243"/>
      <c r="F2243"/>
      <c r="G2243"/>
      <c r="H2243"/>
      <c r="I2243"/>
      <c r="J2243"/>
      <c r="K2243"/>
      <c r="L2243"/>
      <c r="M2243"/>
      <c r="N2243"/>
      <c r="O2243"/>
      <c r="P2243"/>
      <c r="Q2243"/>
      <c r="R2243"/>
      <c r="S2243"/>
    </row>
    <row r="2244" spans="1:19" ht="15" x14ac:dyDescent="0.2">
      <c r="A2244"/>
      <c r="B2244"/>
      <c r="C2244"/>
      <c r="D2244"/>
      <c r="E2244"/>
      <c r="F2244"/>
      <c r="G2244"/>
      <c r="H2244"/>
      <c r="I2244"/>
      <c r="J2244"/>
      <c r="K2244"/>
      <c r="L2244"/>
      <c r="M2244"/>
      <c r="N2244"/>
      <c r="O2244"/>
      <c r="P2244"/>
      <c r="Q2244"/>
      <c r="R2244"/>
      <c r="S2244"/>
    </row>
    <row r="2245" spans="1:19" ht="15" x14ac:dyDescent="0.2">
      <c r="A2245"/>
      <c r="B2245"/>
      <c r="C2245"/>
      <c r="D2245"/>
      <c r="E2245"/>
      <c r="F2245"/>
      <c r="G2245"/>
      <c r="H2245"/>
      <c r="I2245"/>
      <c r="J2245"/>
      <c r="K2245"/>
      <c r="L2245"/>
      <c r="M2245"/>
      <c r="N2245"/>
      <c r="O2245"/>
      <c r="P2245"/>
      <c r="Q2245"/>
      <c r="R2245"/>
      <c r="S2245"/>
    </row>
    <row r="2246" spans="1:19" ht="15" x14ac:dyDescent="0.2">
      <c r="A2246"/>
      <c r="B2246"/>
      <c r="C2246"/>
      <c r="D2246"/>
      <c r="E2246"/>
      <c r="F2246"/>
      <c r="G2246"/>
      <c r="H2246"/>
      <c r="I2246"/>
      <c r="J2246"/>
      <c r="K2246"/>
      <c r="L2246"/>
      <c r="M2246"/>
      <c r="N2246"/>
      <c r="O2246"/>
      <c r="P2246"/>
      <c r="Q2246"/>
      <c r="R2246"/>
      <c r="S2246"/>
    </row>
    <row r="2247" spans="1:19" ht="15" x14ac:dyDescent="0.2">
      <c r="A2247"/>
      <c r="B2247"/>
      <c r="C2247"/>
      <c r="D2247"/>
      <c r="E2247"/>
      <c r="F2247"/>
      <c r="G2247"/>
      <c r="H2247"/>
      <c r="I2247"/>
      <c r="J2247"/>
      <c r="K2247"/>
      <c r="L2247"/>
      <c r="M2247"/>
      <c r="N2247"/>
      <c r="O2247"/>
      <c r="P2247"/>
      <c r="Q2247"/>
      <c r="R2247"/>
      <c r="S2247"/>
    </row>
    <row r="2248" spans="1:19" ht="15" x14ac:dyDescent="0.2">
      <c r="A2248"/>
      <c r="B2248"/>
      <c r="C2248"/>
      <c r="D2248"/>
      <c r="E2248"/>
      <c r="F2248"/>
      <c r="G2248"/>
      <c r="H2248"/>
      <c r="I2248"/>
      <c r="J2248"/>
      <c r="K2248"/>
      <c r="L2248"/>
      <c r="M2248"/>
      <c r="N2248"/>
      <c r="O2248"/>
      <c r="P2248"/>
      <c r="Q2248"/>
      <c r="R2248"/>
      <c r="S2248"/>
    </row>
    <row r="2249" spans="1:19" ht="15" x14ac:dyDescent="0.2">
      <c r="A2249"/>
      <c r="B2249"/>
      <c r="C2249"/>
      <c r="D2249"/>
      <c r="E2249"/>
      <c r="F2249"/>
      <c r="G2249"/>
      <c r="H2249"/>
      <c r="I2249"/>
      <c r="J2249"/>
      <c r="K2249"/>
      <c r="L2249"/>
      <c r="M2249"/>
      <c r="N2249"/>
      <c r="O2249"/>
      <c r="P2249"/>
      <c r="Q2249"/>
      <c r="R2249"/>
      <c r="S2249"/>
    </row>
    <row r="2250" spans="1:19" ht="15" x14ac:dyDescent="0.2">
      <c r="A2250"/>
      <c r="B2250"/>
      <c r="C2250"/>
      <c r="D2250"/>
      <c r="E2250"/>
      <c r="F2250"/>
      <c r="G2250"/>
      <c r="H2250"/>
      <c r="I2250"/>
      <c r="J2250"/>
      <c r="K2250"/>
      <c r="L2250"/>
      <c r="M2250"/>
      <c r="N2250"/>
      <c r="O2250"/>
      <c r="P2250"/>
      <c r="Q2250"/>
      <c r="R2250"/>
      <c r="S2250"/>
    </row>
    <row r="2251" spans="1:19" ht="15" x14ac:dyDescent="0.2">
      <c r="A2251"/>
      <c r="B2251"/>
      <c r="C2251"/>
      <c r="D2251"/>
      <c r="E2251"/>
      <c r="F2251"/>
      <c r="G2251"/>
      <c r="H2251"/>
      <c r="I2251"/>
      <c r="J2251"/>
      <c r="K2251"/>
      <c r="L2251"/>
      <c r="M2251"/>
      <c r="N2251"/>
      <c r="O2251"/>
      <c r="P2251"/>
      <c r="Q2251"/>
      <c r="R2251"/>
      <c r="S2251"/>
    </row>
    <row r="2252" spans="1:19" ht="15" x14ac:dyDescent="0.2">
      <c r="A2252"/>
      <c r="B2252"/>
      <c r="C2252"/>
      <c r="D2252"/>
      <c r="E2252"/>
      <c r="F2252"/>
      <c r="G2252"/>
      <c r="H2252"/>
      <c r="I2252"/>
      <c r="J2252"/>
      <c r="K2252"/>
      <c r="L2252"/>
      <c r="M2252"/>
      <c r="N2252"/>
      <c r="O2252"/>
      <c r="P2252"/>
      <c r="Q2252"/>
      <c r="R2252"/>
      <c r="S2252"/>
    </row>
    <row r="2253" spans="1:19" ht="15" x14ac:dyDescent="0.2">
      <c r="A2253"/>
      <c r="B2253"/>
      <c r="C2253"/>
      <c r="D2253"/>
      <c r="E2253"/>
      <c r="F2253"/>
      <c r="G2253"/>
      <c r="H2253"/>
      <c r="I2253"/>
      <c r="J2253"/>
      <c r="K2253"/>
      <c r="L2253"/>
      <c r="M2253"/>
      <c r="N2253"/>
      <c r="O2253"/>
      <c r="P2253"/>
      <c r="Q2253"/>
      <c r="R2253"/>
      <c r="S2253"/>
    </row>
    <row r="2254" spans="1:19" ht="15" x14ac:dyDescent="0.2">
      <c r="A2254"/>
      <c r="B2254"/>
      <c r="C2254"/>
      <c r="D2254"/>
      <c r="E2254"/>
      <c r="F2254"/>
      <c r="G2254"/>
      <c r="H2254"/>
      <c r="I2254"/>
      <c r="J2254"/>
      <c r="K2254"/>
      <c r="L2254"/>
      <c r="M2254"/>
      <c r="N2254"/>
      <c r="O2254"/>
      <c r="P2254"/>
      <c r="Q2254"/>
      <c r="R2254"/>
      <c r="S2254"/>
    </row>
    <row r="2255" spans="1:19" ht="15" x14ac:dyDescent="0.2">
      <c r="A2255"/>
      <c r="B2255"/>
      <c r="C2255"/>
      <c r="D2255"/>
      <c r="E2255"/>
      <c r="F2255"/>
      <c r="G2255"/>
      <c r="H2255"/>
      <c r="I2255"/>
      <c r="J2255"/>
      <c r="K2255"/>
      <c r="L2255"/>
      <c r="M2255"/>
      <c r="N2255"/>
      <c r="O2255"/>
      <c r="P2255"/>
      <c r="Q2255"/>
      <c r="R2255"/>
      <c r="S2255"/>
    </row>
    <row r="2256" spans="1:19" ht="15" x14ac:dyDescent="0.2">
      <c r="A2256"/>
      <c r="B2256"/>
      <c r="C2256"/>
      <c r="D2256"/>
      <c r="E2256"/>
      <c r="F2256"/>
      <c r="G2256"/>
      <c r="H2256"/>
      <c r="I2256"/>
      <c r="J2256"/>
      <c r="K2256"/>
      <c r="L2256"/>
      <c r="M2256"/>
      <c r="N2256"/>
      <c r="O2256"/>
      <c r="P2256"/>
      <c r="Q2256"/>
      <c r="R2256"/>
      <c r="S2256"/>
    </row>
    <row r="2257" spans="1:19" ht="15" x14ac:dyDescent="0.2">
      <c r="A2257"/>
      <c r="B2257"/>
      <c r="C2257"/>
      <c r="D2257"/>
      <c r="E2257"/>
      <c r="F2257"/>
      <c r="G2257"/>
      <c r="H2257"/>
      <c r="I2257"/>
      <c r="J2257"/>
      <c r="K2257"/>
      <c r="L2257"/>
      <c r="M2257"/>
      <c r="N2257"/>
      <c r="O2257"/>
      <c r="P2257"/>
      <c r="Q2257"/>
      <c r="R2257"/>
      <c r="S2257"/>
    </row>
    <row r="2258" spans="1:19" ht="15" x14ac:dyDescent="0.2">
      <c r="A2258"/>
      <c r="B2258"/>
      <c r="C2258"/>
      <c r="D2258"/>
      <c r="E2258"/>
      <c r="F2258"/>
      <c r="G2258"/>
      <c r="H2258"/>
      <c r="I2258"/>
      <c r="J2258"/>
      <c r="K2258"/>
      <c r="L2258"/>
      <c r="M2258"/>
      <c r="N2258"/>
      <c r="O2258"/>
      <c r="P2258"/>
      <c r="Q2258"/>
      <c r="R2258"/>
      <c r="S2258"/>
    </row>
    <row r="2259" spans="1:19" ht="15" x14ac:dyDescent="0.2">
      <c r="A2259"/>
      <c r="B2259"/>
      <c r="C2259"/>
      <c r="D2259"/>
      <c r="E2259"/>
      <c r="F2259"/>
      <c r="G2259"/>
      <c r="H2259"/>
      <c r="I2259"/>
      <c r="J2259"/>
      <c r="K2259"/>
      <c r="L2259"/>
      <c r="M2259"/>
      <c r="N2259"/>
      <c r="O2259"/>
      <c r="P2259"/>
      <c r="Q2259"/>
      <c r="R2259"/>
      <c r="S2259"/>
    </row>
    <row r="2260" spans="1:19" ht="15" x14ac:dyDescent="0.2">
      <c r="A2260"/>
      <c r="B2260"/>
      <c r="C2260"/>
      <c r="D2260"/>
      <c r="E2260"/>
      <c r="F2260"/>
      <c r="G2260"/>
      <c r="H2260"/>
      <c r="I2260"/>
      <c r="J2260"/>
      <c r="K2260"/>
      <c r="L2260"/>
      <c r="M2260"/>
      <c r="N2260"/>
      <c r="O2260"/>
      <c r="P2260"/>
      <c r="Q2260"/>
      <c r="R2260"/>
      <c r="S2260"/>
    </row>
    <row r="2261" spans="1:19" ht="15" x14ac:dyDescent="0.2">
      <c r="A2261"/>
      <c r="B2261"/>
      <c r="C2261"/>
      <c r="D2261"/>
      <c r="E2261"/>
      <c r="F2261"/>
      <c r="G2261"/>
      <c r="H2261"/>
      <c r="I2261"/>
      <c r="J2261"/>
      <c r="K2261"/>
      <c r="L2261"/>
      <c r="M2261"/>
      <c r="N2261"/>
      <c r="O2261"/>
      <c r="P2261"/>
      <c r="Q2261"/>
      <c r="R2261"/>
      <c r="S2261"/>
    </row>
    <row r="2262" spans="1:19" ht="15" x14ac:dyDescent="0.2">
      <c r="A2262"/>
      <c r="B2262"/>
      <c r="C2262"/>
      <c r="D2262"/>
      <c r="E2262"/>
      <c r="F2262"/>
      <c r="G2262"/>
      <c r="H2262"/>
      <c r="I2262"/>
      <c r="J2262"/>
      <c r="K2262"/>
      <c r="L2262"/>
      <c r="M2262"/>
      <c r="N2262"/>
      <c r="O2262"/>
      <c r="P2262"/>
      <c r="Q2262"/>
      <c r="R2262"/>
      <c r="S2262"/>
    </row>
    <row r="2263" spans="1:19" ht="15" x14ac:dyDescent="0.2">
      <c r="A2263"/>
      <c r="B2263"/>
      <c r="C2263"/>
      <c r="D2263"/>
      <c r="E2263"/>
      <c r="F2263"/>
      <c r="G2263"/>
      <c r="H2263"/>
      <c r="I2263"/>
      <c r="J2263"/>
      <c r="K2263"/>
      <c r="L2263"/>
      <c r="M2263"/>
      <c r="N2263"/>
      <c r="O2263"/>
      <c r="P2263"/>
      <c r="Q2263"/>
      <c r="R2263"/>
      <c r="S2263"/>
    </row>
    <row r="2264" spans="1:19" ht="15" x14ac:dyDescent="0.2">
      <c r="A2264"/>
      <c r="B2264"/>
      <c r="C2264"/>
      <c r="D2264"/>
      <c r="E2264"/>
      <c r="F2264"/>
      <c r="G2264"/>
      <c r="H2264"/>
      <c r="I2264"/>
      <c r="J2264"/>
      <c r="K2264"/>
      <c r="L2264"/>
      <c r="M2264"/>
      <c r="N2264"/>
      <c r="O2264"/>
      <c r="P2264"/>
      <c r="Q2264"/>
      <c r="R2264"/>
      <c r="S2264"/>
    </row>
    <row r="2265" spans="1:19" ht="15" x14ac:dyDescent="0.2">
      <c r="A2265"/>
      <c r="B2265"/>
      <c r="C2265"/>
      <c r="D2265"/>
      <c r="E2265"/>
      <c r="F2265"/>
      <c r="G2265"/>
      <c r="H2265"/>
      <c r="I2265"/>
      <c r="J2265"/>
      <c r="K2265"/>
      <c r="L2265"/>
      <c r="M2265"/>
      <c r="N2265"/>
      <c r="O2265"/>
      <c r="P2265"/>
      <c r="Q2265"/>
      <c r="R2265"/>
      <c r="S2265"/>
    </row>
    <row r="2266" spans="1:19" ht="15" x14ac:dyDescent="0.2">
      <c r="A2266"/>
      <c r="B2266"/>
      <c r="C2266"/>
      <c r="D2266"/>
      <c r="E2266"/>
      <c r="F2266"/>
      <c r="G2266"/>
      <c r="H2266"/>
      <c r="I2266"/>
      <c r="J2266"/>
      <c r="K2266"/>
      <c r="L2266"/>
      <c r="M2266"/>
      <c r="N2266"/>
      <c r="O2266"/>
      <c r="P2266"/>
      <c r="Q2266"/>
      <c r="R2266"/>
      <c r="S2266"/>
    </row>
    <row r="2267" spans="1:19" ht="15" x14ac:dyDescent="0.2">
      <c r="A2267"/>
      <c r="B2267"/>
      <c r="C2267"/>
      <c r="D2267"/>
      <c r="E2267"/>
      <c r="F2267"/>
      <c r="G2267"/>
      <c r="H2267"/>
      <c r="I2267"/>
      <c r="J2267"/>
      <c r="K2267"/>
      <c r="L2267"/>
      <c r="M2267"/>
      <c r="N2267"/>
      <c r="O2267"/>
      <c r="P2267"/>
      <c r="Q2267"/>
      <c r="R2267"/>
      <c r="S2267"/>
    </row>
    <row r="2268" spans="1:19" ht="15" x14ac:dyDescent="0.2">
      <c r="A2268"/>
      <c r="B2268"/>
      <c r="C2268"/>
      <c r="D2268"/>
      <c r="E2268"/>
      <c r="F2268"/>
      <c r="G2268"/>
      <c r="H2268"/>
      <c r="I2268"/>
      <c r="J2268"/>
      <c r="K2268"/>
      <c r="L2268"/>
      <c r="M2268"/>
      <c r="N2268"/>
      <c r="O2268"/>
      <c r="P2268"/>
      <c r="Q2268"/>
      <c r="R2268"/>
      <c r="S2268"/>
    </row>
    <row r="2269" spans="1:19" ht="15" x14ac:dyDescent="0.2">
      <c r="A2269"/>
      <c r="B2269"/>
      <c r="C2269"/>
      <c r="D2269"/>
      <c r="E2269"/>
      <c r="F2269"/>
      <c r="G2269"/>
      <c r="H2269"/>
      <c r="I2269"/>
      <c r="J2269"/>
      <c r="K2269"/>
      <c r="L2269"/>
      <c r="M2269"/>
      <c r="N2269"/>
      <c r="O2269"/>
      <c r="P2269"/>
      <c r="Q2269"/>
      <c r="R2269"/>
      <c r="S2269"/>
    </row>
    <row r="2270" spans="1:19" ht="15" x14ac:dyDescent="0.2">
      <c r="A2270"/>
      <c r="B2270"/>
      <c r="C2270"/>
      <c r="D2270"/>
      <c r="E2270"/>
      <c r="F2270"/>
      <c r="G2270"/>
      <c r="H2270"/>
      <c r="I2270"/>
      <c r="J2270"/>
      <c r="K2270"/>
      <c r="L2270"/>
      <c r="M2270"/>
      <c r="N2270"/>
      <c r="O2270"/>
      <c r="P2270"/>
      <c r="Q2270"/>
      <c r="R2270"/>
      <c r="S2270"/>
    </row>
    <row r="2271" spans="1:19" ht="15" x14ac:dyDescent="0.2">
      <c r="A2271"/>
      <c r="B2271"/>
      <c r="C2271"/>
      <c r="D2271"/>
      <c r="E2271"/>
      <c r="F2271"/>
      <c r="G2271"/>
      <c r="H2271"/>
      <c r="I2271"/>
      <c r="J2271"/>
      <c r="K2271"/>
      <c r="L2271"/>
      <c r="M2271"/>
      <c r="N2271"/>
      <c r="O2271"/>
      <c r="P2271"/>
      <c r="Q2271"/>
      <c r="R2271"/>
      <c r="S2271"/>
    </row>
    <row r="2272" spans="1:19" ht="15" x14ac:dyDescent="0.2">
      <c r="A2272"/>
      <c r="B2272"/>
      <c r="C2272"/>
      <c r="D2272"/>
      <c r="E2272"/>
      <c r="F2272"/>
      <c r="G2272"/>
      <c r="H2272"/>
      <c r="I2272"/>
      <c r="J2272"/>
      <c r="K2272"/>
      <c r="L2272"/>
      <c r="M2272"/>
      <c r="N2272"/>
      <c r="O2272"/>
      <c r="P2272"/>
      <c r="Q2272"/>
      <c r="R2272"/>
      <c r="S2272"/>
    </row>
    <row r="2273" spans="1:19" ht="15" x14ac:dyDescent="0.2">
      <c r="A2273"/>
      <c r="B2273"/>
      <c r="C2273"/>
      <c r="D2273"/>
      <c r="E2273"/>
      <c r="F2273"/>
      <c r="G2273"/>
      <c r="H2273"/>
      <c r="I2273"/>
      <c r="J2273"/>
      <c r="K2273"/>
      <c r="L2273"/>
      <c r="M2273"/>
      <c r="N2273"/>
      <c r="O2273"/>
      <c r="P2273"/>
      <c r="Q2273"/>
      <c r="R2273"/>
      <c r="S2273"/>
    </row>
    <row r="2274" spans="1:19" ht="15" x14ac:dyDescent="0.2">
      <c r="A2274"/>
      <c r="B2274"/>
      <c r="C2274"/>
      <c r="D2274"/>
      <c r="E2274"/>
      <c r="F2274"/>
      <c r="G2274"/>
      <c r="H2274"/>
      <c r="I2274"/>
      <c r="J2274"/>
      <c r="K2274"/>
      <c r="L2274"/>
      <c r="M2274"/>
      <c r="N2274"/>
      <c r="O2274"/>
      <c r="P2274"/>
      <c r="Q2274"/>
      <c r="R2274"/>
      <c r="S2274"/>
    </row>
    <row r="2275" spans="1:19" ht="15" x14ac:dyDescent="0.2">
      <c r="A2275"/>
      <c r="B2275"/>
      <c r="C2275"/>
      <c r="D2275"/>
      <c r="E2275"/>
      <c r="F2275"/>
      <c r="G2275"/>
      <c r="H2275"/>
      <c r="I2275"/>
      <c r="J2275"/>
      <c r="K2275"/>
      <c r="L2275"/>
      <c r="M2275"/>
      <c r="N2275"/>
      <c r="O2275"/>
      <c r="P2275"/>
      <c r="Q2275"/>
      <c r="R2275"/>
      <c r="S2275"/>
    </row>
    <row r="2276" spans="1:19" ht="15" x14ac:dyDescent="0.2">
      <c r="A2276"/>
      <c r="B2276"/>
      <c r="C2276"/>
      <c r="D2276"/>
      <c r="E2276"/>
      <c r="F2276"/>
      <c r="G2276"/>
      <c r="H2276"/>
      <c r="I2276"/>
      <c r="J2276"/>
      <c r="K2276"/>
      <c r="L2276"/>
      <c r="M2276"/>
      <c r="N2276"/>
      <c r="O2276"/>
      <c r="P2276"/>
      <c r="Q2276"/>
      <c r="R2276"/>
      <c r="S2276"/>
    </row>
    <row r="2277" spans="1:19" ht="15" x14ac:dyDescent="0.2">
      <c r="A2277"/>
      <c r="B2277"/>
      <c r="C2277"/>
      <c r="D2277"/>
      <c r="E2277"/>
      <c r="F2277"/>
      <c r="G2277"/>
      <c r="H2277"/>
      <c r="I2277"/>
      <c r="J2277"/>
      <c r="K2277"/>
      <c r="L2277"/>
      <c r="M2277"/>
      <c r="N2277"/>
      <c r="O2277"/>
      <c r="P2277"/>
      <c r="Q2277"/>
      <c r="R2277"/>
      <c r="S2277"/>
    </row>
    <row r="2278" spans="1:19" ht="15" x14ac:dyDescent="0.2">
      <c r="A2278"/>
      <c r="B2278"/>
      <c r="C2278"/>
      <c r="D2278"/>
      <c r="E2278"/>
      <c r="F2278"/>
      <c r="G2278"/>
      <c r="H2278"/>
      <c r="I2278"/>
      <c r="J2278"/>
      <c r="K2278"/>
      <c r="L2278"/>
      <c r="M2278"/>
      <c r="N2278"/>
      <c r="O2278"/>
      <c r="P2278"/>
      <c r="Q2278"/>
      <c r="R2278"/>
      <c r="S2278"/>
    </row>
    <row r="2279" spans="1:19" ht="15" x14ac:dyDescent="0.2">
      <c r="A2279"/>
      <c r="B2279"/>
      <c r="C2279"/>
      <c r="D2279"/>
      <c r="E2279"/>
      <c r="F2279"/>
      <c r="G2279"/>
      <c r="H2279"/>
      <c r="I2279"/>
      <c r="J2279"/>
      <c r="K2279"/>
      <c r="L2279"/>
      <c r="M2279"/>
      <c r="N2279"/>
      <c r="O2279"/>
      <c r="P2279"/>
      <c r="Q2279"/>
      <c r="R2279"/>
      <c r="S2279"/>
    </row>
    <row r="2280" spans="1:19" ht="15" x14ac:dyDescent="0.2">
      <c r="A2280"/>
      <c r="B2280"/>
      <c r="C2280"/>
      <c r="D2280"/>
      <c r="E2280"/>
      <c r="F2280"/>
      <c r="G2280"/>
      <c r="H2280"/>
      <c r="I2280"/>
      <c r="J2280"/>
      <c r="K2280"/>
      <c r="L2280"/>
      <c r="M2280"/>
      <c r="N2280"/>
      <c r="O2280"/>
      <c r="P2280"/>
      <c r="Q2280"/>
      <c r="R2280"/>
      <c r="S2280"/>
    </row>
    <row r="2281" spans="1:19" ht="15" x14ac:dyDescent="0.2">
      <c r="A2281"/>
      <c r="B2281"/>
      <c r="C2281"/>
      <c r="D2281"/>
      <c r="E2281"/>
      <c r="F2281"/>
      <c r="G2281"/>
      <c r="H2281"/>
      <c r="I2281"/>
      <c r="J2281"/>
      <c r="K2281"/>
      <c r="L2281"/>
      <c r="M2281"/>
      <c r="N2281"/>
      <c r="O2281"/>
      <c r="P2281"/>
      <c r="Q2281"/>
      <c r="R2281"/>
      <c r="S2281"/>
    </row>
    <row r="2282" spans="1:19" ht="15" x14ac:dyDescent="0.2">
      <c r="A2282"/>
      <c r="B2282"/>
      <c r="C2282"/>
      <c r="D2282"/>
      <c r="E2282"/>
      <c r="F2282"/>
      <c r="G2282"/>
      <c r="H2282"/>
      <c r="I2282"/>
      <c r="J2282"/>
      <c r="K2282"/>
      <c r="L2282"/>
      <c r="M2282"/>
      <c r="N2282"/>
      <c r="O2282"/>
      <c r="P2282"/>
      <c r="Q2282"/>
      <c r="R2282"/>
      <c r="S2282"/>
    </row>
    <row r="2283" spans="1:19" ht="15" x14ac:dyDescent="0.2">
      <c r="A2283"/>
      <c r="B2283"/>
      <c r="C2283"/>
      <c r="D2283"/>
      <c r="E2283"/>
      <c r="F2283"/>
      <c r="G2283"/>
      <c r="H2283"/>
      <c r="I2283"/>
      <c r="J2283"/>
      <c r="K2283"/>
      <c r="L2283"/>
      <c r="M2283"/>
      <c r="N2283"/>
      <c r="O2283"/>
      <c r="P2283"/>
      <c r="Q2283"/>
      <c r="R2283"/>
      <c r="S2283"/>
    </row>
    <row r="2284" spans="1:19" ht="15" x14ac:dyDescent="0.2">
      <c r="A2284"/>
      <c r="B2284"/>
      <c r="C2284"/>
      <c r="D2284"/>
      <c r="E2284"/>
      <c r="F2284"/>
      <c r="G2284"/>
      <c r="H2284"/>
      <c r="I2284"/>
      <c r="J2284"/>
      <c r="K2284"/>
      <c r="L2284"/>
      <c r="M2284"/>
      <c r="N2284"/>
      <c r="O2284"/>
      <c r="P2284"/>
      <c r="Q2284"/>
      <c r="R2284"/>
      <c r="S2284"/>
    </row>
    <row r="2285" spans="1:19" ht="15" x14ac:dyDescent="0.2">
      <c r="A2285"/>
      <c r="B2285"/>
      <c r="C2285"/>
      <c r="D2285"/>
      <c r="E2285"/>
      <c r="F2285"/>
      <c r="G2285"/>
      <c r="H2285"/>
      <c r="I2285"/>
      <c r="J2285"/>
      <c r="K2285"/>
      <c r="L2285"/>
      <c r="M2285"/>
      <c r="N2285"/>
      <c r="O2285"/>
      <c r="P2285"/>
      <c r="Q2285"/>
      <c r="R2285"/>
      <c r="S2285"/>
    </row>
    <row r="2286" spans="1:19" ht="15" x14ac:dyDescent="0.2">
      <c r="A2286"/>
      <c r="B2286"/>
      <c r="C2286"/>
      <c r="D2286"/>
      <c r="E2286"/>
      <c r="F2286"/>
      <c r="G2286"/>
      <c r="H2286"/>
      <c r="I2286"/>
      <c r="J2286"/>
      <c r="K2286"/>
      <c r="L2286"/>
      <c r="M2286"/>
      <c r="N2286"/>
      <c r="O2286"/>
      <c r="P2286"/>
      <c r="Q2286"/>
      <c r="R2286"/>
      <c r="S2286"/>
    </row>
    <row r="2287" spans="1:19" ht="15" x14ac:dyDescent="0.2">
      <c r="A2287"/>
      <c r="B2287"/>
      <c r="C2287"/>
      <c r="D2287"/>
      <c r="E2287"/>
      <c r="F2287"/>
      <c r="G2287"/>
      <c r="H2287"/>
      <c r="I2287"/>
      <c r="J2287"/>
      <c r="K2287"/>
      <c r="L2287"/>
      <c r="M2287"/>
      <c r="N2287"/>
      <c r="O2287"/>
      <c r="P2287"/>
      <c r="Q2287"/>
      <c r="R2287"/>
      <c r="S2287"/>
    </row>
    <row r="2288" spans="1:19" ht="15" x14ac:dyDescent="0.2">
      <c r="A2288"/>
      <c r="B2288"/>
      <c r="C2288"/>
      <c r="D2288"/>
      <c r="E2288"/>
      <c r="F2288"/>
      <c r="G2288"/>
      <c r="H2288"/>
      <c r="I2288"/>
      <c r="J2288"/>
      <c r="K2288"/>
      <c r="L2288"/>
      <c r="M2288"/>
      <c r="N2288"/>
      <c r="O2288"/>
      <c r="P2288"/>
      <c r="Q2288"/>
      <c r="R2288"/>
      <c r="S2288"/>
    </row>
    <row r="2289" spans="1:19" ht="15" x14ac:dyDescent="0.2">
      <c r="A2289"/>
      <c r="B2289"/>
      <c r="C2289"/>
      <c r="D2289"/>
      <c r="E2289"/>
      <c r="F2289"/>
      <c r="G2289"/>
      <c r="H2289"/>
      <c r="I2289"/>
      <c r="J2289"/>
      <c r="K2289"/>
      <c r="L2289"/>
      <c r="M2289"/>
      <c r="N2289"/>
      <c r="O2289"/>
      <c r="P2289"/>
      <c r="Q2289"/>
      <c r="R2289"/>
      <c r="S2289"/>
    </row>
    <row r="2290" spans="1:19" ht="15" x14ac:dyDescent="0.2">
      <c r="A2290"/>
      <c r="B2290"/>
      <c r="C2290"/>
      <c r="D2290"/>
      <c r="E2290"/>
      <c r="F2290"/>
      <c r="G2290"/>
      <c r="H2290"/>
      <c r="I2290"/>
      <c r="J2290"/>
      <c r="K2290"/>
      <c r="L2290"/>
      <c r="M2290"/>
      <c r="N2290"/>
      <c r="O2290"/>
      <c r="P2290"/>
      <c r="Q2290"/>
      <c r="R2290"/>
      <c r="S2290"/>
    </row>
    <row r="2291" spans="1:19" ht="15" x14ac:dyDescent="0.2">
      <c r="A2291"/>
      <c r="B2291"/>
      <c r="C2291"/>
      <c r="D2291"/>
      <c r="E2291"/>
      <c r="F2291"/>
      <c r="G2291"/>
      <c r="H2291"/>
      <c r="I2291"/>
      <c r="J2291"/>
      <c r="K2291"/>
      <c r="L2291"/>
      <c r="M2291"/>
      <c r="N2291"/>
      <c r="O2291"/>
      <c r="P2291"/>
      <c r="Q2291"/>
      <c r="R2291"/>
      <c r="S2291"/>
    </row>
    <row r="2292" spans="1:19" ht="15" x14ac:dyDescent="0.2">
      <c r="A2292"/>
      <c r="B2292"/>
      <c r="C2292"/>
      <c r="D2292"/>
      <c r="E2292"/>
      <c r="F2292"/>
      <c r="G2292"/>
      <c r="H2292"/>
      <c r="I2292"/>
      <c r="J2292"/>
      <c r="K2292"/>
      <c r="L2292"/>
      <c r="M2292"/>
      <c r="N2292"/>
      <c r="O2292"/>
      <c r="P2292"/>
      <c r="Q2292"/>
      <c r="R2292"/>
      <c r="S2292"/>
    </row>
    <row r="2293" spans="1:19" ht="15" x14ac:dyDescent="0.2">
      <c r="A2293"/>
      <c r="B2293"/>
      <c r="C2293"/>
      <c r="D2293"/>
      <c r="E2293"/>
      <c r="F2293"/>
      <c r="G2293"/>
      <c r="H2293"/>
      <c r="I2293"/>
      <c r="J2293"/>
      <c r="K2293"/>
      <c r="L2293"/>
      <c r="M2293"/>
      <c r="N2293"/>
      <c r="O2293"/>
      <c r="P2293"/>
      <c r="Q2293"/>
      <c r="R2293"/>
      <c r="S2293"/>
    </row>
    <row r="2294" spans="1:19" ht="15" x14ac:dyDescent="0.2">
      <c r="A2294"/>
      <c r="B2294"/>
      <c r="C2294"/>
      <c r="D2294"/>
      <c r="E2294"/>
      <c r="F2294"/>
      <c r="G2294"/>
      <c r="H2294"/>
      <c r="I2294"/>
      <c r="J2294"/>
      <c r="K2294"/>
      <c r="L2294"/>
      <c r="M2294"/>
      <c r="N2294"/>
      <c r="O2294"/>
      <c r="P2294"/>
      <c r="Q2294"/>
      <c r="R2294"/>
      <c r="S2294"/>
    </row>
    <row r="2295" spans="1:19" ht="15" x14ac:dyDescent="0.2">
      <c r="A2295"/>
      <c r="B2295"/>
      <c r="C2295"/>
      <c r="D2295"/>
      <c r="E2295"/>
      <c r="F2295"/>
      <c r="G2295"/>
      <c r="H2295"/>
      <c r="I2295"/>
      <c r="J2295"/>
      <c r="K2295"/>
      <c r="L2295"/>
      <c r="M2295"/>
      <c r="N2295"/>
      <c r="O2295"/>
      <c r="P2295"/>
      <c r="Q2295"/>
      <c r="R2295"/>
      <c r="S2295"/>
    </row>
    <row r="2296" spans="1:19" ht="15" x14ac:dyDescent="0.2">
      <c r="A2296"/>
      <c r="B2296"/>
      <c r="C2296"/>
      <c r="D2296"/>
      <c r="E2296"/>
      <c r="F2296"/>
      <c r="G2296"/>
      <c r="H2296"/>
      <c r="I2296"/>
      <c r="J2296"/>
      <c r="K2296"/>
      <c r="L2296"/>
      <c r="M2296"/>
      <c r="N2296"/>
      <c r="O2296"/>
      <c r="P2296"/>
      <c r="Q2296"/>
      <c r="R2296"/>
      <c r="S2296"/>
    </row>
    <row r="2297" spans="1:19" ht="15" x14ac:dyDescent="0.2">
      <c r="A2297"/>
      <c r="B2297"/>
      <c r="C2297"/>
      <c r="D2297"/>
      <c r="E2297"/>
      <c r="F2297"/>
      <c r="G2297"/>
      <c r="H2297"/>
      <c r="I2297"/>
      <c r="J2297"/>
      <c r="K2297"/>
      <c r="L2297"/>
      <c r="M2297"/>
      <c r="N2297"/>
      <c r="O2297"/>
      <c r="P2297"/>
      <c r="Q2297"/>
      <c r="R2297"/>
      <c r="S2297"/>
    </row>
    <row r="2298" spans="1:19" ht="15" x14ac:dyDescent="0.2">
      <c r="A2298"/>
      <c r="B2298"/>
      <c r="C2298"/>
      <c r="D2298"/>
      <c r="E2298"/>
      <c r="F2298"/>
      <c r="G2298"/>
      <c r="H2298"/>
      <c r="I2298"/>
      <c r="J2298"/>
      <c r="K2298"/>
      <c r="L2298"/>
      <c r="M2298"/>
      <c r="N2298"/>
      <c r="O2298"/>
      <c r="P2298"/>
      <c r="Q2298"/>
      <c r="R2298"/>
      <c r="S2298"/>
    </row>
    <row r="2299" spans="1:19" ht="15" x14ac:dyDescent="0.2">
      <c r="A2299"/>
      <c r="B2299"/>
      <c r="C2299"/>
      <c r="D2299"/>
      <c r="E2299"/>
      <c r="F2299"/>
      <c r="G2299"/>
      <c r="H2299"/>
      <c r="I2299"/>
      <c r="J2299"/>
      <c r="K2299"/>
      <c r="L2299"/>
      <c r="M2299"/>
      <c r="N2299"/>
      <c r="O2299"/>
      <c r="P2299"/>
      <c r="Q2299"/>
      <c r="R2299"/>
      <c r="S2299"/>
    </row>
    <row r="2300" spans="1:19" ht="15" x14ac:dyDescent="0.2">
      <c r="A2300"/>
      <c r="B2300"/>
      <c r="C2300"/>
      <c r="D2300"/>
      <c r="E2300"/>
      <c r="F2300"/>
      <c r="G2300"/>
      <c r="H2300"/>
      <c r="I2300"/>
      <c r="J2300"/>
      <c r="K2300"/>
      <c r="L2300"/>
      <c r="M2300"/>
      <c r="N2300"/>
      <c r="O2300"/>
      <c r="P2300"/>
      <c r="Q2300"/>
      <c r="R2300"/>
      <c r="S2300"/>
    </row>
    <row r="2301" spans="1:19" ht="15" x14ac:dyDescent="0.2">
      <c r="A2301"/>
      <c r="B2301"/>
      <c r="C2301"/>
      <c r="D2301"/>
      <c r="E2301"/>
      <c r="F2301"/>
      <c r="G2301"/>
      <c r="H2301"/>
      <c r="I2301"/>
      <c r="J2301"/>
      <c r="K2301"/>
      <c r="L2301"/>
      <c r="M2301"/>
      <c r="N2301"/>
      <c r="O2301"/>
      <c r="P2301"/>
      <c r="Q2301"/>
      <c r="R2301"/>
      <c r="S2301"/>
    </row>
    <row r="2302" spans="1:19" ht="15" x14ac:dyDescent="0.2">
      <c r="A2302"/>
      <c r="B2302"/>
      <c r="C2302"/>
      <c r="D2302"/>
      <c r="E2302"/>
      <c r="F2302"/>
      <c r="G2302"/>
      <c r="H2302"/>
      <c r="I2302"/>
      <c r="J2302"/>
      <c r="K2302"/>
      <c r="L2302"/>
      <c r="M2302"/>
      <c r="N2302"/>
      <c r="O2302"/>
      <c r="P2302"/>
      <c r="Q2302"/>
      <c r="R2302"/>
      <c r="S2302"/>
    </row>
    <row r="2303" spans="1:19" ht="15" x14ac:dyDescent="0.2">
      <c r="A2303"/>
      <c r="B2303"/>
      <c r="C2303"/>
      <c r="D2303"/>
      <c r="E2303"/>
      <c r="F2303"/>
      <c r="G2303"/>
      <c r="H2303"/>
      <c r="I2303"/>
      <c r="J2303"/>
      <c r="K2303"/>
      <c r="L2303"/>
      <c r="M2303"/>
      <c r="N2303"/>
      <c r="O2303"/>
      <c r="P2303"/>
      <c r="Q2303"/>
      <c r="R2303"/>
      <c r="S2303"/>
    </row>
    <row r="2304" spans="1:19" ht="15" x14ac:dyDescent="0.2">
      <c r="A2304"/>
      <c r="B2304"/>
      <c r="C2304"/>
      <c r="D2304"/>
      <c r="E2304"/>
      <c r="F2304"/>
      <c r="G2304"/>
      <c r="H2304"/>
      <c r="I2304"/>
      <c r="J2304"/>
      <c r="K2304"/>
      <c r="L2304"/>
      <c r="M2304"/>
      <c r="N2304"/>
      <c r="O2304"/>
      <c r="P2304"/>
      <c r="Q2304"/>
      <c r="R2304"/>
      <c r="S2304"/>
    </row>
    <row r="2305" spans="1:19" ht="15" x14ac:dyDescent="0.2">
      <c r="A2305"/>
      <c r="B2305"/>
      <c r="C2305"/>
      <c r="D2305"/>
      <c r="E2305"/>
      <c r="F2305"/>
      <c r="G2305"/>
      <c r="H2305"/>
      <c r="I2305"/>
      <c r="J2305"/>
      <c r="K2305"/>
      <c r="L2305"/>
      <c r="M2305"/>
      <c r="N2305"/>
      <c r="O2305"/>
      <c r="P2305"/>
      <c r="Q2305"/>
      <c r="R2305"/>
      <c r="S2305"/>
    </row>
    <row r="2306" spans="1:19" ht="15" x14ac:dyDescent="0.2">
      <c r="A2306"/>
      <c r="B2306"/>
      <c r="C2306"/>
      <c r="D2306"/>
      <c r="E2306"/>
      <c r="F2306"/>
      <c r="G2306"/>
      <c r="H2306"/>
      <c r="I2306"/>
      <c r="J2306"/>
      <c r="K2306"/>
      <c r="L2306"/>
      <c r="M2306"/>
      <c r="N2306"/>
      <c r="O2306"/>
      <c r="P2306"/>
      <c r="Q2306"/>
      <c r="R2306"/>
      <c r="S2306"/>
    </row>
    <row r="2307" spans="1:19" ht="15" x14ac:dyDescent="0.2">
      <c r="A2307"/>
      <c r="B2307"/>
      <c r="C2307"/>
      <c r="D2307"/>
      <c r="E2307"/>
      <c r="F2307"/>
      <c r="G2307"/>
      <c r="H2307"/>
      <c r="I2307"/>
      <c r="J2307"/>
      <c r="K2307"/>
      <c r="L2307"/>
      <c r="M2307"/>
      <c r="N2307"/>
      <c r="O2307"/>
      <c r="P2307"/>
      <c r="Q2307"/>
      <c r="R2307"/>
      <c r="S2307"/>
    </row>
    <row r="2308" spans="1:19" ht="15" x14ac:dyDescent="0.2">
      <c r="A2308"/>
      <c r="B2308"/>
      <c r="C2308"/>
      <c r="D2308"/>
      <c r="E2308"/>
      <c r="F2308"/>
      <c r="G2308"/>
      <c r="H2308"/>
      <c r="I2308"/>
      <c r="J2308"/>
      <c r="K2308"/>
      <c r="L2308"/>
      <c r="M2308"/>
      <c r="N2308"/>
      <c r="O2308"/>
      <c r="P2308"/>
      <c r="Q2308"/>
      <c r="R2308"/>
      <c r="S2308"/>
    </row>
    <row r="2309" spans="1:19" ht="15" x14ac:dyDescent="0.2">
      <c r="A2309"/>
      <c r="B2309"/>
      <c r="C2309"/>
      <c r="D2309"/>
      <c r="E2309"/>
      <c r="F2309"/>
      <c r="G2309"/>
      <c r="H2309"/>
      <c r="I2309"/>
      <c r="J2309"/>
      <c r="K2309"/>
      <c r="L2309"/>
      <c r="M2309"/>
      <c r="N2309"/>
      <c r="O2309"/>
      <c r="P2309"/>
      <c r="Q2309"/>
      <c r="R2309"/>
      <c r="S2309"/>
    </row>
    <row r="2310" spans="1:19" ht="15" x14ac:dyDescent="0.2">
      <c r="A2310"/>
      <c r="B2310"/>
      <c r="C2310"/>
      <c r="D2310"/>
      <c r="E2310"/>
      <c r="F2310"/>
      <c r="G2310"/>
      <c r="H2310"/>
      <c r="I2310"/>
      <c r="J2310"/>
      <c r="K2310"/>
      <c r="L2310"/>
      <c r="M2310"/>
      <c r="N2310"/>
      <c r="O2310"/>
      <c r="P2310"/>
      <c r="Q2310"/>
      <c r="R2310"/>
      <c r="S2310"/>
    </row>
    <row r="2311" spans="1:19" ht="15" x14ac:dyDescent="0.2">
      <c r="A2311"/>
      <c r="B2311"/>
      <c r="C2311"/>
      <c r="D2311"/>
      <c r="E2311"/>
      <c r="F2311"/>
      <c r="G2311"/>
      <c r="H2311"/>
      <c r="I2311"/>
      <c r="J2311"/>
      <c r="K2311"/>
      <c r="L2311"/>
      <c r="M2311"/>
      <c r="N2311"/>
      <c r="O2311"/>
      <c r="P2311"/>
      <c r="Q2311"/>
      <c r="R2311"/>
      <c r="S2311"/>
    </row>
    <row r="2312" spans="1:19" ht="15" x14ac:dyDescent="0.2">
      <c r="A2312"/>
      <c r="B2312"/>
      <c r="C2312"/>
      <c r="D2312"/>
      <c r="E2312"/>
      <c r="F2312"/>
      <c r="G2312"/>
      <c r="H2312"/>
      <c r="I2312"/>
      <c r="J2312"/>
      <c r="K2312"/>
      <c r="L2312"/>
      <c r="M2312"/>
      <c r="N2312"/>
      <c r="O2312"/>
      <c r="P2312"/>
      <c r="Q2312"/>
      <c r="R2312"/>
      <c r="S2312"/>
    </row>
    <row r="2313" spans="1:19" ht="15" x14ac:dyDescent="0.2">
      <c r="A2313"/>
      <c r="B2313"/>
      <c r="C2313"/>
      <c r="D2313"/>
      <c r="E2313"/>
      <c r="F2313"/>
      <c r="G2313"/>
      <c r="H2313"/>
      <c r="I2313"/>
      <c r="J2313"/>
      <c r="K2313"/>
      <c r="L2313"/>
      <c r="M2313"/>
      <c r="N2313"/>
      <c r="O2313"/>
      <c r="P2313"/>
      <c r="Q2313"/>
      <c r="R2313"/>
      <c r="S2313"/>
    </row>
    <row r="2314" spans="1:19" ht="15" x14ac:dyDescent="0.2">
      <c r="A2314"/>
      <c r="B2314"/>
      <c r="C2314"/>
      <c r="D2314"/>
      <c r="E2314"/>
      <c r="F2314"/>
      <c r="G2314"/>
      <c r="H2314"/>
      <c r="I2314"/>
      <c r="J2314"/>
      <c r="K2314"/>
      <c r="L2314"/>
      <c r="M2314"/>
      <c r="N2314"/>
      <c r="O2314"/>
      <c r="P2314"/>
      <c r="Q2314"/>
      <c r="R2314"/>
      <c r="S2314"/>
    </row>
    <row r="2315" spans="1:19" ht="15" x14ac:dyDescent="0.2">
      <c r="A2315"/>
      <c r="B2315"/>
      <c r="C2315"/>
      <c r="D2315"/>
      <c r="E2315"/>
      <c r="F2315"/>
      <c r="G2315"/>
      <c r="H2315"/>
      <c r="I2315"/>
      <c r="J2315"/>
      <c r="K2315"/>
      <c r="L2315"/>
      <c r="M2315"/>
      <c r="N2315"/>
      <c r="O2315"/>
      <c r="P2315"/>
      <c r="Q2315"/>
      <c r="R2315"/>
      <c r="S2315"/>
    </row>
    <row r="2316" spans="1:19" ht="15" x14ac:dyDescent="0.2">
      <c r="A2316"/>
      <c r="B2316"/>
      <c r="C2316"/>
      <c r="D2316"/>
      <c r="E2316"/>
      <c r="F2316"/>
      <c r="G2316"/>
      <c r="H2316"/>
      <c r="I2316"/>
      <c r="J2316"/>
      <c r="K2316"/>
      <c r="L2316"/>
      <c r="M2316"/>
      <c r="N2316"/>
      <c r="O2316"/>
      <c r="P2316"/>
      <c r="Q2316"/>
      <c r="R2316"/>
      <c r="S2316"/>
    </row>
    <row r="2317" spans="1:19" ht="15" x14ac:dyDescent="0.2">
      <c r="A2317"/>
      <c r="B2317"/>
      <c r="C2317"/>
      <c r="D2317"/>
      <c r="E2317"/>
      <c r="F2317"/>
      <c r="G2317"/>
      <c r="H2317"/>
      <c r="I2317"/>
      <c r="J2317"/>
      <c r="K2317"/>
      <c r="L2317"/>
      <c r="M2317"/>
      <c r="N2317"/>
      <c r="O2317"/>
      <c r="P2317"/>
      <c r="Q2317"/>
      <c r="R2317"/>
      <c r="S2317"/>
    </row>
    <row r="2318" spans="1:19" ht="15" x14ac:dyDescent="0.2">
      <c r="A2318"/>
      <c r="B2318"/>
      <c r="C2318"/>
      <c r="D2318"/>
      <c r="E2318"/>
      <c r="F2318"/>
      <c r="G2318"/>
      <c r="H2318"/>
      <c r="I2318"/>
      <c r="J2318"/>
      <c r="K2318"/>
      <c r="L2318"/>
      <c r="M2318"/>
      <c r="N2318"/>
      <c r="O2318"/>
      <c r="P2318"/>
      <c r="Q2318"/>
      <c r="R2318"/>
      <c r="S2318"/>
    </row>
    <row r="2319" spans="1:19" ht="15" x14ac:dyDescent="0.2">
      <c r="A2319"/>
      <c r="B2319"/>
      <c r="C2319"/>
      <c r="D2319"/>
      <c r="E2319"/>
      <c r="F2319"/>
      <c r="G2319"/>
      <c r="H2319"/>
      <c r="I2319"/>
      <c r="J2319"/>
      <c r="K2319"/>
      <c r="L2319"/>
      <c r="M2319"/>
      <c r="N2319"/>
      <c r="O2319"/>
      <c r="P2319"/>
      <c r="Q2319"/>
      <c r="R2319"/>
      <c r="S2319"/>
    </row>
    <row r="2320" spans="1:19" ht="15" x14ac:dyDescent="0.2">
      <c r="A2320"/>
      <c r="B2320"/>
      <c r="C2320"/>
      <c r="D2320"/>
      <c r="E2320"/>
      <c r="F2320"/>
      <c r="G2320"/>
      <c r="H2320"/>
      <c r="I2320"/>
      <c r="J2320"/>
      <c r="K2320"/>
      <c r="L2320"/>
      <c r="M2320"/>
      <c r="N2320"/>
      <c r="O2320"/>
      <c r="P2320"/>
      <c r="Q2320"/>
      <c r="R2320"/>
      <c r="S2320"/>
    </row>
    <row r="2321" spans="1:19" ht="15" x14ac:dyDescent="0.2">
      <c r="A2321"/>
      <c r="B2321"/>
      <c r="C2321"/>
      <c r="D2321"/>
      <c r="E2321"/>
      <c r="F2321"/>
      <c r="G2321"/>
      <c r="H2321"/>
      <c r="I2321"/>
      <c r="J2321"/>
      <c r="K2321"/>
      <c r="L2321"/>
      <c r="M2321"/>
      <c r="N2321"/>
      <c r="O2321"/>
      <c r="P2321"/>
      <c r="Q2321"/>
      <c r="R2321"/>
      <c r="S2321"/>
    </row>
    <row r="2322" spans="1:19" ht="15" x14ac:dyDescent="0.2">
      <c r="A2322"/>
      <c r="B2322"/>
      <c r="C2322"/>
      <c r="D2322"/>
      <c r="E2322"/>
      <c r="F2322"/>
      <c r="G2322"/>
      <c r="H2322"/>
      <c r="I2322"/>
      <c r="J2322"/>
      <c r="K2322"/>
      <c r="L2322"/>
      <c r="M2322"/>
      <c r="N2322"/>
      <c r="O2322"/>
      <c r="P2322"/>
      <c r="Q2322"/>
      <c r="R2322"/>
      <c r="S2322"/>
    </row>
    <row r="2323" spans="1:19" ht="15" x14ac:dyDescent="0.2">
      <c r="A2323"/>
      <c r="B2323"/>
      <c r="C2323"/>
      <c r="D2323"/>
      <c r="E2323"/>
      <c r="F2323"/>
      <c r="G2323"/>
      <c r="H2323"/>
      <c r="I2323"/>
      <c r="J2323"/>
      <c r="K2323"/>
      <c r="L2323"/>
      <c r="M2323"/>
      <c r="N2323"/>
      <c r="O2323"/>
      <c r="P2323"/>
      <c r="Q2323"/>
      <c r="R2323"/>
      <c r="S2323"/>
    </row>
    <row r="2324" spans="1:19" ht="15" x14ac:dyDescent="0.2">
      <c r="A2324"/>
      <c r="B2324"/>
      <c r="C2324"/>
      <c r="D2324"/>
      <c r="E2324"/>
      <c r="F2324"/>
      <c r="G2324"/>
      <c r="H2324"/>
      <c r="I2324"/>
      <c r="J2324"/>
      <c r="K2324"/>
      <c r="L2324"/>
      <c r="M2324"/>
      <c r="N2324"/>
      <c r="O2324"/>
      <c r="P2324"/>
      <c r="Q2324"/>
      <c r="R2324"/>
      <c r="S2324"/>
    </row>
    <row r="2325" spans="1:19" ht="15" x14ac:dyDescent="0.2">
      <c r="A2325"/>
      <c r="B2325"/>
      <c r="C2325"/>
      <c r="D2325"/>
      <c r="E2325"/>
      <c r="F2325"/>
      <c r="G2325"/>
      <c r="H2325"/>
      <c r="I2325"/>
      <c r="J2325"/>
      <c r="K2325"/>
      <c r="L2325"/>
      <c r="M2325"/>
      <c r="N2325"/>
      <c r="O2325"/>
      <c r="P2325"/>
      <c r="Q2325"/>
      <c r="R2325"/>
      <c r="S2325"/>
    </row>
    <row r="2326" spans="1:19" ht="15" x14ac:dyDescent="0.2">
      <c r="A2326"/>
      <c r="B2326"/>
      <c r="C2326"/>
      <c r="D2326"/>
      <c r="E2326"/>
      <c r="F2326"/>
      <c r="G2326"/>
      <c r="H2326"/>
      <c r="I2326"/>
      <c r="J2326"/>
      <c r="K2326"/>
      <c r="L2326"/>
      <c r="M2326"/>
      <c r="N2326"/>
      <c r="O2326"/>
      <c r="P2326"/>
      <c r="Q2326"/>
      <c r="R2326"/>
      <c r="S2326"/>
    </row>
    <row r="2327" spans="1:19" ht="15" x14ac:dyDescent="0.2">
      <c r="A2327"/>
      <c r="B2327"/>
      <c r="C2327"/>
      <c r="D2327"/>
      <c r="E2327"/>
      <c r="F2327"/>
      <c r="G2327"/>
      <c r="H2327"/>
      <c r="I2327"/>
      <c r="J2327"/>
      <c r="K2327"/>
      <c r="L2327"/>
      <c r="M2327"/>
      <c r="N2327"/>
      <c r="O2327"/>
      <c r="P2327"/>
      <c r="Q2327"/>
      <c r="R2327"/>
      <c r="S2327"/>
    </row>
    <row r="2328" spans="1:19" ht="15" x14ac:dyDescent="0.2">
      <c r="A2328"/>
      <c r="B2328"/>
      <c r="C2328"/>
      <c r="D2328"/>
      <c r="E2328"/>
      <c r="F2328"/>
      <c r="G2328"/>
      <c r="H2328"/>
      <c r="I2328"/>
      <c r="J2328"/>
      <c r="K2328"/>
      <c r="L2328"/>
      <c r="M2328"/>
      <c r="N2328"/>
      <c r="O2328"/>
      <c r="P2328"/>
      <c r="Q2328"/>
      <c r="R2328"/>
      <c r="S2328"/>
    </row>
    <row r="2329" spans="1:19" ht="15" x14ac:dyDescent="0.2">
      <c r="A2329"/>
      <c r="B2329"/>
      <c r="C2329"/>
      <c r="D2329"/>
      <c r="E2329"/>
      <c r="F2329"/>
      <c r="G2329"/>
      <c r="H2329"/>
      <c r="I2329"/>
      <c r="J2329"/>
      <c r="K2329"/>
      <c r="L2329"/>
      <c r="M2329"/>
      <c r="N2329"/>
      <c r="O2329"/>
      <c r="P2329"/>
      <c r="Q2329"/>
      <c r="R2329"/>
      <c r="S2329"/>
    </row>
    <row r="2330" spans="1:19" ht="15" x14ac:dyDescent="0.2">
      <c r="A2330"/>
      <c r="B2330"/>
      <c r="C2330"/>
      <c r="D2330"/>
      <c r="E2330"/>
      <c r="F2330"/>
      <c r="G2330"/>
      <c r="H2330"/>
      <c r="I2330"/>
      <c r="J2330"/>
      <c r="K2330"/>
      <c r="L2330"/>
      <c r="M2330"/>
      <c r="N2330"/>
      <c r="O2330"/>
      <c r="P2330"/>
      <c r="Q2330"/>
      <c r="R2330"/>
      <c r="S2330"/>
    </row>
    <row r="2331" spans="1:19" ht="15" x14ac:dyDescent="0.2">
      <c r="A2331"/>
      <c r="B2331"/>
      <c r="C2331"/>
      <c r="D2331"/>
      <c r="E2331"/>
      <c r="F2331"/>
      <c r="G2331"/>
      <c r="H2331"/>
      <c r="I2331"/>
      <c r="J2331"/>
      <c r="K2331"/>
      <c r="L2331"/>
      <c r="M2331"/>
      <c r="N2331"/>
      <c r="O2331"/>
      <c r="P2331"/>
      <c r="Q2331"/>
      <c r="R2331"/>
      <c r="S2331"/>
    </row>
    <row r="2332" spans="1:19" ht="15" x14ac:dyDescent="0.2">
      <c r="A2332"/>
      <c r="B2332"/>
      <c r="C2332"/>
      <c r="D2332"/>
      <c r="E2332"/>
      <c r="F2332"/>
      <c r="G2332"/>
      <c r="H2332"/>
      <c r="I2332"/>
      <c r="J2332"/>
      <c r="K2332"/>
      <c r="L2332"/>
      <c r="M2332"/>
      <c r="N2332"/>
      <c r="O2332"/>
      <c r="P2332"/>
      <c r="Q2332"/>
      <c r="R2332"/>
      <c r="S2332"/>
    </row>
    <row r="2333" spans="1:19" ht="15" x14ac:dyDescent="0.2">
      <c r="A2333"/>
      <c r="B2333"/>
      <c r="C2333"/>
      <c r="D2333"/>
      <c r="E2333"/>
      <c r="F2333"/>
      <c r="G2333"/>
      <c r="H2333"/>
      <c r="I2333"/>
      <c r="J2333"/>
      <c r="K2333"/>
      <c r="L2333"/>
      <c r="M2333"/>
      <c r="N2333"/>
      <c r="O2333"/>
      <c r="P2333"/>
      <c r="Q2333"/>
      <c r="R2333"/>
      <c r="S2333"/>
    </row>
    <row r="2334" spans="1:19" ht="15" x14ac:dyDescent="0.2">
      <c r="A2334"/>
      <c r="B2334"/>
      <c r="C2334"/>
      <c r="D2334"/>
      <c r="E2334"/>
      <c r="F2334"/>
      <c r="G2334"/>
      <c r="H2334"/>
      <c r="I2334"/>
      <c r="J2334"/>
      <c r="K2334"/>
      <c r="L2334"/>
      <c r="M2334"/>
      <c r="N2334"/>
      <c r="O2334"/>
      <c r="P2334"/>
      <c r="Q2334"/>
      <c r="R2334"/>
      <c r="S2334"/>
    </row>
    <row r="2335" spans="1:19" ht="15" x14ac:dyDescent="0.2">
      <c r="A2335"/>
      <c r="B2335"/>
      <c r="C2335"/>
      <c r="D2335"/>
      <c r="E2335"/>
      <c r="F2335"/>
      <c r="G2335"/>
      <c r="H2335"/>
      <c r="I2335"/>
      <c r="J2335"/>
      <c r="K2335"/>
      <c r="L2335"/>
      <c r="M2335"/>
      <c r="N2335"/>
      <c r="O2335"/>
      <c r="P2335"/>
      <c r="Q2335"/>
      <c r="R2335"/>
      <c r="S2335"/>
    </row>
    <row r="2336" spans="1:19" ht="15" x14ac:dyDescent="0.2">
      <c r="A2336"/>
      <c r="B2336"/>
      <c r="C2336"/>
      <c r="D2336"/>
      <c r="E2336"/>
      <c r="F2336"/>
      <c r="G2336"/>
      <c r="H2336"/>
      <c r="I2336"/>
      <c r="J2336"/>
      <c r="K2336"/>
      <c r="L2336"/>
      <c r="M2336"/>
      <c r="N2336"/>
      <c r="O2336"/>
      <c r="P2336"/>
      <c r="Q2336"/>
      <c r="R2336"/>
      <c r="S2336"/>
    </row>
    <row r="2337" spans="1:19" ht="15" x14ac:dyDescent="0.2">
      <c r="A2337"/>
      <c r="B2337"/>
      <c r="C2337"/>
      <c r="D2337"/>
      <c r="E2337"/>
      <c r="F2337"/>
      <c r="G2337"/>
      <c r="H2337"/>
      <c r="I2337"/>
      <c r="J2337"/>
      <c r="K2337"/>
      <c r="L2337"/>
      <c r="M2337"/>
      <c r="N2337"/>
      <c r="O2337"/>
      <c r="P2337"/>
      <c r="Q2337"/>
      <c r="R2337"/>
      <c r="S2337"/>
    </row>
    <row r="2338" spans="1:19" ht="15" x14ac:dyDescent="0.2">
      <c r="A2338"/>
      <c r="B2338"/>
      <c r="C2338"/>
      <c r="D2338"/>
      <c r="E2338"/>
      <c r="F2338"/>
      <c r="G2338"/>
      <c r="H2338"/>
      <c r="I2338"/>
      <c r="J2338"/>
      <c r="K2338"/>
      <c r="L2338"/>
      <c r="M2338"/>
      <c r="N2338"/>
      <c r="O2338"/>
      <c r="P2338"/>
      <c r="Q2338"/>
      <c r="R2338"/>
      <c r="S2338"/>
    </row>
    <row r="2339" spans="1:19" ht="15" x14ac:dyDescent="0.2">
      <c r="A2339"/>
      <c r="B2339"/>
      <c r="C2339"/>
      <c r="D2339"/>
      <c r="E2339"/>
      <c r="F2339"/>
      <c r="G2339"/>
      <c r="H2339"/>
      <c r="I2339"/>
      <c r="J2339"/>
      <c r="K2339"/>
      <c r="L2339"/>
      <c r="M2339"/>
      <c r="N2339"/>
      <c r="O2339"/>
      <c r="P2339"/>
      <c r="Q2339"/>
      <c r="R2339"/>
      <c r="S2339"/>
    </row>
    <row r="2340" spans="1:19" ht="15" x14ac:dyDescent="0.2">
      <c r="A2340"/>
      <c r="B2340"/>
      <c r="C2340"/>
      <c r="D2340"/>
      <c r="E2340"/>
      <c r="F2340"/>
      <c r="G2340"/>
      <c r="H2340"/>
      <c r="I2340"/>
      <c r="J2340"/>
      <c r="K2340"/>
      <c r="L2340"/>
      <c r="M2340"/>
      <c r="N2340"/>
      <c r="O2340"/>
      <c r="P2340"/>
      <c r="Q2340"/>
      <c r="R2340"/>
      <c r="S2340"/>
    </row>
    <row r="2341" spans="1:19" ht="15" x14ac:dyDescent="0.2">
      <c r="A2341"/>
      <c r="B2341"/>
      <c r="C2341"/>
      <c r="D2341"/>
      <c r="E2341"/>
      <c r="F2341"/>
      <c r="G2341"/>
      <c r="H2341"/>
      <c r="I2341"/>
      <c r="J2341"/>
      <c r="K2341"/>
      <c r="L2341"/>
      <c r="M2341"/>
      <c r="N2341"/>
      <c r="O2341"/>
      <c r="P2341"/>
      <c r="Q2341"/>
      <c r="R2341"/>
      <c r="S2341"/>
    </row>
    <row r="2342" spans="1:19" ht="15" x14ac:dyDescent="0.2">
      <c r="A2342"/>
      <c r="B2342"/>
      <c r="C2342"/>
      <c r="D2342"/>
      <c r="E2342"/>
      <c r="F2342"/>
      <c r="G2342"/>
      <c r="H2342"/>
      <c r="I2342"/>
      <c r="J2342"/>
      <c r="K2342"/>
      <c r="L2342"/>
      <c r="M2342"/>
      <c r="N2342"/>
      <c r="O2342"/>
      <c r="P2342"/>
      <c r="Q2342"/>
      <c r="R2342"/>
      <c r="S2342"/>
    </row>
    <row r="2343" spans="1:19" ht="15" x14ac:dyDescent="0.2">
      <c r="A2343"/>
      <c r="B2343"/>
      <c r="C2343"/>
      <c r="D2343"/>
      <c r="E2343"/>
      <c r="F2343"/>
      <c r="G2343"/>
      <c r="H2343"/>
      <c r="I2343"/>
      <c r="J2343"/>
      <c r="K2343"/>
      <c r="L2343"/>
      <c r="M2343"/>
      <c r="N2343"/>
      <c r="O2343"/>
      <c r="P2343"/>
      <c r="Q2343"/>
      <c r="R2343"/>
      <c r="S2343"/>
    </row>
    <row r="2344" spans="1:19" ht="15" x14ac:dyDescent="0.2">
      <c r="A2344"/>
      <c r="B2344"/>
      <c r="C2344"/>
      <c r="D2344"/>
      <c r="E2344"/>
      <c r="F2344"/>
      <c r="G2344"/>
      <c r="H2344"/>
      <c r="I2344"/>
      <c r="J2344"/>
      <c r="K2344"/>
      <c r="L2344"/>
      <c r="M2344"/>
      <c r="N2344"/>
      <c r="O2344"/>
      <c r="P2344"/>
      <c r="Q2344"/>
      <c r="R2344"/>
      <c r="S2344"/>
    </row>
    <row r="2345" spans="1:19" ht="15" x14ac:dyDescent="0.2">
      <c r="A2345"/>
      <c r="B2345"/>
      <c r="C2345"/>
      <c r="D2345"/>
      <c r="E2345"/>
      <c r="F2345"/>
      <c r="G2345"/>
      <c r="H2345"/>
      <c r="I2345"/>
      <c r="J2345"/>
      <c r="K2345"/>
      <c r="L2345"/>
      <c r="M2345"/>
      <c r="N2345"/>
      <c r="O2345"/>
      <c r="P2345"/>
      <c r="Q2345"/>
      <c r="R2345"/>
      <c r="S2345"/>
    </row>
    <row r="2346" spans="1:19" ht="15" x14ac:dyDescent="0.2">
      <c r="A2346"/>
      <c r="B2346"/>
      <c r="C2346"/>
      <c r="D2346"/>
      <c r="E2346"/>
      <c r="F2346"/>
      <c r="G2346"/>
      <c r="H2346"/>
      <c r="I2346"/>
      <c r="J2346"/>
      <c r="K2346"/>
      <c r="L2346"/>
      <c r="M2346"/>
      <c r="N2346"/>
      <c r="O2346"/>
      <c r="P2346"/>
      <c r="Q2346"/>
      <c r="R2346"/>
      <c r="S2346"/>
    </row>
    <row r="2347" spans="1:19" ht="15" x14ac:dyDescent="0.2">
      <c r="A2347"/>
      <c r="B2347"/>
      <c r="C2347"/>
      <c r="D2347"/>
      <c r="E2347"/>
      <c r="F2347"/>
      <c r="G2347"/>
      <c r="H2347"/>
      <c r="I2347"/>
      <c r="J2347"/>
      <c r="K2347"/>
      <c r="L2347"/>
      <c r="M2347"/>
      <c r="N2347"/>
      <c r="O2347"/>
      <c r="P2347"/>
      <c r="Q2347"/>
      <c r="R2347"/>
      <c r="S2347"/>
    </row>
    <row r="2348" spans="1:19" ht="15" x14ac:dyDescent="0.2">
      <c r="A2348"/>
      <c r="B2348"/>
      <c r="C2348"/>
      <c r="D2348"/>
      <c r="E2348"/>
      <c r="F2348"/>
      <c r="G2348"/>
      <c r="H2348"/>
      <c r="I2348"/>
      <c r="J2348"/>
      <c r="K2348"/>
      <c r="L2348"/>
      <c r="M2348"/>
      <c r="N2348"/>
      <c r="O2348"/>
      <c r="P2348"/>
      <c r="Q2348"/>
      <c r="R2348"/>
      <c r="S2348"/>
    </row>
    <row r="2349" spans="1:19" ht="15" x14ac:dyDescent="0.2">
      <c r="A2349"/>
      <c r="B2349"/>
      <c r="C2349"/>
      <c r="D2349"/>
      <c r="E2349"/>
      <c r="F2349"/>
      <c r="G2349"/>
      <c r="H2349"/>
      <c r="I2349"/>
      <c r="J2349"/>
      <c r="K2349"/>
      <c r="L2349"/>
      <c r="M2349"/>
      <c r="N2349"/>
      <c r="O2349"/>
      <c r="P2349"/>
      <c r="Q2349"/>
      <c r="R2349"/>
      <c r="S2349"/>
    </row>
    <row r="2350" spans="1:19" ht="15" x14ac:dyDescent="0.2">
      <c r="A2350"/>
      <c r="B2350"/>
      <c r="C2350"/>
      <c r="D2350"/>
      <c r="E2350"/>
      <c r="F2350"/>
      <c r="G2350"/>
      <c r="H2350"/>
      <c r="I2350"/>
      <c r="J2350"/>
      <c r="K2350"/>
      <c r="L2350"/>
      <c r="M2350"/>
      <c r="N2350"/>
      <c r="O2350"/>
      <c r="P2350"/>
      <c r="Q2350"/>
      <c r="R2350"/>
      <c r="S2350"/>
    </row>
    <row r="2351" spans="1:19" ht="15" x14ac:dyDescent="0.2">
      <c r="A2351"/>
      <c r="B2351"/>
      <c r="C2351"/>
      <c r="D2351"/>
      <c r="E2351"/>
      <c r="F2351"/>
      <c r="G2351"/>
      <c r="H2351"/>
      <c r="I2351"/>
      <c r="J2351"/>
      <c r="K2351"/>
      <c r="L2351"/>
      <c r="M2351"/>
      <c r="N2351"/>
      <c r="O2351"/>
      <c r="P2351"/>
      <c r="Q2351"/>
      <c r="R2351"/>
      <c r="S2351"/>
    </row>
    <row r="2352" spans="1:19" ht="15" x14ac:dyDescent="0.2">
      <c r="A2352"/>
      <c r="B2352"/>
      <c r="C2352"/>
      <c r="D2352"/>
      <c r="E2352"/>
      <c r="F2352"/>
      <c r="G2352"/>
      <c r="H2352"/>
      <c r="I2352"/>
      <c r="J2352"/>
      <c r="K2352"/>
      <c r="L2352"/>
      <c r="M2352"/>
      <c r="N2352"/>
      <c r="O2352"/>
      <c r="P2352"/>
      <c r="Q2352"/>
      <c r="R2352"/>
      <c r="S2352"/>
    </row>
    <row r="2353" spans="1:19" ht="15" x14ac:dyDescent="0.2">
      <c r="A2353"/>
      <c r="B2353"/>
      <c r="C2353"/>
      <c r="D2353"/>
      <c r="E2353"/>
      <c r="F2353"/>
      <c r="G2353"/>
      <c r="H2353"/>
      <c r="I2353"/>
      <c r="J2353"/>
      <c r="K2353"/>
      <c r="L2353"/>
      <c r="M2353"/>
      <c r="N2353"/>
      <c r="O2353"/>
      <c r="P2353"/>
      <c r="Q2353"/>
      <c r="R2353"/>
      <c r="S2353"/>
    </row>
    <row r="2354" spans="1:19" ht="15" x14ac:dyDescent="0.2">
      <c r="A2354"/>
      <c r="B2354"/>
      <c r="C2354"/>
      <c r="D2354"/>
      <c r="E2354"/>
      <c r="F2354"/>
      <c r="G2354"/>
      <c r="H2354"/>
      <c r="I2354"/>
      <c r="J2354"/>
      <c r="K2354"/>
      <c r="L2354"/>
      <c r="M2354"/>
      <c r="N2354"/>
      <c r="O2354"/>
      <c r="P2354"/>
      <c r="Q2354"/>
      <c r="R2354"/>
      <c r="S2354"/>
    </row>
    <row r="2355" spans="1:19" ht="15" x14ac:dyDescent="0.2">
      <c r="A2355"/>
      <c r="B2355"/>
      <c r="C2355"/>
      <c r="D2355"/>
      <c r="E2355"/>
      <c r="F2355"/>
      <c r="G2355"/>
      <c r="H2355"/>
      <c r="I2355"/>
      <c r="J2355"/>
      <c r="K2355"/>
      <c r="L2355"/>
      <c r="M2355"/>
      <c r="N2355"/>
      <c r="O2355"/>
      <c r="P2355"/>
      <c r="Q2355"/>
      <c r="R2355"/>
      <c r="S2355"/>
    </row>
    <row r="2356" spans="1:19" ht="15" x14ac:dyDescent="0.2">
      <c r="A2356"/>
      <c r="B2356"/>
      <c r="C2356"/>
      <c r="D2356"/>
      <c r="E2356"/>
      <c r="F2356"/>
      <c r="G2356"/>
      <c r="H2356"/>
      <c r="I2356"/>
      <c r="J2356"/>
      <c r="K2356"/>
      <c r="L2356"/>
      <c r="M2356"/>
      <c r="N2356"/>
      <c r="O2356"/>
      <c r="P2356"/>
      <c r="Q2356"/>
      <c r="R2356"/>
      <c r="S2356"/>
    </row>
    <row r="2357" spans="1:19" ht="15" x14ac:dyDescent="0.2">
      <c r="A2357"/>
      <c r="B2357"/>
      <c r="C2357"/>
      <c r="D2357"/>
      <c r="E2357"/>
      <c r="F2357"/>
      <c r="G2357"/>
      <c r="H2357"/>
      <c r="I2357"/>
      <c r="J2357"/>
      <c r="K2357"/>
      <c r="L2357"/>
      <c r="M2357"/>
      <c r="N2357"/>
      <c r="O2357"/>
      <c r="P2357"/>
      <c r="Q2357"/>
      <c r="R2357"/>
      <c r="S2357"/>
    </row>
    <row r="2358" spans="1:19" ht="15" x14ac:dyDescent="0.2">
      <c r="A2358"/>
      <c r="B2358"/>
      <c r="C2358"/>
      <c r="D2358"/>
      <c r="E2358"/>
      <c r="F2358"/>
      <c r="G2358"/>
      <c r="H2358"/>
      <c r="I2358"/>
      <c r="J2358"/>
      <c r="K2358"/>
      <c r="L2358"/>
      <c r="M2358"/>
      <c r="N2358"/>
      <c r="O2358"/>
      <c r="P2358"/>
      <c r="Q2358"/>
      <c r="R2358"/>
      <c r="S2358"/>
    </row>
    <row r="2359" spans="1:19" ht="15" x14ac:dyDescent="0.2">
      <c r="A2359"/>
      <c r="B2359"/>
      <c r="C2359"/>
      <c r="D2359"/>
      <c r="E2359"/>
      <c r="F2359"/>
      <c r="G2359"/>
      <c r="H2359"/>
      <c r="I2359"/>
      <c r="J2359"/>
      <c r="K2359"/>
      <c r="L2359"/>
      <c r="M2359"/>
      <c r="N2359"/>
      <c r="O2359"/>
      <c r="P2359"/>
      <c r="Q2359"/>
      <c r="R2359"/>
      <c r="S2359"/>
    </row>
    <row r="2360" spans="1:19" ht="15" x14ac:dyDescent="0.2">
      <c r="A2360"/>
      <c r="B2360"/>
      <c r="C2360"/>
      <c r="D2360"/>
      <c r="E2360"/>
      <c r="F2360"/>
      <c r="G2360"/>
      <c r="H2360"/>
      <c r="I2360"/>
      <c r="J2360"/>
      <c r="K2360"/>
      <c r="L2360"/>
      <c r="M2360"/>
      <c r="N2360"/>
      <c r="O2360"/>
      <c r="P2360"/>
      <c r="Q2360"/>
      <c r="R2360"/>
      <c r="S2360"/>
    </row>
    <row r="2361" spans="1:19" ht="15" x14ac:dyDescent="0.2">
      <c r="A2361"/>
      <c r="B2361"/>
      <c r="C2361"/>
      <c r="D2361"/>
      <c r="E2361"/>
      <c r="F2361"/>
      <c r="G2361"/>
      <c r="H2361"/>
      <c r="I2361"/>
      <c r="J2361"/>
      <c r="K2361"/>
      <c r="L2361"/>
      <c r="M2361"/>
      <c r="N2361"/>
      <c r="O2361"/>
      <c r="P2361"/>
      <c r="Q2361"/>
      <c r="R2361"/>
      <c r="S2361"/>
    </row>
    <row r="2362" spans="1:19" ht="15" x14ac:dyDescent="0.2">
      <c r="A2362"/>
      <c r="B2362"/>
      <c r="C2362"/>
      <c r="D2362"/>
      <c r="E2362"/>
      <c r="F2362"/>
      <c r="G2362"/>
      <c r="H2362"/>
      <c r="I2362"/>
      <c r="J2362"/>
      <c r="K2362"/>
      <c r="L2362"/>
      <c r="M2362"/>
      <c r="N2362"/>
      <c r="O2362"/>
      <c r="P2362"/>
      <c r="Q2362"/>
      <c r="R2362"/>
      <c r="S2362"/>
    </row>
    <row r="2363" spans="1:19" ht="15" x14ac:dyDescent="0.2">
      <c r="A2363"/>
      <c r="B2363"/>
      <c r="C2363"/>
      <c r="D2363"/>
      <c r="E2363"/>
      <c r="F2363"/>
      <c r="G2363"/>
      <c r="H2363"/>
      <c r="I2363"/>
      <c r="J2363"/>
      <c r="K2363"/>
      <c r="L2363"/>
      <c r="M2363"/>
      <c r="N2363"/>
      <c r="O2363"/>
      <c r="P2363"/>
      <c r="Q2363"/>
      <c r="R2363"/>
      <c r="S2363"/>
    </row>
    <row r="2364" spans="1:19" ht="15" x14ac:dyDescent="0.2">
      <c r="A2364"/>
      <c r="B2364"/>
      <c r="C2364"/>
      <c r="D2364"/>
      <c r="E2364"/>
      <c r="F2364"/>
      <c r="G2364"/>
      <c r="H2364"/>
      <c r="I2364"/>
      <c r="J2364"/>
      <c r="K2364"/>
      <c r="L2364"/>
      <c r="M2364"/>
      <c r="N2364"/>
      <c r="O2364"/>
      <c r="P2364"/>
      <c r="Q2364"/>
      <c r="R2364"/>
      <c r="S2364"/>
    </row>
    <row r="2365" spans="1:19" ht="15" x14ac:dyDescent="0.2">
      <c r="A2365"/>
      <c r="B2365"/>
      <c r="C2365"/>
      <c r="D2365"/>
      <c r="E2365"/>
      <c r="F2365"/>
      <c r="G2365"/>
      <c r="H2365"/>
      <c r="I2365"/>
      <c r="J2365"/>
      <c r="K2365"/>
      <c r="L2365"/>
      <c r="M2365"/>
      <c r="N2365"/>
      <c r="O2365"/>
      <c r="P2365"/>
      <c r="Q2365"/>
      <c r="R2365"/>
      <c r="S2365"/>
    </row>
    <row r="2366" spans="1:19" ht="15" x14ac:dyDescent="0.2">
      <c r="A2366"/>
      <c r="B2366"/>
      <c r="C2366"/>
      <c r="D2366"/>
      <c r="E2366"/>
      <c r="F2366"/>
      <c r="G2366"/>
      <c r="H2366"/>
      <c r="I2366"/>
      <c r="J2366"/>
      <c r="K2366"/>
      <c r="L2366"/>
      <c r="M2366"/>
      <c r="N2366"/>
      <c r="O2366"/>
      <c r="P2366"/>
      <c r="Q2366"/>
      <c r="R2366"/>
      <c r="S2366"/>
    </row>
    <row r="2367" spans="1:19" ht="15" x14ac:dyDescent="0.2">
      <c r="A2367"/>
      <c r="B2367"/>
      <c r="C2367"/>
      <c r="D2367"/>
      <c r="E2367"/>
      <c r="F2367"/>
      <c r="G2367"/>
      <c r="H2367"/>
      <c r="I2367"/>
      <c r="J2367"/>
      <c r="K2367"/>
      <c r="L2367"/>
      <c r="M2367"/>
      <c r="N2367"/>
      <c r="O2367"/>
      <c r="P2367"/>
      <c r="Q2367"/>
      <c r="R2367"/>
      <c r="S2367"/>
    </row>
    <row r="2368" spans="1:19" ht="15" x14ac:dyDescent="0.2">
      <c r="A2368"/>
      <c r="B2368"/>
      <c r="C2368"/>
      <c r="D2368"/>
      <c r="E2368"/>
      <c r="F2368"/>
      <c r="G2368"/>
      <c r="H2368"/>
      <c r="I2368"/>
      <c r="J2368"/>
      <c r="K2368"/>
      <c r="L2368"/>
      <c r="M2368"/>
      <c r="N2368"/>
      <c r="O2368"/>
      <c r="P2368"/>
      <c r="Q2368"/>
      <c r="R2368"/>
      <c r="S2368"/>
    </row>
    <row r="2369" spans="1:19" ht="15" x14ac:dyDescent="0.2">
      <c r="A2369"/>
      <c r="B2369"/>
      <c r="C2369"/>
      <c r="D2369"/>
      <c r="E2369"/>
      <c r="F2369"/>
      <c r="G2369"/>
      <c r="H2369"/>
      <c r="I2369"/>
      <c r="J2369"/>
      <c r="K2369"/>
      <c r="L2369"/>
      <c r="M2369"/>
      <c r="N2369"/>
      <c r="O2369"/>
      <c r="P2369"/>
      <c r="Q2369"/>
      <c r="R2369"/>
      <c r="S2369"/>
    </row>
    <row r="2370" spans="1:19" ht="15" x14ac:dyDescent="0.2">
      <c r="A2370"/>
      <c r="B2370"/>
      <c r="C2370"/>
      <c r="D2370"/>
      <c r="E2370"/>
      <c r="F2370"/>
      <c r="G2370"/>
      <c r="H2370"/>
      <c r="I2370"/>
      <c r="J2370"/>
      <c r="K2370"/>
      <c r="L2370"/>
      <c r="M2370"/>
      <c r="N2370"/>
      <c r="O2370"/>
      <c r="P2370"/>
      <c r="Q2370"/>
      <c r="R2370"/>
      <c r="S2370"/>
    </row>
    <row r="2371" spans="1:19" ht="15" x14ac:dyDescent="0.2">
      <c r="A2371"/>
      <c r="B2371"/>
      <c r="C2371"/>
      <c r="D2371"/>
      <c r="E2371"/>
      <c r="F2371"/>
      <c r="G2371"/>
      <c r="H2371"/>
      <c r="I2371"/>
      <c r="J2371"/>
      <c r="K2371"/>
      <c r="L2371"/>
      <c r="M2371"/>
      <c r="N2371"/>
      <c r="O2371"/>
      <c r="P2371"/>
      <c r="Q2371"/>
      <c r="R2371"/>
      <c r="S2371"/>
    </row>
    <row r="2372" spans="1:19" ht="15" x14ac:dyDescent="0.2">
      <c r="A2372"/>
      <c r="B2372"/>
      <c r="C2372"/>
      <c r="D2372"/>
      <c r="E2372"/>
      <c r="F2372"/>
      <c r="G2372"/>
      <c r="H2372"/>
      <c r="I2372"/>
      <c r="J2372"/>
      <c r="K2372"/>
      <c r="L2372"/>
      <c r="M2372"/>
      <c r="N2372"/>
      <c r="O2372"/>
      <c r="P2372"/>
      <c r="Q2372"/>
      <c r="R2372"/>
      <c r="S2372"/>
    </row>
    <row r="2373" spans="1:19" ht="15" x14ac:dyDescent="0.2">
      <c r="A2373"/>
      <c r="B2373"/>
      <c r="C2373"/>
      <c r="D2373"/>
      <c r="E2373"/>
      <c r="F2373"/>
      <c r="G2373"/>
      <c r="H2373"/>
      <c r="I2373"/>
      <c r="J2373"/>
      <c r="K2373"/>
      <c r="L2373"/>
      <c r="M2373"/>
      <c r="N2373"/>
      <c r="O2373"/>
      <c r="P2373"/>
      <c r="Q2373"/>
      <c r="R2373"/>
      <c r="S2373"/>
    </row>
    <row r="2374" spans="1:19" ht="15" x14ac:dyDescent="0.2">
      <c r="A2374"/>
      <c r="B2374"/>
      <c r="C2374"/>
      <c r="D2374"/>
      <c r="E2374"/>
      <c r="F2374"/>
      <c r="G2374"/>
      <c r="H2374"/>
      <c r="I2374"/>
      <c r="J2374"/>
      <c r="K2374"/>
      <c r="L2374"/>
      <c r="M2374"/>
      <c r="N2374"/>
      <c r="O2374"/>
      <c r="P2374"/>
      <c r="Q2374"/>
      <c r="R2374"/>
      <c r="S2374"/>
    </row>
    <row r="2375" spans="1:19" ht="15" x14ac:dyDescent="0.2">
      <c r="A2375"/>
      <c r="B2375"/>
      <c r="C2375"/>
      <c r="D2375"/>
      <c r="E2375"/>
      <c r="F2375"/>
      <c r="G2375"/>
      <c r="H2375"/>
      <c r="I2375"/>
      <c r="J2375"/>
      <c r="K2375"/>
      <c r="L2375"/>
      <c r="M2375"/>
      <c r="N2375"/>
      <c r="O2375"/>
      <c r="P2375"/>
      <c r="Q2375"/>
      <c r="R2375"/>
      <c r="S2375"/>
    </row>
    <row r="2376" spans="1:19" ht="15" x14ac:dyDescent="0.2">
      <c r="A2376"/>
      <c r="B2376"/>
      <c r="C2376"/>
      <c r="D2376"/>
      <c r="E2376"/>
      <c r="F2376"/>
      <c r="G2376"/>
      <c r="H2376"/>
      <c r="I2376"/>
      <c r="J2376"/>
      <c r="K2376"/>
      <c r="L2376"/>
      <c r="M2376"/>
      <c r="N2376"/>
      <c r="O2376"/>
      <c r="P2376"/>
      <c r="Q2376"/>
      <c r="R2376"/>
      <c r="S2376"/>
    </row>
    <row r="2377" spans="1:19" ht="15" x14ac:dyDescent="0.2">
      <c r="A2377"/>
      <c r="B2377"/>
      <c r="C2377"/>
      <c r="D2377"/>
      <c r="E2377"/>
      <c r="F2377"/>
      <c r="G2377"/>
      <c r="H2377"/>
      <c r="I2377"/>
      <c r="J2377"/>
      <c r="K2377"/>
      <c r="L2377"/>
      <c r="M2377"/>
      <c r="N2377"/>
      <c r="O2377"/>
      <c r="P2377"/>
      <c r="Q2377"/>
      <c r="R2377"/>
      <c r="S2377"/>
    </row>
    <row r="2378" spans="1:19" ht="15" x14ac:dyDescent="0.2">
      <c r="A2378"/>
      <c r="B2378"/>
      <c r="C2378"/>
      <c r="D2378"/>
      <c r="E2378"/>
      <c r="F2378"/>
      <c r="G2378"/>
      <c r="H2378"/>
      <c r="I2378"/>
      <c r="J2378"/>
      <c r="K2378"/>
      <c r="L2378"/>
      <c r="M2378"/>
      <c r="N2378"/>
      <c r="O2378"/>
      <c r="P2378"/>
      <c r="Q2378"/>
      <c r="R2378"/>
      <c r="S2378"/>
    </row>
    <row r="2379" spans="1:19" ht="15" x14ac:dyDescent="0.2">
      <c r="A2379"/>
      <c r="B2379"/>
      <c r="C2379"/>
      <c r="D2379"/>
      <c r="E2379"/>
      <c r="F2379"/>
      <c r="G2379"/>
      <c r="H2379"/>
      <c r="I2379"/>
      <c r="J2379"/>
      <c r="K2379"/>
      <c r="L2379"/>
      <c r="M2379"/>
      <c r="N2379"/>
      <c r="O2379"/>
      <c r="P2379"/>
      <c r="Q2379"/>
      <c r="R2379"/>
      <c r="S2379"/>
    </row>
    <row r="2380" spans="1:19" ht="15" x14ac:dyDescent="0.2">
      <c r="A2380"/>
      <c r="B2380"/>
      <c r="C2380"/>
      <c r="D2380"/>
      <c r="E2380"/>
      <c r="F2380"/>
      <c r="G2380"/>
      <c r="H2380"/>
      <c r="I2380"/>
      <c r="J2380"/>
      <c r="K2380"/>
      <c r="L2380"/>
      <c r="M2380"/>
      <c r="N2380"/>
      <c r="O2380"/>
      <c r="P2380"/>
      <c r="Q2380"/>
      <c r="R2380"/>
      <c r="S2380"/>
    </row>
    <row r="2381" spans="1:19" ht="15" x14ac:dyDescent="0.2">
      <c r="A2381"/>
      <c r="B2381"/>
      <c r="C2381"/>
      <c r="D2381"/>
      <c r="E2381"/>
      <c r="F2381"/>
      <c r="G2381"/>
      <c r="H2381"/>
      <c r="I2381"/>
      <c r="J2381"/>
      <c r="K2381"/>
      <c r="L2381"/>
      <c r="M2381"/>
      <c r="N2381"/>
      <c r="O2381"/>
      <c r="P2381"/>
      <c r="Q2381"/>
      <c r="R2381"/>
      <c r="S2381"/>
    </row>
    <row r="2382" spans="1:19" ht="15" x14ac:dyDescent="0.2">
      <c r="A2382"/>
      <c r="B2382"/>
      <c r="C2382"/>
      <c r="D2382"/>
      <c r="E2382"/>
      <c r="F2382"/>
      <c r="G2382"/>
      <c r="H2382"/>
      <c r="I2382"/>
      <c r="J2382"/>
      <c r="K2382"/>
      <c r="L2382"/>
      <c r="M2382"/>
      <c r="N2382"/>
      <c r="O2382"/>
      <c r="P2382"/>
      <c r="Q2382"/>
      <c r="R2382"/>
      <c r="S2382"/>
    </row>
    <row r="2383" spans="1:19" ht="15" x14ac:dyDescent="0.2">
      <c r="A2383"/>
      <c r="B2383"/>
      <c r="C2383"/>
      <c r="D2383"/>
      <c r="E2383"/>
      <c r="F2383"/>
      <c r="G2383"/>
      <c r="H2383"/>
      <c r="I2383"/>
      <c r="J2383"/>
      <c r="K2383"/>
      <c r="L2383"/>
      <c r="M2383"/>
      <c r="N2383"/>
      <c r="O2383"/>
      <c r="P2383"/>
      <c r="Q2383"/>
      <c r="R2383"/>
      <c r="S2383"/>
    </row>
    <row r="2384" spans="1:19" ht="15" x14ac:dyDescent="0.2">
      <c r="A2384"/>
      <c r="B2384"/>
      <c r="C2384"/>
      <c r="D2384"/>
      <c r="E2384"/>
      <c r="F2384"/>
      <c r="G2384"/>
      <c r="H2384"/>
      <c r="I2384"/>
      <c r="J2384"/>
      <c r="K2384"/>
      <c r="L2384"/>
      <c r="M2384"/>
      <c r="N2384"/>
      <c r="O2384"/>
      <c r="P2384"/>
      <c r="Q2384"/>
      <c r="R2384"/>
      <c r="S2384"/>
    </row>
    <row r="2385" spans="1:19" ht="15" x14ac:dyDescent="0.2">
      <c r="A2385"/>
      <c r="B2385"/>
      <c r="C2385"/>
      <c r="D2385"/>
      <c r="E2385"/>
      <c r="F2385"/>
      <c r="G2385"/>
      <c r="H2385"/>
      <c r="I2385"/>
      <c r="J2385"/>
      <c r="K2385"/>
      <c r="L2385"/>
      <c r="M2385"/>
      <c r="N2385"/>
      <c r="O2385"/>
      <c r="P2385"/>
      <c r="Q2385"/>
      <c r="R2385"/>
      <c r="S2385"/>
    </row>
    <row r="2386" spans="1:19" ht="15" x14ac:dyDescent="0.2">
      <c r="A2386"/>
      <c r="B2386"/>
      <c r="C2386"/>
      <c r="D2386"/>
      <c r="E2386"/>
      <c r="F2386"/>
      <c r="G2386"/>
      <c r="H2386"/>
      <c r="I2386"/>
      <c r="J2386"/>
      <c r="K2386"/>
      <c r="L2386"/>
      <c r="M2386"/>
      <c r="N2386"/>
      <c r="O2386"/>
      <c r="P2386"/>
      <c r="Q2386"/>
      <c r="R2386"/>
      <c r="S2386"/>
    </row>
    <row r="2387" spans="1:19" ht="15" x14ac:dyDescent="0.2">
      <c r="A2387"/>
      <c r="B2387"/>
      <c r="C2387"/>
      <c r="D2387"/>
      <c r="E2387"/>
      <c r="F2387"/>
      <c r="G2387"/>
      <c r="H2387"/>
      <c r="I2387"/>
      <c r="J2387"/>
      <c r="K2387"/>
      <c r="L2387"/>
      <c r="M2387"/>
      <c r="N2387"/>
      <c r="O2387"/>
      <c r="P2387"/>
      <c r="Q2387"/>
      <c r="R2387"/>
      <c r="S2387"/>
    </row>
    <row r="2388" spans="1:19" ht="15" x14ac:dyDescent="0.2">
      <c r="A2388"/>
      <c r="B2388"/>
      <c r="C2388"/>
      <c r="D2388"/>
      <c r="E2388"/>
      <c r="F2388"/>
      <c r="G2388"/>
      <c r="H2388"/>
      <c r="I2388"/>
      <c r="J2388"/>
      <c r="K2388"/>
      <c r="L2388"/>
      <c r="M2388"/>
      <c r="N2388"/>
      <c r="O2388"/>
      <c r="P2388"/>
      <c r="Q2388"/>
      <c r="R2388"/>
      <c r="S2388"/>
    </row>
    <row r="2389" spans="1:19" ht="15" x14ac:dyDescent="0.2">
      <c r="A2389"/>
      <c r="B2389"/>
      <c r="C2389"/>
      <c r="D2389"/>
      <c r="E2389"/>
      <c r="F2389"/>
      <c r="G2389"/>
      <c r="H2389"/>
      <c r="I2389"/>
      <c r="J2389"/>
      <c r="K2389"/>
      <c r="L2389"/>
      <c r="M2389"/>
      <c r="N2389"/>
      <c r="O2389"/>
      <c r="P2389"/>
      <c r="Q2389"/>
      <c r="R2389"/>
      <c r="S2389"/>
    </row>
    <row r="2390" spans="1:19" ht="15" x14ac:dyDescent="0.2">
      <c r="A2390"/>
      <c r="B2390"/>
      <c r="C2390"/>
      <c r="D2390"/>
      <c r="E2390"/>
      <c r="F2390"/>
      <c r="G2390"/>
      <c r="H2390"/>
      <c r="I2390"/>
      <c r="J2390"/>
      <c r="K2390"/>
      <c r="L2390"/>
      <c r="M2390"/>
      <c r="N2390"/>
      <c r="O2390"/>
      <c r="P2390"/>
      <c r="Q2390"/>
      <c r="R2390"/>
      <c r="S2390"/>
    </row>
    <row r="2391" spans="1:19" ht="15" x14ac:dyDescent="0.2">
      <c r="A2391"/>
      <c r="B2391"/>
      <c r="C2391"/>
      <c r="D2391"/>
      <c r="E2391"/>
      <c r="F2391"/>
      <c r="G2391"/>
      <c r="H2391"/>
      <c r="I2391"/>
      <c r="J2391"/>
      <c r="K2391"/>
      <c r="L2391"/>
      <c r="M2391"/>
      <c r="N2391"/>
      <c r="O2391"/>
      <c r="P2391"/>
      <c r="Q2391"/>
      <c r="R2391"/>
      <c r="S2391"/>
    </row>
    <row r="2392" spans="1:19" ht="15" x14ac:dyDescent="0.2">
      <c r="A2392"/>
      <c r="B2392"/>
      <c r="C2392"/>
      <c r="D2392"/>
      <c r="E2392"/>
      <c r="F2392"/>
      <c r="G2392"/>
      <c r="H2392"/>
      <c r="I2392"/>
      <c r="J2392"/>
      <c r="K2392"/>
      <c r="L2392"/>
      <c r="M2392"/>
      <c r="N2392"/>
      <c r="O2392"/>
      <c r="P2392"/>
      <c r="Q2392"/>
      <c r="R2392"/>
      <c r="S2392"/>
    </row>
    <row r="2393" spans="1:19" ht="15" x14ac:dyDescent="0.2">
      <c r="A2393"/>
      <c r="B2393"/>
      <c r="C2393"/>
      <c r="D2393"/>
      <c r="E2393"/>
      <c r="F2393"/>
      <c r="G2393"/>
      <c r="H2393"/>
      <c r="I2393"/>
      <c r="J2393"/>
      <c r="K2393"/>
      <c r="L2393"/>
      <c r="M2393"/>
      <c r="N2393"/>
      <c r="O2393"/>
      <c r="P2393"/>
      <c r="Q2393"/>
      <c r="R2393"/>
      <c r="S2393"/>
    </row>
    <row r="2394" spans="1:19" ht="15" x14ac:dyDescent="0.2">
      <c r="A2394"/>
      <c r="B2394"/>
      <c r="C2394"/>
      <c r="D2394"/>
      <c r="E2394"/>
      <c r="F2394"/>
      <c r="G2394"/>
      <c r="H2394"/>
      <c r="I2394"/>
      <c r="J2394"/>
      <c r="K2394"/>
      <c r="L2394"/>
      <c r="M2394"/>
      <c r="N2394"/>
      <c r="O2394"/>
      <c r="P2394"/>
      <c r="Q2394"/>
      <c r="R2394"/>
      <c r="S2394"/>
    </row>
    <row r="2395" spans="1:19" ht="15" x14ac:dyDescent="0.2">
      <c r="A2395"/>
      <c r="B2395"/>
      <c r="C2395"/>
      <c r="D2395"/>
      <c r="E2395"/>
      <c r="F2395"/>
      <c r="G2395"/>
      <c r="H2395"/>
      <c r="I2395"/>
      <c r="J2395"/>
      <c r="K2395"/>
      <c r="L2395"/>
      <c r="M2395"/>
      <c r="N2395"/>
      <c r="O2395"/>
      <c r="P2395"/>
      <c r="Q2395"/>
      <c r="R2395"/>
      <c r="S2395"/>
    </row>
    <row r="2396" spans="1:19" ht="15" x14ac:dyDescent="0.2">
      <c r="A2396"/>
      <c r="B2396"/>
      <c r="C2396"/>
      <c r="D2396"/>
      <c r="E2396"/>
      <c r="F2396"/>
      <c r="G2396"/>
      <c r="H2396"/>
      <c r="I2396"/>
      <c r="J2396"/>
      <c r="K2396"/>
      <c r="L2396"/>
      <c r="M2396"/>
      <c r="N2396"/>
      <c r="O2396"/>
      <c r="P2396"/>
      <c r="Q2396"/>
      <c r="R2396"/>
      <c r="S2396"/>
    </row>
    <row r="2397" spans="1:19" ht="15" x14ac:dyDescent="0.2">
      <c r="A2397"/>
      <c r="B2397"/>
      <c r="C2397"/>
      <c r="D2397"/>
      <c r="E2397"/>
      <c r="F2397"/>
      <c r="G2397"/>
      <c r="H2397"/>
      <c r="I2397"/>
      <c r="J2397"/>
      <c r="K2397"/>
      <c r="L2397"/>
      <c r="M2397"/>
      <c r="N2397"/>
      <c r="O2397"/>
      <c r="P2397"/>
      <c r="Q2397"/>
      <c r="R2397"/>
      <c r="S2397"/>
    </row>
    <row r="2398" spans="1:19" ht="15" x14ac:dyDescent="0.2">
      <c r="A2398"/>
      <c r="B2398"/>
      <c r="C2398"/>
      <c r="D2398"/>
      <c r="E2398"/>
      <c r="F2398"/>
      <c r="G2398"/>
      <c r="H2398"/>
      <c r="I2398"/>
      <c r="J2398"/>
      <c r="K2398"/>
      <c r="L2398"/>
      <c r="M2398"/>
      <c r="N2398"/>
      <c r="O2398"/>
      <c r="P2398"/>
      <c r="Q2398"/>
      <c r="R2398"/>
      <c r="S2398"/>
    </row>
    <row r="2399" spans="1:19" ht="15" x14ac:dyDescent="0.2">
      <c r="A2399"/>
      <c r="B2399"/>
      <c r="C2399"/>
      <c r="D2399"/>
      <c r="E2399"/>
      <c r="F2399"/>
      <c r="G2399"/>
      <c r="H2399"/>
      <c r="I2399"/>
      <c r="J2399"/>
      <c r="K2399"/>
      <c r="L2399"/>
      <c r="M2399"/>
      <c r="N2399"/>
      <c r="O2399"/>
      <c r="P2399"/>
      <c r="Q2399"/>
      <c r="R2399"/>
      <c r="S2399"/>
    </row>
    <row r="2400" spans="1:19" ht="15" x14ac:dyDescent="0.2">
      <c r="A2400"/>
      <c r="B2400"/>
      <c r="C2400"/>
      <c r="D2400"/>
      <c r="E2400"/>
      <c r="F2400"/>
      <c r="G2400"/>
      <c r="H2400"/>
      <c r="I2400"/>
      <c r="J2400"/>
      <c r="K2400"/>
      <c r="L2400"/>
      <c r="M2400"/>
      <c r="N2400"/>
      <c r="O2400"/>
      <c r="P2400"/>
      <c r="Q2400"/>
      <c r="R2400"/>
      <c r="S2400"/>
    </row>
    <row r="2401" spans="1:19" ht="15" x14ac:dyDescent="0.2">
      <c r="A2401"/>
      <c r="B2401"/>
      <c r="C2401"/>
      <c r="D2401"/>
      <c r="E2401"/>
      <c r="F2401"/>
      <c r="G2401"/>
      <c r="H2401"/>
      <c r="I2401"/>
      <c r="J2401"/>
      <c r="K2401"/>
      <c r="L2401"/>
      <c r="M2401"/>
      <c r="N2401"/>
      <c r="O2401"/>
      <c r="P2401"/>
      <c r="Q2401"/>
      <c r="R2401"/>
      <c r="S2401"/>
    </row>
    <row r="2402" spans="1:19" ht="15" x14ac:dyDescent="0.2">
      <c r="A2402"/>
      <c r="B2402"/>
      <c r="C2402"/>
      <c r="D2402"/>
      <c r="E2402"/>
      <c r="F2402"/>
      <c r="G2402"/>
      <c r="H2402"/>
      <c r="I2402"/>
      <c r="J2402"/>
      <c r="K2402"/>
      <c r="L2402"/>
      <c r="M2402"/>
      <c r="N2402"/>
      <c r="O2402"/>
      <c r="P2402"/>
      <c r="Q2402"/>
      <c r="R2402"/>
      <c r="S2402"/>
    </row>
    <row r="2403" spans="1:19" ht="15" x14ac:dyDescent="0.2">
      <c r="A2403"/>
      <c r="B2403"/>
      <c r="C2403"/>
      <c r="D2403"/>
      <c r="E2403"/>
      <c r="F2403"/>
      <c r="G2403"/>
      <c r="H2403"/>
      <c r="I2403"/>
      <c r="J2403"/>
      <c r="K2403"/>
      <c r="L2403"/>
      <c r="M2403"/>
      <c r="N2403"/>
      <c r="O2403"/>
      <c r="P2403"/>
      <c r="Q2403"/>
      <c r="R2403"/>
      <c r="S2403"/>
    </row>
    <row r="2404" spans="1:19" ht="15" x14ac:dyDescent="0.2">
      <c r="A2404"/>
      <c r="B2404"/>
      <c r="C2404"/>
      <c r="D2404"/>
      <c r="E2404"/>
      <c r="F2404"/>
      <c r="G2404"/>
      <c r="H2404"/>
      <c r="I2404"/>
      <c r="J2404"/>
      <c r="K2404"/>
      <c r="L2404"/>
      <c r="M2404"/>
      <c r="N2404"/>
      <c r="O2404"/>
      <c r="P2404"/>
      <c r="Q2404"/>
      <c r="R2404"/>
      <c r="S2404"/>
    </row>
    <row r="2405" spans="1:19" ht="15" x14ac:dyDescent="0.2">
      <c r="A2405"/>
      <c r="B2405"/>
      <c r="C2405"/>
      <c r="D2405"/>
      <c r="E2405"/>
      <c r="F2405"/>
      <c r="G2405"/>
      <c r="H2405"/>
      <c r="I2405"/>
      <c r="J2405"/>
      <c r="K2405"/>
      <c r="L2405"/>
      <c r="M2405"/>
      <c r="N2405"/>
      <c r="O2405"/>
      <c r="P2405"/>
      <c r="Q2405"/>
      <c r="R2405"/>
      <c r="S2405"/>
    </row>
    <row r="2406" spans="1:19" ht="15" x14ac:dyDescent="0.2">
      <c r="A2406"/>
      <c r="B2406"/>
      <c r="C2406"/>
      <c r="D2406"/>
      <c r="E2406"/>
      <c r="F2406"/>
      <c r="G2406"/>
      <c r="H2406"/>
      <c r="I2406"/>
      <c r="J2406"/>
      <c r="K2406"/>
      <c r="L2406"/>
      <c r="M2406"/>
      <c r="N2406"/>
      <c r="O2406"/>
      <c r="P2406"/>
      <c r="Q2406"/>
      <c r="R2406"/>
      <c r="S2406"/>
    </row>
    <row r="2407" spans="1:19" ht="15" x14ac:dyDescent="0.2">
      <c r="A2407"/>
      <c r="B2407"/>
      <c r="C2407"/>
      <c r="D2407"/>
      <c r="E2407"/>
      <c r="F2407"/>
      <c r="G2407"/>
      <c r="H2407"/>
      <c r="I2407"/>
      <c r="J2407"/>
      <c r="K2407"/>
      <c r="L2407"/>
      <c r="M2407"/>
      <c r="N2407"/>
      <c r="O2407"/>
      <c r="P2407"/>
      <c r="Q2407"/>
      <c r="R2407"/>
      <c r="S2407"/>
    </row>
    <row r="2408" spans="1:19" ht="15" x14ac:dyDescent="0.2">
      <c r="A2408"/>
      <c r="B2408"/>
      <c r="C2408"/>
      <c r="D2408"/>
      <c r="E2408"/>
      <c r="F2408"/>
      <c r="G2408"/>
      <c r="H2408"/>
      <c r="I2408"/>
      <c r="J2408"/>
      <c r="K2408"/>
      <c r="L2408"/>
      <c r="M2408"/>
      <c r="N2408"/>
      <c r="O2408"/>
      <c r="P2408"/>
      <c r="Q2408"/>
      <c r="R2408"/>
      <c r="S2408"/>
    </row>
    <row r="2409" spans="1:19" ht="15" x14ac:dyDescent="0.2">
      <c r="A2409"/>
      <c r="B2409"/>
      <c r="C2409"/>
      <c r="D2409"/>
      <c r="E2409"/>
      <c r="F2409"/>
      <c r="G2409"/>
      <c r="H2409"/>
      <c r="I2409"/>
      <c r="J2409"/>
      <c r="K2409"/>
      <c r="L2409"/>
      <c r="M2409"/>
      <c r="N2409"/>
      <c r="O2409"/>
      <c r="P2409"/>
      <c r="Q2409"/>
      <c r="R2409"/>
      <c r="S2409"/>
    </row>
    <row r="2410" spans="1:19" ht="15" x14ac:dyDescent="0.2">
      <c r="A2410"/>
      <c r="B2410"/>
      <c r="C2410"/>
      <c r="D2410"/>
      <c r="E2410"/>
      <c r="F2410"/>
      <c r="G2410"/>
      <c r="H2410"/>
      <c r="I2410"/>
      <c r="J2410"/>
      <c r="K2410"/>
      <c r="L2410"/>
      <c r="M2410"/>
      <c r="N2410"/>
      <c r="O2410"/>
      <c r="P2410"/>
      <c r="Q2410"/>
      <c r="R2410"/>
      <c r="S2410"/>
    </row>
    <row r="2411" spans="1:19" ht="15" x14ac:dyDescent="0.2">
      <c r="A2411"/>
      <c r="B2411"/>
      <c r="C2411"/>
      <c r="D2411"/>
      <c r="E2411"/>
      <c r="F2411"/>
      <c r="G2411"/>
      <c r="H2411"/>
      <c r="I2411"/>
      <c r="J2411"/>
      <c r="K2411"/>
      <c r="L2411"/>
      <c r="M2411"/>
      <c r="N2411"/>
      <c r="O2411"/>
      <c r="P2411"/>
      <c r="Q2411"/>
      <c r="R2411"/>
      <c r="S2411"/>
    </row>
    <row r="2412" spans="1:19" ht="15" x14ac:dyDescent="0.2">
      <c r="A2412"/>
      <c r="B2412"/>
      <c r="C2412"/>
      <c r="D2412"/>
      <c r="E2412"/>
      <c r="F2412"/>
      <c r="G2412"/>
      <c r="H2412"/>
      <c r="I2412"/>
      <c r="J2412"/>
      <c r="K2412"/>
      <c r="L2412"/>
      <c r="M2412"/>
      <c r="N2412"/>
      <c r="O2412"/>
      <c r="P2412"/>
      <c r="Q2412"/>
      <c r="R2412"/>
      <c r="S2412"/>
    </row>
    <row r="2413" spans="1:19" ht="15" x14ac:dyDescent="0.2">
      <c r="A2413"/>
      <c r="B2413"/>
      <c r="C2413"/>
      <c r="D2413"/>
      <c r="E2413"/>
      <c r="F2413"/>
      <c r="G2413"/>
      <c r="H2413"/>
      <c r="I2413"/>
      <c r="J2413"/>
      <c r="K2413"/>
      <c r="L2413"/>
      <c r="M2413"/>
      <c r="N2413"/>
      <c r="O2413"/>
      <c r="P2413"/>
      <c r="Q2413"/>
      <c r="R2413"/>
      <c r="S2413"/>
    </row>
    <row r="2414" spans="1:19" ht="15" x14ac:dyDescent="0.2">
      <c r="A2414"/>
      <c r="B2414"/>
      <c r="C2414"/>
      <c r="D2414"/>
      <c r="E2414"/>
      <c r="F2414"/>
      <c r="G2414"/>
      <c r="H2414"/>
      <c r="I2414"/>
      <c r="J2414"/>
      <c r="K2414"/>
      <c r="L2414"/>
      <c r="M2414"/>
      <c r="N2414"/>
      <c r="O2414"/>
      <c r="P2414"/>
      <c r="Q2414"/>
      <c r="R2414"/>
      <c r="S2414"/>
    </row>
    <row r="2415" spans="1:19" ht="15" x14ac:dyDescent="0.2">
      <c r="A2415"/>
      <c r="B2415"/>
      <c r="C2415"/>
      <c r="D2415"/>
      <c r="E2415"/>
      <c r="F2415"/>
      <c r="G2415"/>
      <c r="H2415"/>
      <c r="I2415"/>
      <c r="J2415"/>
      <c r="K2415"/>
      <c r="L2415"/>
      <c r="M2415"/>
      <c r="N2415"/>
      <c r="O2415"/>
      <c r="P2415"/>
      <c r="Q2415"/>
      <c r="R2415"/>
      <c r="S2415"/>
    </row>
    <row r="2416" spans="1:19" ht="15" x14ac:dyDescent="0.2">
      <c r="A2416"/>
      <c r="B2416"/>
      <c r="C2416"/>
      <c r="D2416"/>
      <c r="E2416"/>
      <c r="F2416"/>
      <c r="G2416"/>
      <c r="H2416"/>
      <c r="I2416"/>
      <c r="J2416"/>
      <c r="K2416"/>
      <c r="L2416"/>
      <c r="M2416"/>
      <c r="N2416"/>
      <c r="O2416"/>
      <c r="P2416"/>
      <c r="Q2416"/>
      <c r="R2416"/>
      <c r="S2416"/>
    </row>
    <row r="2417" spans="1:19" ht="15" x14ac:dyDescent="0.2">
      <c r="A2417"/>
      <c r="B2417"/>
      <c r="C2417"/>
      <c r="D2417"/>
      <c r="E2417"/>
      <c r="F2417"/>
      <c r="G2417"/>
      <c r="H2417"/>
      <c r="I2417"/>
      <c r="J2417"/>
      <c r="K2417"/>
      <c r="L2417"/>
      <c r="M2417"/>
      <c r="N2417"/>
      <c r="O2417"/>
      <c r="P2417"/>
      <c r="Q2417"/>
      <c r="R2417"/>
      <c r="S2417"/>
    </row>
    <row r="2418" spans="1:19" ht="15" x14ac:dyDescent="0.2">
      <c r="A2418"/>
      <c r="B2418"/>
      <c r="C2418"/>
      <c r="D2418"/>
      <c r="E2418"/>
      <c r="F2418"/>
      <c r="G2418"/>
      <c r="H2418"/>
      <c r="I2418"/>
      <c r="J2418"/>
      <c r="K2418"/>
      <c r="L2418"/>
      <c r="M2418"/>
      <c r="N2418"/>
      <c r="O2418"/>
      <c r="P2418"/>
      <c r="Q2418"/>
      <c r="R2418"/>
      <c r="S2418"/>
    </row>
    <row r="2419" spans="1:19" ht="15" x14ac:dyDescent="0.2">
      <c r="A2419"/>
      <c r="B2419"/>
      <c r="C2419"/>
      <c r="D2419"/>
      <c r="E2419"/>
      <c r="F2419"/>
      <c r="G2419"/>
      <c r="H2419"/>
      <c r="I2419"/>
      <c r="J2419"/>
      <c r="K2419"/>
      <c r="L2419"/>
      <c r="M2419"/>
      <c r="N2419"/>
      <c r="O2419"/>
      <c r="P2419"/>
      <c r="Q2419"/>
      <c r="R2419"/>
      <c r="S2419"/>
    </row>
    <row r="2420" spans="1:19" ht="15" x14ac:dyDescent="0.2">
      <c r="A2420"/>
      <c r="B2420"/>
      <c r="C2420"/>
      <c r="D2420"/>
      <c r="E2420"/>
      <c r="F2420"/>
      <c r="G2420"/>
      <c r="H2420"/>
      <c r="I2420"/>
      <c r="J2420"/>
      <c r="K2420"/>
      <c r="L2420"/>
      <c r="M2420"/>
      <c r="N2420"/>
      <c r="O2420"/>
      <c r="P2420"/>
      <c r="Q2420"/>
      <c r="R2420"/>
      <c r="S2420"/>
    </row>
    <row r="2421" spans="1:19" ht="15" x14ac:dyDescent="0.2">
      <c r="A2421"/>
      <c r="B2421"/>
      <c r="C2421"/>
      <c r="D2421"/>
      <c r="E2421"/>
      <c r="F2421"/>
      <c r="G2421"/>
      <c r="H2421"/>
      <c r="I2421"/>
      <c r="J2421"/>
      <c r="K2421"/>
      <c r="L2421"/>
      <c r="M2421"/>
      <c r="N2421"/>
      <c r="O2421"/>
      <c r="P2421"/>
      <c r="Q2421"/>
      <c r="R2421"/>
      <c r="S2421"/>
    </row>
    <row r="2422" spans="1:19" ht="15" x14ac:dyDescent="0.2">
      <c r="A2422"/>
      <c r="B2422"/>
      <c r="C2422"/>
      <c r="D2422"/>
      <c r="E2422"/>
      <c r="F2422"/>
      <c r="G2422"/>
      <c r="H2422"/>
      <c r="I2422"/>
      <c r="J2422"/>
      <c r="K2422"/>
      <c r="L2422"/>
      <c r="M2422"/>
      <c r="N2422"/>
      <c r="O2422"/>
      <c r="P2422"/>
      <c r="Q2422"/>
      <c r="R2422"/>
      <c r="S2422"/>
    </row>
    <row r="2423" spans="1:19" ht="15" x14ac:dyDescent="0.2">
      <c r="A2423"/>
      <c r="B2423"/>
      <c r="C2423"/>
      <c r="D2423"/>
      <c r="E2423"/>
      <c r="F2423"/>
      <c r="G2423"/>
      <c r="H2423"/>
      <c r="I2423"/>
      <c r="J2423"/>
      <c r="K2423"/>
      <c r="L2423"/>
      <c r="M2423"/>
      <c r="N2423"/>
      <c r="O2423"/>
      <c r="P2423"/>
      <c r="Q2423"/>
      <c r="R2423"/>
      <c r="S2423"/>
    </row>
    <row r="2424" spans="1:19" ht="15" x14ac:dyDescent="0.2">
      <c r="A2424"/>
      <c r="B2424"/>
      <c r="C2424"/>
      <c r="D2424"/>
      <c r="E2424"/>
      <c r="F2424"/>
      <c r="G2424"/>
      <c r="H2424"/>
      <c r="I2424"/>
      <c r="J2424"/>
      <c r="K2424"/>
      <c r="L2424"/>
      <c r="M2424"/>
      <c r="N2424"/>
      <c r="O2424"/>
      <c r="P2424"/>
      <c r="Q2424"/>
      <c r="R2424"/>
      <c r="S2424"/>
    </row>
    <row r="2425" spans="1:19" ht="15" x14ac:dyDescent="0.2">
      <c r="A2425"/>
      <c r="B2425"/>
      <c r="C2425"/>
      <c r="D2425"/>
      <c r="E2425"/>
      <c r="F2425"/>
      <c r="G2425"/>
      <c r="H2425"/>
      <c r="I2425"/>
      <c r="J2425"/>
      <c r="K2425"/>
      <c r="L2425"/>
      <c r="M2425"/>
      <c r="N2425"/>
      <c r="O2425"/>
      <c r="P2425"/>
      <c r="Q2425"/>
      <c r="R2425"/>
      <c r="S2425"/>
    </row>
    <row r="2426" spans="1:19" ht="15" x14ac:dyDescent="0.2">
      <c r="A2426"/>
      <c r="B2426"/>
      <c r="C2426"/>
      <c r="D2426"/>
      <c r="E2426"/>
      <c r="F2426"/>
      <c r="G2426"/>
      <c r="H2426"/>
      <c r="I2426"/>
      <c r="J2426"/>
      <c r="K2426"/>
      <c r="L2426"/>
      <c r="M2426"/>
      <c r="N2426"/>
      <c r="O2426"/>
      <c r="P2426"/>
      <c r="Q2426"/>
      <c r="R2426"/>
      <c r="S2426"/>
    </row>
    <row r="2427" spans="1:19" ht="15" x14ac:dyDescent="0.2">
      <c r="A2427"/>
      <c r="B2427"/>
      <c r="C2427"/>
      <c r="D2427"/>
      <c r="E2427"/>
      <c r="F2427"/>
      <c r="G2427"/>
      <c r="H2427"/>
      <c r="I2427"/>
      <c r="J2427"/>
      <c r="K2427"/>
      <c r="L2427"/>
      <c r="M2427"/>
      <c r="N2427"/>
      <c r="O2427"/>
      <c r="P2427"/>
      <c r="Q2427"/>
      <c r="R2427"/>
      <c r="S2427"/>
    </row>
    <row r="2428" spans="1:19" ht="15" x14ac:dyDescent="0.2">
      <c r="A2428"/>
      <c r="B2428"/>
      <c r="C2428"/>
      <c r="D2428"/>
      <c r="E2428"/>
      <c r="F2428"/>
      <c r="G2428"/>
      <c r="H2428"/>
      <c r="I2428"/>
      <c r="J2428"/>
      <c r="K2428"/>
      <c r="L2428"/>
      <c r="M2428"/>
      <c r="N2428"/>
      <c r="O2428"/>
      <c r="P2428"/>
      <c r="Q2428"/>
      <c r="R2428"/>
      <c r="S2428"/>
    </row>
    <row r="2429" spans="1:19" ht="15" x14ac:dyDescent="0.2">
      <c r="A2429"/>
      <c r="B2429"/>
      <c r="C2429"/>
      <c r="D2429"/>
      <c r="E2429"/>
      <c r="F2429"/>
      <c r="G2429"/>
      <c r="H2429"/>
      <c r="I2429"/>
      <c r="J2429"/>
      <c r="K2429"/>
      <c r="L2429"/>
      <c r="M2429"/>
      <c r="N2429"/>
      <c r="O2429"/>
      <c r="P2429"/>
      <c r="Q2429"/>
      <c r="R2429"/>
      <c r="S2429"/>
    </row>
    <row r="2430" spans="1:19" ht="15" x14ac:dyDescent="0.2">
      <c r="A2430"/>
      <c r="B2430"/>
      <c r="C2430"/>
      <c r="D2430"/>
      <c r="E2430"/>
      <c r="F2430"/>
      <c r="G2430"/>
      <c r="H2430"/>
      <c r="I2430"/>
      <c r="J2430"/>
      <c r="K2430"/>
      <c r="L2430"/>
      <c r="M2430"/>
      <c r="N2430"/>
      <c r="O2430"/>
      <c r="P2430"/>
      <c r="Q2430"/>
      <c r="R2430"/>
      <c r="S2430"/>
    </row>
    <row r="2431" spans="1:19" ht="15" x14ac:dyDescent="0.2">
      <c r="A2431"/>
      <c r="B2431"/>
      <c r="C2431"/>
      <c r="D2431"/>
      <c r="E2431"/>
      <c r="F2431"/>
      <c r="G2431"/>
      <c r="H2431"/>
      <c r="I2431"/>
      <c r="J2431"/>
      <c r="K2431"/>
      <c r="L2431"/>
      <c r="M2431"/>
      <c r="N2431"/>
      <c r="O2431"/>
      <c r="P2431"/>
      <c r="Q2431"/>
      <c r="R2431"/>
      <c r="S2431"/>
    </row>
    <row r="2432" spans="1:19" ht="15" x14ac:dyDescent="0.2">
      <c r="A2432"/>
      <c r="B2432"/>
      <c r="C2432"/>
      <c r="D2432"/>
      <c r="E2432"/>
      <c r="F2432"/>
      <c r="G2432"/>
      <c r="H2432"/>
      <c r="I2432"/>
      <c r="J2432"/>
      <c r="K2432"/>
      <c r="L2432"/>
      <c r="M2432"/>
      <c r="N2432"/>
      <c r="O2432"/>
      <c r="P2432"/>
      <c r="Q2432"/>
      <c r="R2432"/>
      <c r="S2432"/>
    </row>
    <row r="2433" spans="1:19" ht="15" x14ac:dyDescent="0.2">
      <c r="A2433"/>
      <c r="B2433"/>
      <c r="C2433"/>
      <c r="D2433"/>
      <c r="E2433"/>
      <c r="F2433"/>
      <c r="G2433"/>
      <c r="H2433"/>
      <c r="I2433"/>
      <c r="J2433"/>
      <c r="K2433"/>
      <c r="L2433"/>
      <c r="M2433"/>
      <c r="N2433"/>
      <c r="O2433"/>
      <c r="P2433"/>
      <c r="Q2433"/>
      <c r="R2433"/>
      <c r="S2433"/>
    </row>
    <row r="2434" spans="1:19" ht="15" x14ac:dyDescent="0.2">
      <c r="A2434"/>
      <c r="B2434"/>
      <c r="C2434"/>
      <c r="D2434"/>
      <c r="E2434"/>
      <c r="F2434"/>
      <c r="G2434"/>
      <c r="H2434"/>
      <c r="I2434"/>
      <c r="J2434"/>
      <c r="K2434"/>
      <c r="L2434"/>
      <c r="M2434"/>
      <c r="N2434"/>
      <c r="O2434"/>
      <c r="P2434"/>
      <c r="Q2434"/>
      <c r="R2434"/>
      <c r="S2434"/>
    </row>
    <row r="2435" spans="1:19" ht="15" x14ac:dyDescent="0.2">
      <c r="A2435"/>
      <c r="B2435"/>
      <c r="C2435"/>
      <c r="D2435"/>
      <c r="E2435"/>
      <c r="F2435"/>
      <c r="G2435"/>
      <c r="H2435"/>
      <c r="I2435"/>
      <c r="J2435"/>
      <c r="K2435"/>
      <c r="L2435"/>
      <c r="M2435"/>
      <c r="N2435"/>
      <c r="O2435"/>
      <c r="P2435"/>
      <c r="Q2435"/>
      <c r="R2435"/>
      <c r="S2435"/>
    </row>
    <row r="2436" spans="1:19" ht="15" x14ac:dyDescent="0.2">
      <c r="A2436"/>
      <c r="B2436"/>
      <c r="C2436"/>
      <c r="D2436"/>
      <c r="E2436"/>
      <c r="F2436"/>
      <c r="G2436"/>
      <c r="H2436"/>
      <c r="I2436"/>
      <c r="J2436"/>
      <c r="K2436"/>
      <c r="L2436"/>
      <c r="M2436"/>
      <c r="N2436"/>
      <c r="O2436"/>
      <c r="P2436"/>
      <c r="Q2436"/>
      <c r="R2436"/>
      <c r="S2436"/>
    </row>
    <row r="2437" spans="1:19" ht="15" x14ac:dyDescent="0.2">
      <c r="A2437"/>
      <c r="B2437"/>
      <c r="C2437"/>
      <c r="D2437"/>
      <c r="E2437"/>
      <c r="F2437"/>
      <c r="G2437"/>
      <c r="H2437"/>
      <c r="I2437"/>
      <c r="J2437"/>
      <c r="K2437"/>
      <c r="L2437"/>
      <c r="M2437"/>
      <c r="N2437"/>
      <c r="O2437"/>
      <c r="P2437"/>
      <c r="Q2437"/>
      <c r="R2437"/>
      <c r="S2437"/>
    </row>
    <row r="2438" spans="1:19" ht="15" x14ac:dyDescent="0.2">
      <c r="A2438"/>
      <c r="B2438"/>
      <c r="C2438"/>
      <c r="D2438"/>
      <c r="E2438"/>
      <c r="F2438"/>
      <c r="G2438"/>
      <c r="H2438"/>
      <c r="I2438"/>
      <c r="J2438"/>
      <c r="K2438"/>
      <c r="L2438"/>
      <c r="M2438"/>
      <c r="N2438"/>
      <c r="O2438"/>
      <c r="P2438"/>
      <c r="Q2438"/>
      <c r="R2438"/>
      <c r="S2438"/>
    </row>
    <row r="2439" spans="1:19" ht="15" x14ac:dyDescent="0.2">
      <c r="A2439"/>
      <c r="B2439"/>
      <c r="C2439"/>
      <c r="D2439"/>
      <c r="E2439"/>
      <c r="F2439"/>
      <c r="G2439"/>
      <c r="H2439"/>
      <c r="I2439"/>
      <c r="J2439"/>
      <c r="K2439"/>
      <c r="L2439"/>
      <c r="M2439"/>
      <c r="N2439"/>
      <c r="O2439"/>
      <c r="P2439"/>
      <c r="Q2439"/>
      <c r="R2439"/>
      <c r="S2439"/>
    </row>
    <row r="2440" spans="1:19" ht="15" x14ac:dyDescent="0.2">
      <c r="A2440"/>
      <c r="B2440"/>
      <c r="C2440"/>
      <c r="D2440"/>
      <c r="E2440"/>
      <c r="F2440"/>
      <c r="G2440"/>
      <c r="H2440"/>
      <c r="I2440"/>
      <c r="J2440"/>
      <c r="K2440"/>
      <c r="L2440"/>
      <c r="M2440"/>
      <c r="N2440"/>
      <c r="O2440"/>
      <c r="P2440"/>
      <c r="Q2440"/>
      <c r="R2440"/>
      <c r="S2440"/>
    </row>
    <row r="2441" spans="1:19" ht="15" x14ac:dyDescent="0.2">
      <c r="A2441"/>
      <c r="B2441"/>
      <c r="C2441"/>
      <c r="D2441"/>
      <c r="E2441"/>
      <c r="F2441"/>
      <c r="G2441"/>
      <c r="H2441"/>
      <c r="I2441"/>
      <c r="J2441"/>
      <c r="K2441"/>
      <c r="L2441"/>
      <c r="M2441"/>
      <c r="N2441"/>
      <c r="O2441"/>
      <c r="P2441"/>
      <c r="Q2441"/>
      <c r="R2441"/>
      <c r="S2441"/>
    </row>
    <row r="2442" spans="1:19" ht="15" x14ac:dyDescent="0.2">
      <c r="A2442"/>
      <c r="B2442"/>
      <c r="C2442"/>
      <c r="D2442"/>
      <c r="E2442"/>
      <c r="F2442"/>
      <c r="G2442"/>
      <c r="H2442"/>
      <c r="I2442"/>
      <c r="J2442"/>
      <c r="K2442"/>
      <c r="L2442"/>
      <c r="M2442"/>
      <c r="N2442"/>
      <c r="O2442"/>
      <c r="P2442"/>
      <c r="Q2442"/>
      <c r="R2442"/>
      <c r="S2442"/>
    </row>
    <row r="2443" spans="1:19" ht="15" x14ac:dyDescent="0.2">
      <c r="A2443"/>
      <c r="B2443"/>
      <c r="C2443"/>
      <c r="D2443"/>
      <c r="E2443"/>
      <c r="F2443"/>
      <c r="G2443"/>
      <c r="H2443"/>
      <c r="I2443"/>
      <c r="J2443"/>
      <c r="K2443"/>
      <c r="L2443"/>
      <c r="M2443"/>
      <c r="N2443"/>
      <c r="O2443"/>
      <c r="P2443"/>
      <c r="Q2443"/>
      <c r="R2443"/>
      <c r="S2443"/>
    </row>
    <row r="2444" spans="1:19" ht="15" x14ac:dyDescent="0.2">
      <c r="A2444"/>
      <c r="B2444"/>
      <c r="C2444"/>
      <c r="D2444"/>
      <c r="E2444"/>
      <c r="F2444"/>
      <c r="G2444"/>
      <c r="H2444"/>
      <c r="I2444"/>
      <c r="J2444"/>
      <c r="K2444"/>
      <c r="L2444"/>
      <c r="M2444"/>
      <c r="N2444"/>
      <c r="O2444"/>
      <c r="P2444"/>
      <c r="Q2444"/>
      <c r="R2444"/>
      <c r="S2444"/>
    </row>
    <row r="2445" spans="1:19" ht="15" x14ac:dyDescent="0.2">
      <c r="A2445"/>
      <c r="B2445"/>
      <c r="C2445"/>
      <c r="D2445"/>
      <c r="E2445"/>
      <c r="F2445"/>
      <c r="G2445"/>
      <c r="H2445"/>
      <c r="I2445"/>
      <c r="J2445"/>
      <c r="K2445"/>
      <c r="L2445"/>
      <c r="M2445"/>
      <c r="N2445"/>
      <c r="O2445"/>
      <c r="P2445"/>
      <c r="Q2445"/>
      <c r="R2445"/>
      <c r="S2445"/>
    </row>
    <row r="2446" spans="1:19" ht="15" x14ac:dyDescent="0.2">
      <c r="A2446"/>
      <c r="B2446"/>
      <c r="C2446"/>
      <c r="D2446"/>
      <c r="E2446"/>
      <c r="F2446"/>
      <c r="G2446"/>
      <c r="H2446"/>
      <c r="I2446"/>
      <c r="J2446"/>
      <c r="K2446"/>
      <c r="L2446"/>
      <c r="M2446"/>
      <c r="N2446"/>
      <c r="O2446"/>
      <c r="P2446"/>
      <c r="Q2446"/>
      <c r="R2446"/>
      <c r="S2446"/>
    </row>
    <row r="2447" spans="1:19" ht="15" x14ac:dyDescent="0.2">
      <c r="A2447"/>
      <c r="B2447"/>
      <c r="C2447"/>
      <c r="D2447"/>
      <c r="E2447"/>
      <c r="F2447"/>
      <c r="G2447"/>
      <c r="H2447"/>
      <c r="I2447"/>
      <c r="J2447"/>
      <c r="K2447"/>
      <c r="L2447"/>
      <c r="M2447"/>
      <c r="N2447"/>
      <c r="O2447"/>
      <c r="P2447"/>
      <c r="Q2447"/>
      <c r="R2447"/>
      <c r="S2447"/>
    </row>
    <row r="2448" spans="1:19" ht="15" x14ac:dyDescent="0.2">
      <c r="A2448"/>
      <c r="B2448"/>
      <c r="C2448"/>
      <c r="D2448"/>
      <c r="E2448"/>
      <c r="F2448"/>
      <c r="G2448"/>
      <c r="H2448"/>
      <c r="I2448"/>
      <c r="J2448"/>
      <c r="K2448"/>
      <c r="L2448"/>
      <c r="M2448"/>
      <c r="N2448"/>
      <c r="O2448"/>
      <c r="P2448"/>
      <c r="Q2448"/>
      <c r="R2448"/>
      <c r="S2448"/>
    </row>
    <row r="2449" spans="1:19" ht="15" x14ac:dyDescent="0.2">
      <c r="A2449"/>
      <c r="B2449"/>
      <c r="C2449"/>
      <c r="D2449"/>
      <c r="E2449"/>
      <c r="F2449"/>
      <c r="G2449"/>
      <c r="H2449"/>
      <c r="I2449"/>
      <c r="J2449"/>
      <c r="K2449"/>
      <c r="L2449"/>
      <c r="M2449"/>
      <c r="N2449"/>
      <c r="O2449"/>
      <c r="P2449"/>
      <c r="Q2449"/>
      <c r="R2449"/>
      <c r="S2449"/>
    </row>
    <row r="2450" spans="1:19" ht="15" x14ac:dyDescent="0.2">
      <c r="A2450"/>
      <c r="B2450"/>
      <c r="C2450"/>
      <c r="D2450"/>
      <c r="E2450"/>
      <c r="F2450"/>
      <c r="G2450"/>
      <c r="H2450"/>
      <c r="I2450"/>
      <c r="J2450"/>
      <c r="K2450"/>
      <c r="L2450"/>
      <c r="M2450"/>
      <c r="N2450"/>
      <c r="O2450"/>
      <c r="P2450"/>
      <c r="Q2450"/>
      <c r="R2450"/>
      <c r="S2450"/>
    </row>
    <row r="2451" spans="1:19" ht="15" x14ac:dyDescent="0.2">
      <c r="A2451"/>
      <c r="B2451"/>
      <c r="C2451"/>
      <c r="D2451"/>
      <c r="E2451"/>
      <c r="F2451"/>
      <c r="G2451"/>
      <c r="H2451"/>
      <c r="I2451"/>
      <c r="J2451"/>
      <c r="K2451"/>
      <c r="L2451"/>
      <c r="M2451"/>
      <c r="N2451"/>
      <c r="O2451"/>
      <c r="P2451"/>
      <c r="Q2451"/>
      <c r="R2451"/>
      <c r="S2451"/>
    </row>
    <row r="2452" spans="1:19" ht="15" x14ac:dyDescent="0.2">
      <c r="A2452"/>
      <c r="B2452"/>
      <c r="C2452"/>
      <c r="D2452"/>
      <c r="E2452"/>
      <c r="F2452"/>
      <c r="G2452"/>
      <c r="H2452"/>
      <c r="I2452"/>
      <c r="J2452"/>
      <c r="K2452"/>
      <c r="L2452"/>
      <c r="M2452"/>
      <c r="N2452"/>
      <c r="O2452"/>
      <c r="P2452"/>
      <c r="Q2452"/>
      <c r="R2452"/>
      <c r="S2452"/>
    </row>
    <row r="2453" spans="1:19" ht="15" x14ac:dyDescent="0.2">
      <c r="A2453"/>
      <c r="B2453"/>
      <c r="C2453"/>
      <c r="D2453"/>
      <c r="E2453"/>
      <c r="F2453"/>
      <c r="G2453"/>
      <c r="H2453"/>
      <c r="I2453"/>
      <c r="J2453"/>
      <c r="K2453"/>
      <c r="L2453"/>
      <c r="M2453"/>
      <c r="N2453"/>
      <c r="O2453"/>
      <c r="P2453"/>
      <c r="Q2453"/>
      <c r="R2453"/>
      <c r="S2453"/>
    </row>
    <row r="2454" spans="1:19" ht="15" x14ac:dyDescent="0.2">
      <c r="A2454"/>
      <c r="B2454"/>
      <c r="C2454"/>
      <c r="D2454"/>
      <c r="E2454"/>
      <c r="F2454"/>
      <c r="G2454"/>
      <c r="H2454"/>
      <c r="I2454"/>
      <c r="J2454"/>
      <c r="K2454"/>
      <c r="L2454"/>
      <c r="M2454"/>
      <c r="N2454"/>
      <c r="O2454"/>
      <c r="P2454"/>
      <c r="Q2454"/>
      <c r="R2454"/>
      <c r="S2454"/>
    </row>
    <row r="2455" spans="1:19" ht="15" x14ac:dyDescent="0.2">
      <c r="A2455"/>
      <c r="B2455"/>
      <c r="C2455"/>
      <c r="D2455"/>
      <c r="E2455"/>
      <c r="F2455"/>
      <c r="G2455"/>
      <c r="H2455"/>
      <c r="I2455"/>
      <c r="J2455"/>
      <c r="K2455"/>
      <c r="L2455"/>
      <c r="M2455"/>
      <c r="N2455"/>
      <c r="O2455"/>
      <c r="P2455"/>
      <c r="Q2455"/>
      <c r="R2455"/>
      <c r="S2455"/>
    </row>
    <row r="2456" spans="1:19" ht="15" x14ac:dyDescent="0.2">
      <c r="A2456"/>
      <c r="B2456"/>
      <c r="C2456"/>
      <c r="D2456"/>
      <c r="E2456"/>
      <c r="F2456"/>
      <c r="G2456"/>
      <c r="H2456"/>
      <c r="I2456"/>
      <c r="J2456"/>
      <c r="K2456"/>
      <c r="L2456"/>
      <c r="M2456"/>
      <c r="N2456"/>
      <c r="O2456"/>
      <c r="P2456"/>
      <c r="Q2456"/>
      <c r="R2456"/>
      <c r="S2456"/>
    </row>
    <row r="2457" spans="1:19" ht="15" x14ac:dyDescent="0.2">
      <c r="A2457"/>
      <c r="B2457"/>
      <c r="C2457"/>
      <c r="D2457"/>
      <c r="E2457"/>
      <c r="F2457"/>
      <c r="G2457"/>
      <c r="H2457"/>
      <c r="I2457"/>
      <c r="J2457"/>
      <c r="K2457"/>
      <c r="L2457"/>
      <c r="M2457"/>
      <c r="N2457"/>
      <c r="O2457"/>
      <c r="P2457"/>
      <c r="Q2457"/>
      <c r="R2457"/>
      <c r="S2457"/>
    </row>
    <row r="2458" spans="1:19" ht="15" x14ac:dyDescent="0.2">
      <c r="A2458"/>
      <c r="B2458"/>
      <c r="C2458"/>
      <c r="D2458"/>
      <c r="E2458"/>
      <c r="F2458"/>
      <c r="G2458"/>
      <c r="H2458"/>
      <c r="I2458"/>
      <c r="J2458"/>
      <c r="K2458"/>
      <c r="L2458"/>
      <c r="M2458"/>
      <c r="N2458"/>
      <c r="O2458"/>
      <c r="P2458"/>
      <c r="Q2458"/>
      <c r="R2458"/>
      <c r="S2458"/>
    </row>
    <row r="2459" spans="1:19" ht="15" x14ac:dyDescent="0.2">
      <c r="A2459"/>
      <c r="B2459"/>
      <c r="C2459"/>
      <c r="D2459"/>
      <c r="E2459"/>
      <c r="F2459"/>
      <c r="G2459"/>
      <c r="H2459"/>
      <c r="I2459"/>
      <c r="J2459"/>
      <c r="K2459"/>
      <c r="L2459"/>
      <c r="M2459"/>
      <c r="N2459"/>
      <c r="O2459"/>
      <c r="P2459"/>
      <c r="Q2459"/>
      <c r="R2459"/>
      <c r="S2459"/>
    </row>
    <row r="2460" spans="1:19" ht="15" x14ac:dyDescent="0.2">
      <c r="A2460"/>
      <c r="B2460"/>
      <c r="C2460"/>
      <c r="D2460"/>
      <c r="E2460"/>
      <c r="F2460"/>
      <c r="G2460"/>
      <c r="H2460"/>
      <c r="I2460"/>
      <c r="J2460"/>
      <c r="K2460"/>
      <c r="L2460"/>
      <c r="M2460"/>
      <c r="N2460"/>
      <c r="O2460"/>
      <c r="P2460"/>
      <c r="Q2460"/>
      <c r="R2460"/>
      <c r="S2460"/>
    </row>
    <row r="2461" spans="1:19" ht="15" x14ac:dyDescent="0.2">
      <c r="A2461"/>
      <c r="B2461"/>
      <c r="C2461"/>
      <c r="D2461"/>
      <c r="E2461"/>
      <c r="F2461"/>
      <c r="G2461"/>
      <c r="H2461"/>
      <c r="I2461"/>
      <c r="J2461"/>
      <c r="K2461"/>
      <c r="L2461"/>
      <c r="M2461"/>
      <c r="N2461"/>
      <c r="O2461"/>
      <c r="P2461"/>
      <c r="Q2461"/>
      <c r="R2461"/>
      <c r="S2461"/>
    </row>
    <row r="2462" spans="1:19" ht="15" x14ac:dyDescent="0.2">
      <c r="A2462"/>
      <c r="B2462"/>
      <c r="C2462"/>
      <c r="D2462"/>
      <c r="E2462"/>
      <c r="F2462"/>
      <c r="G2462"/>
      <c r="H2462"/>
      <c r="I2462"/>
      <c r="J2462"/>
      <c r="K2462"/>
      <c r="L2462"/>
      <c r="M2462"/>
      <c r="N2462"/>
      <c r="O2462"/>
      <c r="P2462"/>
      <c r="Q2462"/>
      <c r="R2462"/>
      <c r="S2462"/>
    </row>
    <row r="2463" spans="1:19" ht="15" x14ac:dyDescent="0.2">
      <c r="A2463"/>
      <c r="B2463"/>
      <c r="C2463"/>
      <c r="D2463"/>
      <c r="E2463"/>
      <c r="F2463"/>
      <c r="G2463"/>
      <c r="H2463"/>
      <c r="I2463"/>
      <c r="J2463"/>
      <c r="K2463"/>
      <c r="L2463"/>
      <c r="M2463"/>
      <c r="N2463"/>
      <c r="O2463"/>
      <c r="P2463"/>
      <c r="Q2463"/>
      <c r="R2463"/>
      <c r="S2463"/>
    </row>
    <row r="2464" spans="1:19" ht="15" x14ac:dyDescent="0.2">
      <c r="A2464"/>
      <c r="B2464"/>
      <c r="C2464"/>
      <c r="D2464"/>
      <c r="E2464"/>
      <c r="F2464"/>
      <c r="G2464"/>
      <c r="H2464"/>
      <c r="I2464"/>
      <c r="J2464"/>
      <c r="K2464"/>
      <c r="L2464"/>
      <c r="M2464"/>
      <c r="N2464"/>
      <c r="O2464"/>
      <c r="P2464"/>
      <c r="Q2464"/>
      <c r="R2464"/>
      <c r="S2464"/>
    </row>
    <row r="2465" spans="1:19" ht="15" x14ac:dyDescent="0.2">
      <c r="A2465"/>
      <c r="B2465"/>
      <c r="C2465"/>
      <c r="D2465"/>
      <c r="E2465"/>
      <c r="F2465"/>
      <c r="G2465"/>
      <c r="H2465"/>
      <c r="I2465"/>
      <c r="J2465"/>
      <c r="K2465"/>
      <c r="L2465"/>
      <c r="M2465"/>
      <c r="N2465"/>
      <c r="O2465"/>
      <c r="P2465"/>
      <c r="Q2465"/>
      <c r="R2465"/>
      <c r="S2465"/>
    </row>
    <row r="2466" spans="1:19" ht="15" x14ac:dyDescent="0.2">
      <c r="A2466"/>
      <c r="B2466"/>
      <c r="C2466"/>
      <c r="D2466"/>
      <c r="E2466"/>
      <c r="F2466"/>
      <c r="G2466"/>
      <c r="H2466"/>
      <c r="I2466"/>
      <c r="J2466"/>
      <c r="K2466"/>
      <c r="L2466"/>
      <c r="M2466"/>
      <c r="N2466"/>
      <c r="O2466"/>
      <c r="P2466"/>
      <c r="Q2466"/>
      <c r="R2466"/>
      <c r="S2466"/>
    </row>
    <row r="2467" spans="1:19" ht="15" x14ac:dyDescent="0.2">
      <c r="A2467"/>
      <c r="B2467"/>
      <c r="C2467"/>
      <c r="D2467"/>
      <c r="E2467"/>
      <c r="F2467"/>
      <c r="G2467"/>
      <c r="H2467"/>
      <c r="I2467"/>
      <c r="J2467"/>
      <c r="K2467"/>
      <c r="L2467"/>
      <c r="M2467"/>
      <c r="N2467"/>
      <c r="O2467"/>
      <c r="P2467"/>
      <c r="Q2467"/>
      <c r="R2467"/>
      <c r="S2467"/>
    </row>
    <row r="2468" spans="1:19" ht="15" x14ac:dyDescent="0.2">
      <c r="A2468"/>
      <c r="B2468"/>
      <c r="C2468"/>
      <c r="D2468"/>
      <c r="E2468"/>
      <c r="F2468"/>
      <c r="G2468"/>
      <c r="H2468"/>
      <c r="I2468"/>
      <c r="J2468"/>
      <c r="K2468"/>
      <c r="L2468"/>
      <c r="M2468"/>
      <c r="N2468"/>
      <c r="O2468"/>
      <c r="P2468"/>
      <c r="Q2468"/>
      <c r="R2468"/>
      <c r="S2468"/>
    </row>
    <row r="2469" spans="1:19" ht="15" x14ac:dyDescent="0.2">
      <c r="A2469"/>
      <c r="B2469"/>
      <c r="C2469"/>
      <c r="D2469"/>
      <c r="E2469"/>
      <c r="F2469"/>
      <c r="G2469"/>
      <c r="H2469"/>
      <c r="I2469"/>
      <c r="J2469"/>
      <c r="K2469"/>
      <c r="L2469"/>
      <c r="M2469"/>
      <c r="N2469"/>
      <c r="O2469"/>
      <c r="P2469"/>
      <c r="Q2469"/>
      <c r="R2469"/>
      <c r="S2469"/>
    </row>
    <row r="2470" spans="1:19" ht="15" x14ac:dyDescent="0.2">
      <c r="A2470"/>
      <c r="B2470"/>
      <c r="C2470"/>
      <c r="D2470"/>
      <c r="E2470"/>
      <c r="F2470"/>
      <c r="G2470"/>
      <c r="H2470"/>
      <c r="I2470"/>
      <c r="J2470"/>
      <c r="K2470"/>
      <c r="L2470"/>
      <c r="M2470"/>
      <c r="N2470"/>
      <c r="O2470"/>
      <c r="P2470"/>
      <c r="Q2470"/>
      <c r="R2470"/>
      <c r="S2470"/>
    </row>
    <row r="2471" spans="1:19" ht="15" x14ac:dyDescent="0.2">
      <c r="A2471"/>
      <c r="B2471"/>
      <c r="C2471"/>
      <c r="D2471"/>
      <c r="E2471"/>
      <c r="F2471"/>
      <c r="G2471"/>
      <c r="H2471"/>
      <c r="I2471"/>
      <c r="J2471"/>
      <c r="K2471"/>
      <c r="L2471"/>
      <c r="M2471"/>
      <c r="N2471"/>
      <c r="O2471"/>
      <c r="P2471"/>
      <c r="Q2471"/>
      <c r="R2471"/>
      <c r="S2471"/>
    </row>
    <row r="2472" spans="1:19" ht="15" x14ac:dyDescent="0.2">
      <c r="A2472"/>
      <c r="B2472"/>
      <c r="C2472"/>
      <c r="D2472"/>
      <c r="E2472"/>
      <c r="F2472"/>
      <c r="G2472"/>
      <c r="H2472"/>
      <c r="I2472"/>
      <c r="J2472"/>
      <c r="K2472"/>
      <c r="L2472"/>
      <c r="M2472"/>
      <c r="N2472"/>
      <c r="O2472"/>
      <c r="P2472"/>
      <c r="Q2472"/>
      <c r="R2472"/>
      <c r="S2472"/>
    </row>
    <row r="2473" spans="1:19" ht="15" x14ac:dyDescent="0.2">
      <c r="A2473"/>
      <c r="B2473"/>
      <c r="C2473"/>
      <c r="D2473"/>
      <c r="E2473"/>
      <c r="F2473"/>
      <c r="G2473"/>
      <c r="H2473"/>
      <c r="I2473"/>
      <c r="J2473"/>
      <c r="K2473"/>
      <c r="L2473"/>
      <c r="M2473"/>
      <c r="N2473"/>
      <c r="O2473"/>
      <c r="P2473"/>
      <c r="Q2473"/>
      <c r="R2473"/>
      <c r="S2473"/>
    </row>
    <row r="2474" spans="1:19" ht="15" x14ac:dyDescent="0.2">
      <c r="A2474"/>
      <c r="B2474"/>
      <c r="C2474"/>
      <c r="D2474"/>
      <c r="E2474"/>
      <c r="F2474"/>
      <c r="G2474"/>
      <c r="H2474"/>
      <c r="I2474"/>
      <c r="J2474"/>
      <c r="K2474"/>
      <c r="L2474"/>
      <c r="M2474"/>
      <c r="N2474"/>
      <c r="O2474"/>
      <c r="P2474"/>
      <c r="Q2474"/>
      <c r="R2474"/>
      <c r="S2474"/>
    </row>
    <row r="2475" spans="1:19" ht="15" x14ac:dyDescent="0.2">
      <c r="A2475"/>
      <c r="B2475"/>
      <c r="C2475"/>
      <c r="D2475"/>
      <c r="E2475"/>
      <c r="F2475"/>
      <c r="G2475"/>
      <c r="H2475"/>
      <c r="I2475"/>
      <c r="J2475"/>
      <c r="K2475"/>
      <c r="L2475"/>
      <c r="M2475"/>
      <c r="N2475"/>
      <c r="O2475"/>
      <c r="P2475"/>
      <c r="Q2475"/>
      <c r="R2475"/>
      <c r="S2475"/>
    </row>
    <row r="2476" spans="1:19" ht="15" x14ac:dyDescent="0.2">
      <c r="A2476"/>
      <c r="B2476"/>
      <c r="C2476"/>
      <c r="D2476"/>
      <c r="E2476"/>
      <c r="F2476"/>
      <c r="G2476"/>
      <c r="H2476"/>
      <c r="I2476"/>
      <c r="J2476"/>
      <c r="K2476"/>
      <c r="L2476"/>
      <c r="M2476"/>
      <c r="N2476"/>
      <c r="O2476"/>
      <c r="P2476"/>
      <c r="Q2476"/>
      <c r="R2476"/>
      <c r="S2476"/>
    </row>
    <row r="2477" spans="1:19" ht="15" x14ac:dyDescent="0.2">
      <c r="A2477"/>
      <c r="B2477"/>
      <c r="C2477"/>
      <c r="D2477"/>
      <c r="E2477"/>
      <c r="F2477"/>
      <c r="G2477"/>
      <c r="H2477"/>
      <c r="I2477"/>
      <c r="J2477"/>
      <c r="K2477"/>
      <c r="L2477"/>
      <c r="M2477"/>
      <c r="N2477"/>
      <c r="O2477"/>
      <c r="P2477"/>
      <c r="Q2477"/>
      <c r="R2477"/>
      <c r="S2477"/>
    </row>
    <row r="2478" spans="1:19" ht="15" x14ac:dyDescent="0.2">
      <c r="A2478"/>
      <c r="B2478"/>
      <c r="C2478"/>
      <c r="D2478"/>
      <c r="E2478"/>
      <c r="F2478"/>
      <c r="G2478"/>
      <c r="H2478"/>
      <c r="I2478"/>
      <c r="J2478"/>
      <c r="K2478"/>
      <c r="L2478"/>
      <c r="M2478"/>
      <c r="N2478"/>
      <c r="O2478"/>
      <c r="P2478"/>
      <c r="Q2478"/>
      <c r="R2478"/>
      <c r="S2478"/>
    </row>
    <row r="2479" spans="1:19" ht="15" x14ac:dyDescent="0.2">
      <c r="A2479"/>
      <c r="B2479"/>
      <c r="C2479"/>
      <c r="D2479"/>
      <c r="E2479"/>
      <c r="F2479"/>
      <c r="G2479"/>
      <c r="H2479"/>
      <c r="I2479"/>
      <c r="J2479"/>
      <c r="K2479"/>
      <c r="L2479"/>
      <c r="M2479"/>
      <c r="N2479"/>
      <c r="O2479"/>
      <c r="P2479"/>
      <c r="Q2479"/>
      <c r="R2479"/>
      <c r="S2479"/>
    </row>
    <row r="2480" spans="1:19" ht="15" x14ac:dyDescent="0.2">
      <c r="A2480"/>
      <c r="B2480"/>
      <c r="C2480"/>
      <c r="D2480"/>
      <c r="E2480"/>
      <c r="F2480"/>
      <c r="G2480"/>
      <c r="H2480"/>
      <c r="I2480"/>
      <c r="J2480"/>
      <c r="K2480"/>
      <c r="L2480"/>
      <c r="M2480"/>
      <c r="N2480"/>
      <c r="O2480"/>
      <c r="P2480"/>
      <c r="Q2480"/>
      <c r="R2480"/>
      <c r="S2480"/>
    </row>
    <row r="2481" spans="1:19" ht="15" x14ac:dyDescent="0.2">
      <c r="A2481"/>
      <c r="B2481"/>
      <c r="C2481"/>
      <c r="D2481"/>
      <c r="E2481"/>
      <c r="F2481"/>
      <c r="G2481"/>
      <c r="H2481"/>
      <c r="I2481"/>
      <c r="J2481"/>
      <c r="K2481"/>
      <c r="L2481"/>
      <c r="M2481"/>
      <c r="N2481"/>
      <c r="O2481"/>
      <c r="P2481"/>
      <c r="Q2481"/>
      <c r="R2481"/>
      <c r="S2481"/>
    </row>
    <row r="2482" spans="1:19" ht="15" x14ac:dyDescent="0.2">
      <c r="A2482"/>
      <c r="B2482"/>
      <c r="C2482"/>
      <c r="D2482"/>
      <c r="E2482"/>
      <c r="F2482"/>
      <c r="G2482"/>
      <c r="H2482"/>
      <c r="I2482"/>
      <c r="J2482"/>
      <c r="K2482"/>
      <c r="L2482"/>
      <c r="M2482"/>
      <c r="N2482"/>
      <c r="O2482"/>
      <c r="P2482"/>
      <c r="Q2482"/>
      <c r="R2482"/>
      <c r="S2482"/>
    </row>
    <row r="2483" spans="1:19" ht="15" x14ac:dyDescent="0.2">
      <c r="A2483"/>
      <c r="B2483"/>
      <c r="C2483"/>
      <c r="D2483"/>
      <c r="E2483"/>
      <c r="F2483"/>
      <c r="G2483"/>
      <c r="H2483"/>
      <c r="I2483"/>
      <c r="J2483"/>
      <c r="K2483"/>
      <c r="L2483"/>
      <c r="M2483"/>
      <c r="N2483"/>
      <c r="O2483"/>
      <c r="P2483"/>
      <c r="Q2483"/>
      <c r="R2483"/>
      <c r="S2483"/>
    </row>
    <row r="2484" spans="1:19" ht="15" x14ac:dyDescent="0.2">
      <c r="A2484"/>
      <c r="B2484"/>
      <c r="C2484"/>
      <c r="D2484"/>
      <c r="E2484"/>
      <c r="F2484"/>
      <c r="G2484"/>
      <c r="H2484"/>
      <c r="I2484"/>
      <c r="J2484"/>
      <c r="K2484"/>
      <c r="L2484"/>
      <c r="M2484"/>
      <c r="N2484"/>
      <c r="O2484"/>
      <c r="P2484"/>
      <c r="Q2484"/>
      <c r="R2484"/>
      <c r="S2484"/>
    </row>
    <row r="2485" spans="1:19" ht="15" x14ac:dyDescent="0.2">
      <c r="A2485"/>
      <c r="B2485"/>
      <c r="C2485"/>
      <c r="D2485"/>
      <c r="E2485"/>
      <c r="F2485"/>
      <c r="G2485"/>
      <c r="H2485"/>
      <c r="I2485"/>
      <c r="J2485"/>
      <c r="K2485"/>
      <c r="L2485"/>
      <c r="M2485"/>
      <c r="N2485"/>
      <c r="O2485"/>
      <c r="P2485"/>
      <c r="Q2485"/>
      <c r="R2485"/>
      <c r="S2485"/>
    </row>
    <row r="2486" spans="1:19" ht="15" x14ac:dyDescent="0.2">
      <c r="A2486"/>
      <c r="B2486"/>
      <c r="C2486"/>
      <c r="D2486"/>
      <c r="E2486"/>
      <c r="F2486"/>
      <c r="G2486"/>
      <c r="H2486"/>
      <c r="I2486"/>
      <c r="J2486"/>
      <c r="K2486"/>
      <c r="L2486"/>
      <c r="M2486"/>
      <c r="N2486"/>
      <c r="O2486"/>
      <c r="P2486"/>
      <c r="Q2486"/>
      <c r="R2486"/>
      <c r="S2486"/>
    </row>
    <row r="2487" spans="1:19" ht="15" x14ac:dyDescent="0.2">
      <c r="A2487"/>
      <c r="B2487"/>
      <c r="C2487"/>
      <c r="D2487"/>
      <c r="E2487"/>
      <c r="F2487"/>
      <c r="G2487"/>
      <c r="H2487"/>
      <c r="I2487"/>
      <c r="J2487"/>
      <c r="K2487"/>
      <c r="L2487"/>
      <c r="M2487"/>
      <c r="N2487"/>
      <c r="O2487"/>
      <c r="P2487"/>
      <c r="Q2487"/>
      <c r="R2487"/>
      <c r="S2487"/>
    </row>
    <row r="2488" spans="1:19" ht="15" x14ac:dyDescent="0.2">
      <c r="A2488"/>
      <c r="B2488"/>
      <c r="C2488"/>
      <c r="D2488"/>
      <c r="E2488"/>
      <c r="F2488"/>
      <c r="G2488"/>
      <c r="H2488"/>
      <c r="I2488"/>
      <c r="J2488"/>
      <c r="K2488"/>
      <c r="L2488"/>
      <c r="M2488"/>
      <c r="N2488"/>
      <c r="O2488"/>
      <c r="P2488"/>
      <c r="Q2488"/>
      <c r="R2488"/>
      <c r="S2488"/>
    </row>
    <row r="2489" spans="1:19" ht="15" x14ac:dyDescent="0.2">
      <c r="A2489"/>
      <c r="B2489"/>
      <c r="C2489"/>
      <c r="D2489"/>
      <c r="E2489"/>
      <c r="F2489"/>
      <c r="G2489"/>
      <c r="H2489"/>
      <c r="I2489"/>
      <c r="J2489"/>
      <c r="K2489"/>
      <c r="L2489"/>
      <c r="M2489"/>
      <c r="N2489"/>
      <c r="O2489"/>
      <c r="P2489"/>
      <c r="Q2489"/>
      <c r="R2489"/>
      <c r="S2489"/>
    </row>
    <row r="2490" spans="1:19" ht="15" x14ac:dyDescent="0.2">
      <c r="A2490"/>
      <c r="B2490"/>
      <c r="C2490"/>
      <c r="D2490"/>
      <c r="E2490"/>
      <c r="F2490"/>
      <c r="G2490"/>
      <c r="H2490"/>
      <c r="I2490"/>
      <c r="J2490"/>
      <c r="K2490"/>
      <c r="L2490"/>
      <c r="M2490"/>
      <c r="N2490"/>
      <c r="O2490"/>
      <c r="P2490"/>
      <c r="Q2490"/>
      <c r="R2490"/>
      <c r="S2490"/>
    </row>
    <row r="2491" spans="1:19" ht="15" x14ac:dyDescent="0.2">
      <c r="A2491"/>
      <c r="B2491"/>
      <c r="C2491"/>
      <c r="D2491"/>
      <c r="E2491"/>
      <c r="F2491"/>
      <c r="G2491"/>
      <c r="H2491"/>
      <c r="I2491"/>
      <c r="J2491"/>
      <c r="K2491"/>
      <c r="L2491"/>
      <c r="M2491"/>
      <c r="N2491"/>
      <c r="O2491"/>
      <c r="P2491"/>
      <c r="Q2491"/>
      <c r="R2491"/>
      <c r="S2491"/>
    </row>
    <row r="2492" spans="1:19" ht="15" x14ac:dyDescent="0.2">
      <c r="A2492"/>
      <c r="B2492"/>
      <c r="C2492"/>
      <c r="D2492"/>
      <c r="E2492"/>
      <c r="F2492"/>
      <c r="G2492"/>
      <c r="H2492"/>
      <c r="I2492"/>
      <c r="J2492"/>
      <c r="K2492"/>
      <c r="L2492"/>
      <c r="M2492"/>
      <c r="N2492"/>
      <c r="O2492"/>
      <c r="P2492"/>
      <c r="Q2492"/>
      <c r="R2492"/>
      <c r="S2492"/>
    </row>
    <row r="2493" spans="1:19" ht="15" x14ac:dyDescent="0.2">
      <c r="A2493"/>
      <c r="B2493"/>
      <c r="C2493"/>
      <c r="D2493"/>
      <c r="E2493"/>
      <c r="F2493"/>
      <c r="G2493"/>
      <c r="H2493"/>
      <c r="I2493"/>
      <c r="J2493"/>
      <c r="K2493"/>
      <c r="L2493"/>
      <c r="M2493"/>
      <c r="N2493"/>
      <c r="O2493"/>
      <c r="P2493"/>
      <c r="Q2493"/>
      <c r="R2493"/>
      <c r="S2493"/>
    </row>
    <row r="2494" spans="1:19" ht="15" x14ac:dyDescent="0.2">
      <c r="A2494"/>
      <c r="B2494"/>
      <c r="C2494"/>
      <c r="D2494"/>
      <c r="E2494"/>
      <c r="F2494"/>
      <c r="G2494"/>
      <c r="H2494"/>
      <c r="I2494"/>
      <c r="J2494"/>
      <c r="K2494"/>
      <c r="L2494"/>
      <c r="M2494"/>
      <c r="N2494"/>
      <c r="O2494"/>
      <c r="P2494"/>
      <c r="Q2494"/>
      <c r="R2494"/>
      <c r="S2494"/>
    </row>
    <row r="2495" spans="1:19" ht="15" x14ac:dyDescent="0.2">
      <c r="A2495"/>
      <c r="B2495"/>
      <c r="C2495"/>
      <c r="D2495"/>
      <c r="E2495"/>
      <c r="F2495"/>
      <c r="G2495"/>
      <c r="H2495"/>
      <c r="I2495"/>
      <c r="J2495"/>
      <c r="K2495"/>
      <c r="L2495"/>
      <c r="M2495"/>
      <c r="N2495"/>
      <c r="O2495"/>
      <c r="P2495"/>
      <c r="Q2495"/>
      <c r="R2495"/>
      <c r="S2495"/>
    </row>
    <row r="2496" spans="1:19" ht="15" x14ac:dyDescent="0.2">
      <c r="A2496"/>
      <c r="B2496"/>
      <c r="C2496"/>
      <c r="D2496"/>
      <c r="E2496"/>
      <c r="F2496"/>
      <c r="G2496"/>
      <c r="H2496"/>
      <c r="I2496"/>
      <c r="J2496"/>
      <c r="K2496"/>
      <c r="L2496"/>
      <c r="M2496"/>
      <c r="N2496"/>
      <c r="O2496"/>
      <c r="P2496"/>
      <c r="Q2496"/>
      <c r="R2496"/>
      <c r="S2496"/>
    </row>
    <row r="2497" spans="1:19" ht="15" x14ac:dyDescent="0.2">
      <c r="A2497"/>
      <c r="B2497"/>
      <c r="C2497"/>
      <c r="D2497"/>
      <c r="E2497"/>
      <c r="F2497"/>
      <c r="G2497"/>
      <c r="H2497"/>
      <c r="I2497"/>
      <c r="J2497"/>
      <c r="K2497"/>
      <c r="L2497"/>
      <c r="M2497"/>
      <c r="N2497"/>
      <c r="O2497"/>
      <c r="P2497"/>
      <c r="Q2497"/>
      <c r="R2497"/>
      <c r="S2497"/>
    </row>
    <row r="2498" spans="1:19" ht="15" x14ac:dyDescent="0.2">
      <c r="A2498"/>
      <c r="B2498"/>
      <c r="C2498"/>
      <c r="D2498"/>
      <c r="E2498"/>
      <c r="F2498"/>
      <c r="G2498"/>
      <c r="H2498"/>
      <c r="I2498"/>
      <c r="J2498"/>
      <c r="K2498"/>
      <c r="L2498"/>
      <c r="M2498"/>
      <c r="N2498"/>
      <c r="O2498"/>
      <c r="P2498"/>
      <c r="Q2498"/>
      <c r="R2498"/>
      <c r="S2498"/>
    </row>
    <row r="2499" spans="1:19" ht="15" x14ac:dyDescent="0.2">
      <c r="A2499"/>
      <c r="B2499"/>
      <c r="C2499"/>
      <c r="D2499"/>
      <c r="E2499"/>
      <c r="F2499"/>
      <c r="G2499"/>
      <c r="H2499"/>
      <c r="I2499"/>
      <c r="J2499"/>
      <c r="K2499"/>
      <c r="L2499"/>
      <c r="M2499"/>
      <c r="N2499"/>
      <c r="O2499"/>
      <c r="P2499"/>
      <c r="Q2499"/>
      <c r="R2499"/>
      <c r="S2499"/>
    </row>
    <row r="2500" spans="1:19" ht="15" x14ac:dyDescent="0.2">
      <c r="A2500"/>
      <c r="B2500"/>
      <c r="C2500"/>
      <c r="D2500"/>
      <c r="E2500"/>
      <c r="F2500"/>
      <c r="G2500"/>
      <c r="H2500"/>
      <c r="I2500"/>
      <c r="J2500"/>
      <c r="K2500"/>
      <c r="L2500"/>
      <c r="M2500"/>
      <c r="N2500"/>
      <c r="O2500"/>
      <c r="P2500"/>
      <c r="Q2500"/>
      <c r="R2500"/>
      <c r="S2500"/>
    </row>
    <row r="2501" spans="1:19" ht="15" x14ac:dyDescent="0.2">
      <c r="A2501"/>
      <c r="B2501"/>
      <c r="C2501"/>
      <c r="D2501"/>
      <c r="E2501"/>
      <c r="F2501"/>
      <c r="G2501"/>
      <c r="H2501"/>
      <c r="I2501"/>
      <c r="J2501"/>
      <c r="K2501"/>
      <c r="L2501"/>
      <c r="M2501"/>
      <c r="N2501"/>
      <c r="O2501"/>
      <c r="P2501"/>
      <c r="Q2501"/>
      <c r="R2501"/>
      <c r="S2501"/>
    </row>
    <row r="2502" spans="1:19" ht="15" x14ac:dyDescent="0.2">
      <c r="A2502"/>
      <c r="B2502"/>
      <c r="C2502"/>
      <c r="D2502"/>
      <c r="E2502"/>
      <c r="F2502"/>
      <c r="G2502"/>
      <c r="H2502"/>
      <c r="I2502"/>
      <c r="J2502"/>
      <c r="K2502"/>
      <c r="L2502"/>
      <c r="M2502"/>
      <c r="N2502"/>
      <c r="O2502"/>
      <c r="P2502"/>
      <c r="Q2502"/>
      <c r="R2502"/>
      <c r="S2502"/>
    </row>
    <row r="2503" spans="1:19" ht="15" x14ac:dyDescent="0.2">
      <c r="A2503"/>
      <c r="B2503"/>
      <c r="C2503"/>
      <c r="D2503"/>
      <c r="E2503"/>
      <c r="F2503"/>
      <c r="G2503"/>
      <c r="H2503"/>
      <c r="I2503"/>
      <c r="J2503"/>
      <c r="K2503"/>
      <c r="L2503"/>
      <c r="M2503"/>
      <c r="N2503"/>
      <c r="O2503"/>
      <c r="P2503"/>
      <c r="Q2503"/>
      <c r="R2503"/>
      <c r="S2503"/>
    </row>
    <row r="2504" spans="1:19" ht="15" x14ac:dyDescent="0.2">
      <c r="A2504"/>
      <c r="B2504"/>
      <c r="C2504"/>
      <c r="D2504"/>
      <c r="E2504"/>
      <c r="F2504"/>
      <c r="G2504"/>
      <c r="H2504"/>
      <c r="I2504"/>
      <c r="J2504"/>
      <c r="K2504"/>
      <c r="L2504"/>
      <c r="M2504"/>
      <c r="N2504"/>
      <c r="O2504"/>
      <c r="P2504"/>
      <c r="Q2504"/>
      <c r="R2504"/>
      <c r="S2504"/>
    </row>
    <row r="2505" spans="1:19" ht="15" x14ac:dyDescent="0.2">
      <c r="A2505"/>
      <c r="B2505"/>
      <c r="C2505"/>
      <c r="D2505"/>
      <c r="E2505"/>
      <c r="F2505"/>
      <c r="G2505"/>
      <c r="H2505"/>
      <c r="I2505"/>
      <c r="J2505"/>
      <c r="K2505"/>
      <c r="L2505"/>
      <c r="M2505"/>
      <c r="N2505"/>
      <c r="O2505"/>
      <c r="P2505"/>
      <c r="Q2505"/>
      <c r="R2505"/>
      <c r="S2505"/>
    </row>
    <row r="2506" spans="1:19" ht="15" x14ac:dyDescent="0.2">
      <c r="A2506"/>
      <c r="B2506"/>
      <c r="C2506"/>
      <c r="D2506"/>
      <c r="E2506"/>
      <c r="F2506"/>
      <c r="G2506"/>
      <c r="H2506"/>
      <c r="I2506"/>
      <c r="J2506"/>
      <c r="K2506"/>
      <c r="L2506"/>
      <c r="M2506"/>
      <c r="N2506"/>
      <c r="O2506"/>
      <c r="P2506"/>
      <c r="Q2506"/>
      <c r="R2506"/>
      <c r="S2506"/>
    </row>
    <row r="2507" spans="1:19" ht="15" x14ac:dyDescent="0.2">
      <c r="A2507"/>
      <c r="B2507"/>
      <c r="C2507"/>
      <c r="D2507"/>
      <c r="E2507"/>
      <c r="F2507"/>
      <c r="G2507"/>
      <c r="H2507"/>
      <c r="I2507"/>
      <c r="J2507"/>
      <c r="K2507"/>
      <c r="L2507"/>
      <c r="M2507"/>
      <c r="N2507"/>
      <c r="O2507"/>
      <c r="P2507"/>
      <c r="Q2507"/>
      <c r="R2507"/>
      <c r="S2507"/>
    </row>
    <row r="2508" spans="1:19" ht="15" x14ac:dyDescent="0.2">
      <c r="A2508"/>
      <c r="B2508"/>
      <c r="C2508"/>
      <c r="D2508"/>
      <c r="E2508"/>
      <c r="F2508"/>
      <c r="G2508"/>
      <c r="H2508"/>
      <c r="I2508"/>
      <c r="J2508"/>
      <c r="K2508"/>
      <c r="L2508"/>
      <c r="M2508"/>
      <c r="N2508"/>
      <c r="O2508"/>
      <c r="P2508"/>
      <c r="Q2508"/>
      <c r="R2508"/>
      <c r="S2508"/>
    </row>
    <row r="2509" spans="1:19" ht="15" x14ac:dyDescent="0.2">
      <c r="A2509"/>
      <c r="B2509"/>
      <c r="C2509"/>
      <c r="D2509"/>
      <c r="E2509"/>
      <c r="F2509"/>
      <c r="G2509"/>
      <c r="H2509"/>
      <c r="I2509"/>
      <c r="J2509"/>
      <c r="K2509"/>
      <c r="L2509"/>
      <c r="M2509"/>
      <c r="N2509"/>
      <c r="O2509"/>
      <c r="P2509"/>
      <c r="Q2509"/>
      <c r="R2509"/>
      <c r="S2509"/>
    </row>
    <row r="2510" spans="1:19" ht="15" x14ac:dyDescent="0.2">
      <c r="A2510"/>
      <c r="B2510"/>
      <c r="C2510"/>
      <c r="D2510"/>
      <c r="E2510"/>
      <c r="F2510"/>
      <c r="G2510"/>
      <c r="H2510"/>
      <c r="I2510"/>
      <c r="J2510"/>
      <c r="K2510"/>
      <c r="L2510"/>
      <c r="M2510"/>
      <c r="N2510"/>
      <c r="O2510"/>
      <c r="P2510"/>
      <c r="Q2510"/>
      <c r="R2510"/>
      <c r="S2510"/>
    </row>
    <row r="2511" spans="1:19" ht="15" x14ac:dyDescent="0.2">
      <c r="A2511"/>
      <c r="B2511"/>
      <c r="C2511"/>
      <c r="D2511"/>
      <c r="E2511"/>
      <c r="F2511"/>
      <c r="G2511"/>
      <c r="H2511"/>
      <c r="I2511"/>
      <c r="J2511"/>
      <c r="K2511"/>
      <c r="L2511"/>
      <c r="M2511"/>
      <c r="N2511"/>
      <c r="O2511"/>
      <c r="P2511"/>
      <c r="Q2511"/>
      <c r="R2511"/>
      <c r="S2511"/>
    </row>
    <row r="2512" spans="1:19" ht="15" x14ac:dyDescent="0.2">
      <c r="A2512"/>
      <c r="B2512"/>
      <c r="C2512"/>
      <c r="D2512"/>
      <c r="E2512"/>
      <c r="F2512"/>
      <c r="G2512"/>
      <c r="H2512"/>
      <c r="I2512"/>
      <c r="J2512"/>
      <c r="K2512"/>
      <c r="L2512"/>
      <c r="M2512"/>
      <c r="N2512"/>
      <c r="O2512"/>
      <c r="P2512"/>
      <c r="Q2512"/>
      <c r="R2512"/>
      <c r="S2512"/>
    </row>
    <row r="2513" spans="1:19" ht="15" x14ac:dyDescent="0.2">
      <c r="A2513"/>
      <c r="B2513"/>
      <c r="C2513"/>
      <c r="D2513"/>
      <c r="E2513"/>
      <c r="F2513"/>
      <c r="G2513"/>
      <c r="H2513"/>
      <c r="I2513"/>
      <c r="J2513"/>
      <c r="K2513"/>
      <c r="L2513"/>
      <c r="M2513"/>
      <c r="N2513"/>
      <c r="O2513"/>
      <c r="P2513"/>
      <c r="Q2513"/>
      <c r="R2513"/>
      <c r="S2513"/>
    </row>
    <row r="2514" spans="1:19" ht="15" x14ac:dyDescent="0.2">
      <c r="A2514"/>
      <c r="B2514"/>
      <c r="C2514"/>
      <c r="D2514"/>
      <c r="E2514"/>
      <c r="F2514"/>
      <c r="G2514"/>
      <c r="H2514"/>
      <c r="I2514"/>
      <c r="J2514"/>
      <c r="K2514"/>
      <c r="L2514"/>
      <c r="M2514"/>
      <c r="N2514"/>
      <c r="O2514"/>
      <c r="P2514"/>
      <c r="Q2514"/>
      <c r="R2514"/>
      <c r="S2514"/>
    </row>
    <row r="2515" spans="1:19" ht="15" x14ac:dyDescent="0.2">
      <c r="A2515"/>
      <c r="B2515"/>
      <c r="C2515"/>
      <c r="D2515"/>
      <c r="E2515"/>
      <c r="F2515"/>
      <c r="G2515"/>
      <c r="H2515"/>
      <c r="I2515"/>
      <c r="J2515"/>
      <c r="K2515"/>
      <c r="L2515"/>
      <c r="M2515"/>
      <c r="N2515"/>
      <c r="O2515"/>
      <c r="P2515"/>
      <c r="Q2515"/>
      <c r="R2515"/>
      <c r="S2515"/>
    </row>
    <row r="2516" spans="1:19" ht="15" x14ac:dyDescent="0.2">
      <c r="A2516"/>
      <c r="B2516"/>
      <c r="C2516"/>
      <c r="D2516"/>
      <c r="E2516"/>
      <c r="F2516"/>
      <c r="G2516"/>
      <c r="H2516"/>
      <c r="I2516"/>
      <c r="J2516"/>
      <c r="K2516"/>
      <c r="L2516"/>
      <c r="M2516"/>
      <c r="N2516"/>
      <c r="O2516"/>
      <c r="P2516"/>
      <c r="Q2516"/>
      <c r="R2516"/>
      <c r="S2516"/>
    </row>
    <row r="2517" spans="1:19" ht="15" x14ac:dyDescent="0.2">
      <c r="A2517"/>
      <c r="B2517"/>
      <c r="C2517"/>
      <c r="D2517"/>
      <c r="E2517"/>
      <c r="F2517"/>
      <c r="G2517"/>
      <c r="H2517"/>
      <c r="I2517"/>
      <c r="J2517"/>
      <c r="K2517"/>
      <c r="L2517"/>
      <c r="M2517"/>
      <c r="N2517"/>
      <c r="O2517"/>
      <c r="P2517"/>
      <c r="Q2517"/>
      <c r="R2517"/>
      <c r="S2517"/>
    </row>
    <row r="2518" spans="1:19" ht="15" x14ac:dyDescent="0.2">
      <c r="A2518"/>
      <c r="B2518"/>
      <c r="C2518"/>
      <c r="D2518"/>
      <c r="E2518"/>
      <c r="F2518"/>
      <c r="G2518"/>
      <c r="H2518"/>
      <c r="I2518"/>
      <c r="J2518"/>
      <c r="K2518"/>
      <c r="L2518"/>
      <c r="M2518"/>
      <c r="N2518"/>
      <c r="O2518"/>
      <c r="P2518"/>
      <c r="Q2518"/>
      <c r="R2518"/>
      <c r="S2518"/>
    </row>
    <row r="2519" spans="1:19" ht="15" x14ac:dyDescent="0.2">
      <c r="A2519"/>
      <c r="B2519"/>
      <c r="C2519"/>
      <c r="D2519"/>
      <c r="E2519"/>
      <c r="F2519"/>
      <c r="G2519"/>
      <c r="H2519"/>
      <c r="I2519"/>
      <c r="J2519"/>
      <c r="K2519"/>
      <c r="L2519"/>
      <c r="M2519"/>
      <c r="N2519"/>
      <c r="O2519"/>
      <c r="P2519"/>
      <c r="Q2519"/>
      <c r="R2519"/>
      <c r="S2519"/>
    </row>
    <row r="2520" spans="1:19" ht="15" x14ac:dyDescent="0.2">
      <c r="A2520"/>
      <c r="B2520"/>
      <c r="C2520"/>
      <c r="D2520"/>
      <c r="E2520"/>
      <c r="F2520"/>
      <c r="G2520"/>
      <c r="H2520"/>
      <c r="I2520"/>
      <c r="J2520"/>
      <c r="K2520"/>
      <c r="L2520"/>
      <c r="M2520"/>
      <c r="N2520"/>
      <c r="O2520"/>
      <c r="P2520"/>
      <c r="Q2520"/>
      <c r="R2520"/>
      <c r="S2520"/>
    </row>
    <row r="2521" spans="1:19" ht="15" x14ac:dyDescent="0.2">
      <c r="A2521"/>
      <c r="B2521"/>
      <c r="C2521"/>
      <c r="D2521"/>
      <c r="E2521"/>
      <c r="F2521"/>
      <c r="G2521"/>
      <c r="H2521"/>
      <c r="I2521"/>
      <c r="J2521"/>
      <c r="K2521"/>
      <c r="L2521"/>
      <c r="M2521"/>
      <c r="N2521"/>
      <c r="O2521"/>
      <c r="P2521"/>
      <c r="Q2521"/>
      <c r="R2521"/>
      <c r="S2521"/>
    </row>
    <row r="2522" spans="1:19" ht="15" x14ac:dyDescent="0.2">
      <c r="A2522"/>
      <c r="B2522"/>
      <c r="C2522"/>
      <c r="D2522"/>
      <c r="E2522"/>
      <c r="F2522"/>
      <c r="G2522"/>
      <c r="H2522"/>
      <c r="I2522"/>
      <c r="J2522"/>
      <c r="K2522"/>
      <c r="L2522"/>
      <c r="M2522"/>
      <c r="N2522"/>
      <c r="O2522"/>
      <c r="P2522"/>
      <c r="Q2522"/>
      <c r="R2522"/>
      <c r="S2522"/>
    </row>
    <row r="2523" spans="1:19" ht="15" x14ac:dyDescent="0.2">
      <c r="A2523"/>
      <c r="B2523"/>
      <c r="C2523"/>
      <c r="D2523"/>
      <c r="E2523"/>
      <c r="F2523"/>
      <c r="G2523"/>
      <c r="H2523"/>
      <c r="I2523"/>
      <c r="J2523"/>
      <c r="K2523"/>
      <c r="L2523"/>
      <c r="M2523"/>
      <c r="N2523"/>
      <c r="O2523"/>
      <c r="P2523"/>
      <c r="Q2523"/>
      <c r="R2523"/>
      <c r="S2523"/>
    </row>
    <row r="2524" spans="1:19" ht="15" x14ac:dyDescent="0.2">
      <c r="A2524"/>
      <c r="B2524"/>
      <c r="C2524"/>
      <c r="D2524"/>
      <c r="E2524"/>
      <c r="F2524"/>
      <c r="G2524"/>
      <c r="H2524"/>
      <c r="I2524"/>
      <c r="J2524"/>
      <c r="K2524"/>
      <c r="L2524"/>
      <c r="M2524"/>
      <c r="N2524"/>
      <c r="O2524"/>
      <c r="P2524"/>
      <c r="Q2524"/>
      <c r="R2524"/>
      <c r="S2524"/>
    </row>
    <row r="2525" spans="1:19" ht="15" x14ac:dyDescent="0.2">
      <c r="A2525"/>
      <c r="B2525"/>
      <c r="C2525"/>
      <c r="D2525"/>
      <c r="E2525"/>
      <c r="F2525"/>
      <c r="G2525"/>
      <c r="H2525"/>
      <c r="I2525"/>
      <c r="J2525"/>
      <c r="K2525"/>
      <c r="L2525"/>
      <c r="M2525"/>
      <c r="N2525"/>
      <c r="O2525"/>
      <c r="P2525"/>
      <c r="Q2525"/>
      <c r="R2525"/>
      <c r="S2525"/>
    </row>
    <row r="2526" spans="1:19" ht="15" x14ac:dyDescent="0.2">
      <c r="A2526"/>
      <c r="B2526"/>
      <c r="C2526"/>
      <c r="D2526"/>
      <c r="E2526"/>
      <c r="F2526"/>
      <c r="G2526"/>
      <c r="H2526"/>
      <c r="I2526"/>
      <c r="J2526"/>
      <c r="K2526"/>
      <c r="L2526"/>
      <c r="M2526"/>
      <c r="N2526"/>
      <c r="O2526"/>
      <c r="P2526"/>
      <c r="Q2526"/>
      <c r="R2526"/>
      <c r="S2526"/>
    </row>
    <row r="2527" spans="1:19" ht="15" x14ac:dyDescent="0.2">
      <c r="A2527"/>
      <c r="B2527"/>
      <c r="C2527"/>
      <c r="D2527"/>
      <c r="E2527"/>
      <c r="F2527"/>
      <c r="G2527"/>
      <c r="H2527"/>
      <c r="I2527"/>
      <c r="J2527"/>
      <c r="K2527"/>
      <c r="L2527"/>
      <c r="M2527"/>
      <c r="N2527"/>
      <c r="O2527"/>
      <c r="P2527"/>
      <c r="Q2527"/>
      <c r="R2527"/>
      <c r="S2527"/>
    </row>
    <row r="2528" spans="1:19" ht="15" x14ac:dyDescent="0.2">
      <c r="A2528"/>
      <c r="B2528"/>
      <c r="C2528"/>
      <c r="D2528"/>
      <c r="E2528"/>
      <c r="F2528"/>
      <c r="G2528"/>
      <c r="H2528"/>
      <c r="I2528"/>
      <c r="J2528"/>
      <c r="K2528"/>
      <c r="L2528"/>
      <c r="M2528"/>
      <c r="N2528"/>
      <c r="O2528"/>
      <c r="P2528"/>
      <c r="Q2528"/>
      <c r="R2528"/>
      <c r="S2528"/>
    </row>
    <row r="2529" spans="1:19" ht="15" x14ac:dyDescent="0.2">
      <c r="A2529"/>
      <c r="B2529"/>
      <c r="C2529"/>
      <c r="D2529"/>
      <c r="E2529"/>
      <c r="F2529"/>
      <c r="G2529"/>
      <c r="H2529"/>
      <c r="I2529"/>
      <c r="J2529"/>
      <c r="K2529"/>
      <c r="L2529"/>
      <c r="M2529"/>
      <c r="N2529"/>
      <c r="O2529"/>
      <c r="P2529"/>
      <c r="Q2529"/>
      <c r="R2529"/>
      <c r="S2529"/>
    </row>
    <row r="2530" spans="1:19" ht="15" x14ac:dyDescent="0.2">
      <c r="A2530"/>
      <c r="B2530"/>
      <c r="C2530"/>
      <c r="D2530"/>
      <c r="E2530"/>
      <c r="F2530"/>
      <c r="G2530"/>
      <c r="H2530"/>
      <c r="I2530"/>
      <c r="J2530"/>
      <c r="K2530"/>
      <c r="L2530"/>
      <c r="M2530"/>
      <c r="N2530"/>
      <c r="O2530"/>
      <c r="P2530"/>
      <c r="Q2530"/>
      <c r="R2530"/>
      <c r="S2530"/>
    </row>
    <row r="2531" spans="1:19" ht="15" x14ac:dyDescent="0.2">
      <c r="A2531"/>
      <c r="B2531"/>
      <c r="C2531"/>
      <c r="D2531"/>
      <c r="E2531"/>
      <c r="F2531"/>
      <c r="G2531"/>
      <c r="H2531"/>
      <c r="I2531"/>
      <c r="J2531"/>
      <c r="K2531"/>
      <c r="L2531"/>
      <c r="M2531"/>
      <c r="N2531"/>
      <c r="O2531"/>
      <c r="P2531"/>
      <c r="Q2531"/>
      <c r="R2531"/>
      <c r="S2531"/>
    </row>
    <row r="2532" spans="1:19" ht="15" x14ac:dyDescent="0.2">
      <c r="A2532"/>
      <c r="B2532"/>
      <c r="C2532"/>
      <c r="D2532"/>
      <c r="E2532"/>
      <c r="F2532"/>
      <c r="G2532"/>
      <c r="H2532"/>
      <c r="I2532"/>
      <c r="J2532"/>
      <c r="K2532"/>
      <c r="L2532"/>
      <c r="M2532"/>
      <c r="N2532"/>
      <c r="O2532"/>
      <c r="P2532"/>
      <c r="Q2532"/>
      <c r="R2532"/>
      <c r="S2532"/>
    </row>
    <row r="2533" spans="1:19" ht="15" x14ac:dyDescent="0.2">
      <c r="A2533"/>
      <c r="B2533"/>
      <c r="C2533"/>
      <c r="D2533"/>
      <c r="E2533"/>
      <c r="F2533"/>
      <c r="G2533"/>
      <c r="H2533"/>
      <c r="I2533"/>
      <c r="J2533"/>
      <c r="K2533"/>
      <c r="L2533"/>
      <c r="M2533"/>
      <c r="N2533"/>
      <c r="O2533"/>
      <c r="P2533"/>
      <c r="Q2533"/>
      <c r="R2533"/>
      <c r="S2533"/>
    </row>
    <row r="2534" spans="1:19" ht="15" x14ac:dyDescent="0.2">
      <c r="A2534"/>
      <c r="B2534"/>
      <c r="C2534"/>
      <c r="D2534"/>
      <c r="E2534"/>
      <c r="F2534"/>
      <c r="G2534"/>
      <c r="H2534"/>
      <c r="I2534"/>
      <c r="J2534"/>
      <c r="K2534"/>
      <c r="L2534"/>
      <c r="M2534"/>
      <c r="N2534"/>
      <c r="O2534"/>
      <c r="P2534"/>
      <c r="Q2534"/>
      <c r="R2534"/>
      <c r="S2534"/>
    </row>
    <row r="2535" spans="1:19" ht="15" x14ac:dyDescent="0.2">
      <c r="A2535"/>
      <c r="B2535"/>
      <c r="C2535"/>
      <c r="D2535"/>
      <c r="E2535"/>
      <c r="F2535"/>
      <c r="G2535"/>
      <c r="H2535"/>
      <c r="I2535"/>
      <c r="J2535"/>
      <c r="K2535"/>
      <c r="L2535"/>
      <c r="M2535"/>
      <c r="N2535"/>
      <c r="O2535"/>
      <c r="P2535"/>
      <c r="Q2535"/>
      <c r="R2535"/>
      <c r="S2535"/>
    </row>
    <row r="2536" spans="1:19" ht="15" x14ac:dyDescent="0.2">
      <c r="A2536"/>
      <c r="B2536"/>
      <c r="C2536"/>
      <c r="D2536"/>
      <c r="E2536"/>
      <c r="F2536"/>
      <c r="G2536"/>
      <c r="H2536"/>
      <c r="I2536"/>
      <c r="J2536"/>
      <c r="K2536"/>
      <c r="L2536"/>
      <c r="M2536"/>
      <c r="N2536"/>
      <c r="O2536"/>
      <c r="P2536"/>
      <c r="Q2536"/>
      <c r="R2536"/>
      <c r="S2536"/>
    </row>
    <row r="2537" spans="1:19" ht="15" x14ac:dyDescent="0.2">
      <c r="A2537"/>
      <c r="B2537"/>
      <c r="C2537"/>
      <c r="D2537"/>
      <c r="E2537"/>
      <c r="F2537"/>
      <c r="G2537"/>
      <c r="H2537"/>
      <c r="I2537"/>
      <c r="J2537"/>
      <c r="K2537"/>
      <c r="L2537"/>
      <c r="M2537"/>
      <c r="N2537"/>
      <c r="O2537"/>
      <c r="P2537"/>
      <c r="Q2537"/>
      <c r="R2537"/>
      <c r="S2537"/>
    </row>
    <row r="2538" spans="1:19" ht="15" x14ac:dyDescent="0.2">
      <c r="A2538"/>
      <c r="B2538"/>
      <c r="C2538"/>
      <c r="D2538"/>
      <c r="E2538"/>
      <c r="F2538"/>
      <c r="G2538"/>
      <c r="H2538"/>
      <c r="I2538"/>
      <c r="J2538"/>
      <c r="K2538"/>
      <c r="L2538"/>
      <c r="M2538"/>
      <c r="N2538"/>
      <c r="O2538"/>
      <c r="P2538"/>
      <c r="Q2538"/>
      <c r="R2538"/>
      <c r="S2538"/>
    </row>
    <row r="2539" spans="1:19" ht="15" x14ac:dyDescent="0.2">
      <c r="A2539"/>
      <c r="B2539"/>
      <c r="C2539"/>
      <c r="D2539"/>
      <c r="E2539"/>
      <c r="F2539"/>
      <c r="G2539"/>
      <c r="H2539"/>
      <c r="I2539"/>
      <c r="J2539"/>
      <c r="K2539"/>
      <c r="L2539"/>
      <c r="M2539"/>
      <c r="N2539"/>
      <c r="O2539"/>
      <c r="P2539"/>
      <c r="Q2539"/>
      <c r="R2539"/>
      <c r="S2539"/>
    </row>
    <row r="2540" spans="1:19" ht="15" x14ac:dyDescent="0.2">
      <c r="A2540"/>
      <c r="B2540"/>
      <c r="C2540"/>
      <c r="D2540"/>
      <c r="E2540"/>
      <c r="F2540"/>
      <c r="G2540"/>
      <c r="H2540"/>
      <c r="I2540"/>
      <c r="J2540"/>
      <c r="K2540"/>
      <c r="L2540"/>
      <c r="M2540"/>
      <c r="N2540"/>
      <c r="O2540"/>
      <c r="P2540"/>
      <c r="Q2540"/>
      <c r="R2540"/>
      <c r="S2540"/>
    </row>
    <row r="2541" spans="1:19" ht="15" x14ac:dyDescent="0.2">
      <c r="A2541"/>
      <c r="B2541"/>
      <c r="C2541"/>
      <c r="D2541"/>
      <c r="E2541"/>
      <c r="F2541"/>
      <c r="G2541"/>
      <c r="H2541"/>
      <c r="I2541"/>
      <c r="J2541"/>
      <c r="K2541"/>
      <c r="L2541"/>
      <c r="M2541"/>
      <c r="N2541"/>
      <c r="O2541"/>
      <c r="P2541"/>
      <c r="Q2541"/>
      <c r="R2541"/>
      <c r="S2541"/>
    </row>
    <row r="2542" spans="1:19" ht="15" x14ac:dyDescent="0.2">
      <c r="A2542"/>
      <c r="B2542"/>
      <c r="C2542"/>
      <c r="D2542"/>
      <c r="E2542"/>
      <c r="F2542"/>
      <c r="G2542"/>
      <c r="H2542"/>
      <c r="I2542"/>
      <c r="J2542"/>
      <c r="K2542"/>
      <c r="L2542"/>
      <c r="M2542"/>
      <c r="N2542"/>
      <c r="O2542"/>
      <c r="P2542"/>
      <c r="Q2542"/>
      <c r="R2542"/>
      <c r="S2542"/>
    </row>
    <row r="2543" spans="1:19" ht="15" x14ac:dyDescent="0.2">
      <c r="A2543"/>
      <c r="B2543"/>
      <c r="C2543"/>
      <c r="D2543"/>
      <c r="E2543"/>
      <c r="F2543"/>
      <c r="G2543"/>
      <c r="H2543"/>
      <c r="I2543"/>
      <c r="J2543"/>
      <c r="K2543"/>
      <c r="L2543"/>
      <c r="M2543"/>
      <c r="N2543"/>
      <c r="O2543"/>
      <c r="P2543"/>
      <c r="Q2543"/>
      <c r="R2543"/>
      <c r="S2543"/>
    </row>
    <row r="2544" spans="1:19" ht="15" x14ac:dyDescent="0.2">
      <c r="A2544"/>
      <c r="B2544"/>
      <c r="C2544"/>
      <c r="D2544"/>
      <c r="E2544"/>
      <c r="F2544"/>
      <c r="G2544"/>
      <c r="H2544"/>
      <c r="I2544"/>
      <c r="J2544"/>
      <c r="K2544"/>
      <c r="L2544"/>
      <c r="M2544"/>
      <c r="N2544"/>
      <c r="O2544"/>
      <c r="P2544"/>
      <c r="Q2544"/>
      <c r="R2544"/>
      <c r="S2544"/>
    </row>
    <row r="2545" spans="1:19" ht="15" x14ac:dyDescent="0.2">
      <c r="A2545"/>
      <c r="B2545"/>
      <c r="C2545"/>
      <c r="D2545"/>
      <c r="E2545"/>
      <c r="F2545"/>
      <c r="G2545"/>
      <c r="H2545"/>
      <c r="I2545"/>
      <c r="J2545"/>
      <c r="K2545"/>
      <c r="L2545"/>
      <c r="M2545"/>
      <c r="N2545"/>
      <c r="O2545"/>
      <c r="P2545"/>
      <c r="Q2545"/>
      <c r="R2545"/>
      <c r="S2545"/>
    </row>
    <row r="2546" spans="1:19" ht="15" x14ac:dyDescent="0.2">
      <c r="A2546"/>
      <c r="B2546"/>
      <c r="C2546"/>
      <c r="D2546"/>
      <c r="E2546"/>
      <c r="F2546"/>
      <c r="G2546"/>
      <c r="H2546"/>
      <c r="I2546"/>
      <c r="J2546"/>
      <c r="K2546"/>
      <c r="L2546"/>
      <c r="M2546"/>
      <c r="N2546"/>
      <c r="O2546"/>
      <c r="P2546"/>
      <c r="Q2546"/>
      <c r="R2546"/>
      <c r="S2546"/>
    </row>
    <row r="2547" spans="1:19" ht="15" x14ac:dyDescent="0.2">
      <c r="A2547"/>
      <c r="B2547"/>
      <c r="C2547"/>
      <c r="D2547"/>
      <c r="E2547"/>
      <c r="F2547"/>
      <c r="G2547"/>
      <c r="H2547"/>
      <c r="I2547"/>
      <c r="J2547"/>
      <c r="K2547"/>
      <c r="L2547"/>
      <c r="M2547"/>
      <c r="N2547"/>
      <c r="O2547"/>
      <c r="P2547"/>
      <c r="Q2547"/>
      <c r="R2547"/>
      <c r="S2547"/>
    </row>
    <row r="2548" spans="1:19" ht="15" x14ac:dyDescent="0.2">
      <c r="A2548"/>
      <c r="B2548"/>
      <c r="C2548"/>
      <c r="D2548"/>
      <c r="E2548"/>
      <c r="F2548"/>
      <c r="G2548"/>
      <c r="H2548"/>
      <c r="I2548"/>
      <c r="J2548"/>
      <c r="K2548"/>
      <c r="L2548"/>
      <c r="M2548"/>
      <c r="N2548"/>
      <c r="O2548"/>
      <c r="P2548"/>
      <c r="Q2548"/>
      <c r="R2548"/>
      <c r="S2548"/>
    </row>
    <row r="2549" spans="1:19" ht="15" x14ac:dyDescent="0.2">
      <c r="A2549"/>
      <c r="B2549"/>
      <c r="C2549"/>
      <c r="D2549"/>
      <c r="E2549"/>
      <c r="F2549"/>
      <c r="G2549"/>
      <c r="H2549"/>
      <c r="I2549"/>
      <c r="J2549"/>
      <c r="K2549"/>
      <c r="L2549"/>
      <c r="M2549"/>
      <c r="N2549"/>
      <c r="O2549"/>
      <c r="P2549"/>
      <c r="Q2549"/>
      <c r="R2549"/>
      <c r="S2549"/>
    </row>
    <row r="2550" spans="1:19" ht="15" x14ac:dyDescent="0.2">
      <c r="A2550"/>
      <c r="B2550"/>
      <c r="C2550"/>
      <c r="D2550"/>
      <c r="E2550"/>
      <c r="F2550"/>
      <c r="G2550"/>
      <c r="H2550"/>
      <c r="I2550"/>
      <c r="J2550"/>
      <c r="K2550"/>
      <c r="L2550"/>
      <c r="M2550"/>
      <c r="N2550"/>
      <c r="O2550"/>
      <c r="P2550"/>
      <c r="Q2550"/>
      <c r="R2550"/>
      <c r="S2550"/>
    </row>
    <row r="2551" spans="1:19" ht="15" x14ac:dyDescent="0.2">
      <c r="A2551"/>
      <c r="B2551"/>
      <c r="C2551"/>
      <c r="D2551"/>
      <c r="E2551"/>
      <c r="F2551"/>
      <c r="G2551"/>
      <c r="H2551"/>
      <c r="I2551"/>
      <c r="J2551"/>
      <c r="K2551"/>
      <c r="L2551"/>
      <c r="M2551"/>
      <c r="N2551"/>
      <c r="O2551"/>
      <c r="P2551"/>
      <c r="Q2551"/>
      <c r="R2551"/>
      <c r="S2551"/>
    </row>
    <row r="2552" spans="1:19" ht="15" x14ac:dyDescent="0.2">
      <c r="A2552"/>
      <c r="B2552"/>
      <c r="C2552"/>
      <c r="D2552"/>
      <c r="E2552"/>
      <c r="F2552"/>
      <c r="G2552"/>
      <c r="H2552"/>
      <c r="I2552"/>
      <c r="J2552"/>
      <c r="K2552"/>
      <c r="L2552"/>
      <c r="M2552"/>
      <c r="N2552"/>
      <c r="O2552"/>
      <c r="P2552"/>
      <c r="Q2552"/>
      <c r="R2552"/>
      <c r="S2552"/>
    </row>
    <row r="2553" spans="1:19" ht="15" x14ac:dyDescent="0.2">
      <c r="A2553"/>
      <c r="B2553"/>
      <c r="C2553"/>
      <c r="D2553"/>
      <c r="E2553"/>
      <c r="F2553"/>
      <c r="G2553"/>
      <c r="H2553"/>
      <c r="I2553"/>
      <c r="J2553"/>
      <c r="K2553"/>
      <c r="L2553"/>
      <c r="M2553"/>
      <c r="N2553"/>
      <c r="O2553"/>
      <c r="P2553"/>
      <c r="Q2553"/>
      <c r="R2553"/>
      <c r="S2553"/>
    </row>
    <row r="2554" spans="1:19" ht="15" x14ac:dyDescent="0.2">
      <c r="A2554"/>
      <c r="B2554"/>
      <c r="C2554"/>
      <c r="D2554"/>
      <c r="E2554"/>
      <c r="F2554"/>
      <c r="G2554"/>
      <c r="H2554"/>
      <c r="I2554"/>
      <c r="J2554"/>
      <c r="K2554"/>
      <c r="L2554"/>
      <c r="M2554"/>
      <c r="N2554"/>
      <c r="O2554"/>
      <c r="P2554"/>
      <c r="Q2554"/>
      <c r="R2554"/>
      <c r="S2554"/>
    </row>
    <row r="2555" spans="1:19" ht="15" x14ac:dyDescent="0.2">
      <c r="A2555"/>
      <c r="B2555"/>
      <c r="C2555"/>
      <c r="D2555"/>
      <c r="E2555"/>
      <c r="F2555"/>
      <c r="G2555"/>
      <c r="H2555"/>
      <c r="I2555"/>
      <c r="J2555"/>
      <c r="K2555"/>
      <c r="L2555"/>
      <c r="M2555"/>
      <c r="N2555"/>
      <c r="O2555"/>
      <c r="P2555"/>
      <c r="Q2555"/>
      <c r="R2555"/>
      <c r="S2555"/>
    </row>
    <row r="2556" spans="1:19" ht="15" x14ac:dyDescent="0.2">
      <c r="A2556"/>
      <c r="B2556"/>
      <c r="C2556"/>
      <c r="D2556"/>
      <c r="E2556"/>
      <c r="F2556"/>
      <c r="G2556"/>
      <c r="H2556"/>
      <c r="I2556"/>
      <c r="J2556"/>
      <c r="K2556"/>
      <c r="L2556"/>
      <c r="M2556"/>
      <c r="N2556"/>
      <c r="O2556"/>
      <c r="P2556"/>
      <c r="Q2556"/>
      <c r="R2556"/>
      <c r="S2556"/>
    </row>
    <row r="2557" spans="1:19" ht="15" x14ac:dyDescent="0.2">
      <c r="A2557"/>
      <c r="B2557"/>
      <c r="C2557"/>
      <c r="D2557"/>
      <c r="E2557"/>
      <c r="F2557"/>
      <c r="G2557"/>
      <c r="H2557"/>
      <c r="I2557"/>
      <c r="J2557"/>
      <c r="K2557"/>
      <c r="L2557"/>
      <c r="M2557"/>
      <c r="N2557"/>
      <c r="O2557"/>
      <c r="P2557"/>
      <c r="Q2557"/>
      <c r="R2557"/>
      <c r="S2557"/>
    </row>
    <row r="2558" spans="1:19" ht="15" x14ac:dyDescent="0.2">
      <c r="A2558"/>
      <c r="B2558"/>
      <c r="C2558"/>
      <c r="D2558"/>
      <c r="E2558"/>
      <c r="F2558"/>
      <c r="G2558"/>
      <c r="H2558"/>
      <c r="I2558"/>
      <c r="J2558"/>
      <c r="K2558"/>
      <c r="L2558"/>
      <c r="M2558"/>
      <c r="N2558"/>
      <c r="O2558"/>
      <c r="P2558"/>
      <c r="Q2558"/>
      <c r="R2558"/>
      <c r="S2558"/>
    </row>
    <row r="2559" spans="1:19" ht="15" x14ac:dyDescent="0.2">
      <c r="A2559"/>
      <c r="B2559"/>
      <c r="C2559"/>
      <c r="D2559"/>
      <c r="E2559"/>
      <c r="F2559"/>
      <c r="G2559"/>
      <c r="H2559"/>
      <c r="I2559"/>
      <c r="J2559"/>
      <c r="K2559"/>
      <c r="L2559"/>
      <c r="M2559"/>
      <c r="N2559"/>
      <c r="O2559"/>
      <c r="P2559"/>
      <c r="Q2559"/>
      <c r="R2559"/>
      <c r="S2559"/>
    </row>
    <row r="2560" spans="1:19" ht="15" x14ac:dyDescent="0.2">
      <c r="A2560"/>
      <c r="B2560"/>
      <c r="C2560"/>
      <c r="D2560"/>
      <c r="E2560"/>
      <c r="F2560"/>
      <c r="G2560"/>
      <c r="H2560"/>
      <c r="I2560"/>
      <c r="J2560"/>
      <c r="K2560"/>
      <c r="L2560"/>
      <c r="M2560"/>
      <c r="N2560"/>
      <c r="O2560"/>
      <c r="P2560"/>
      <c r="Q2560"/>
      <c r="R2560"/>
      <c r="S2560"/>
    </row>
    <row r="2561" spans="1:19" ht="15" x14ac:dyDescent="0.2">
      <c r="A2561"/>
      <c r="B2561"/>
      <c r="C2561"/>
      <c r="D2561"/>
      <c r="E2561"/>
      <c r="F2561"/>
      <c r="G2561"/>
      <c r="H2561"/>
      <c r="I2561"/>
      <c r="J2561"/>
      <c r="K2561"/>
      <c r="L2561"/>
      <c r="M2561"/>
      <c r="N2561"/>
      <c r="O2561"/>
      <c r="P2561"/>
      <c r="Q2561"/>
      <c r="R2561"/>
      <c r="S2561"/>
    </row>
    <row r="2562" spans="1:19" ht="15" x14ac:dyDescent="0.2">
      <c r="A2562"/>
      <c r="B2562"/>
      <c r="C2562"/>
      <c r="D2562"/>
      <c r="E2562"/>
      <c r="F2562"/>
      <c r="G2562"/>
      <c r="H2562"/>
      <c r="I2562"/>
      <c r="J2562"/>
      <c r="K2562"/>
      <c r="L2562"/>
      <c r="M2562"/>
      <c r="N2562"/>
      <c r="O2562"/>
      <c r="P2562"/>
      <c r="Q2562"/>
      <c r="R2562"/>
      <c r="S2562"/>
    </row>
    <row r="2563" spans="1:19" ht="15" x14ac:dyDescent="0.2">
      <c r="A2563"/>
      <c r="B2563"/>
      <c r="C2563"/>
      <c r="D2563"/>
      <c r="E2563"/>
      <c r="F2563"/>
      <c r="G2563"/>
      <c r="H2563"/>
      <c r="I2563"/>
      <c r="J2563"/>
      <c r="K2563"/>
      <c r="L2563"/>
      <c r="M2563"/>
      <c r="N2563"/>
      <c r="O2563"/>
      <c r="P2563"/>
      <c r="Q2563"/>
      <c r="R2563"/>
      <c r="S2563"/>
    </row>
    <row r="2564" spans="1:19" ht="15" x14ac:dyDescent="0.2">
      <c r="A2564"/>
      <c r="B2564"/>
      <c r="C2564"/>
      <c r="D2564"/>
      <c r="E2564"/>
      <c r="F2564"/>
      <c r="G2564"/>
      <c r="H2564"/>
      <c r="I2564"/>
      <c r="J2564"/>
      <c r="K2564"/>
      <c r="L2564"/>
      <c r="M2564"/>
      <c r="N2564"/>
      <c r="O2564"/>
      <c r="P2564"/>
      <c r="Q2564"/>
      <c r="R2564"/>
      <c r="S2564"/>
    </row>
    <row r="2565" spans="1:19" ht="15" x14ac:dyDescent="0.2">
      <c r="A2565"/>
      <c r="B2565"/>
      <c r="C2565"/>
      <c r="D2565"/>
      <c r="E2565"/>
      <c r="F2565"/>
      <c r="G2565"/>
      <c r="H2565"/>
      <c r="I2565"/>
      <c r="J2565"/>
      <c r="K2565"/>
      <c r="L2565"/>
      <c r="M2565"/>
      <c r="N2565"/>
      <c r="O2565"/>
      <c r="P2565"/>
      <c r="Q2565"/>
      <c r="R2565"/>
      <c r="S2565"/>
    </row>
    <row r="2566" spans="1:19" ht="15" x14ac:dyDescent="0.2">
      <c r="A2566"/>
      <c r="B2566"/>
      <c r="C2566"/>
      <c r="D2566"/>
      <c r="E2566"/>
      <c r="F2566"/>
      <c r="G2566"/>
      <c r="H2566"/>
      <c r="I2566"/>
      <c r="J2566"/>
      <c r="K2566"/>
      <c r="L2566"/>
      <c r="M2566"/>
      <c r="N2566"/>
      <c r="O2566"/>
      <c r="P2566"/>
      <c r="Q2566"/>
      <c r="R2566"/>
      <c r="S2566"/>
    </row>
    <row r="2567" spans="1:19" ht="15" x14ac:dyDescent="0.2">
      <c r="A2567"/>
      <c r="B2567"/>
      <c r="C2567"/>
      <c r="D2567"/>
      <c r="E2567"/>
      <c r="F2567"/>
      <c r="G2567"/>
      <c r="H2567"/>
      <c r="I2567"/>
      <c r="J2567"/>
      <c r="K2567"/>
      <c r="L2567"/>
      <c r="M2567"/>
      <c r="N2567"/>
      <c r="O2567"/>
      <c r="P2567"/>
      <c r="Q2567"/>
      <c r="R2567"/>
      <c r="S2567"/>
    </row>
    <row r="2568" spans="1:19" ht="15" x14ac:dyDescent="0.2">
      <c r="A2568"/>
      <c r="B2568"/>
      <c r="C2568"/>
      <c r="D2568"/>
      <c r="E2568"/>
      <c r="F2568"/>
      <c r="G2568"/>
      <c r="H2568"/>
      <c r="I2568"/>
      <c r="J2568"/>
      <c r="K2568"/>
      <c r="L2568"/>
      <c r="M2568"/>
      <c r="N2568"/>
      <c r="O2568"/>
      <c r="P2568"/>
      <c r="Q2568"/>
      <c r="R2568"/>
      <c r="S2568"/>
    </row>
    <row r="2569" spans="1:19" ht="15" x14ac:dyDescent="0.2">
      <c r="A2569"/>
      <c r="B2569"/>
      <c r="C2569"/>
      <c r="D2569"/>
      <c r="E2569"/>
      <c r="F2569"/>
      <c r="G2569"/>
      <c r="H2569"/>
      <c r="I2569"/>
      <c r="J2569"/>
      <c r="K2569"/>
      <c r="L2569"/>
      <c r="M2569"/>
      <c r="N2569"/>
      <c r="O2569"/>
      <c r="P2569"/>
      <c r="Q2569"/>
      <c r="R2569"/>
      <c r="S2569"/>
    </row>
    <row r="2570" spans="1:19" ht="15" x14ac:dyDescent="0.2">
      <c r="A2570"/>
      <c r="B2570"/>
      <c r="C2570"/>
      <c r="D2570"/>
      <c r="E2570"/>
      <c r="F2570"/>
      <c r="G2570"/>
      <c r="H2570"/>
      <c r="I2570"/>
      <c r="J2570"/>
      <c r="K2570"/>
      <c r="L2570"/>
      <c r="M2570"/>
      <c r="N2570"/>
      <c r="O2570"/>
      <c r="P2570"/>
      <c r="Q2570"/>
      <c r="R2570"/>
      <c r="S2570"/>
    </row>
    <row r="2571" spans="1:19" ht="15" x14ac:dyDescent="0.2">
      <c r="A2571"/>
      <c r="B2571"/>
      <c r="C2571"/>
      <c r="D2571"/>
      <c r="E2571"/>
      <c r="F2571"/>
      <c r="G2571"/>
      <c r="H2571"/>
      <c r="I2571"/>
      <c r="J2571"/>
      <c r="K2571"/>
      <c r="L2571"/>
      <c r="M2571"/>
      <c r="N2571"/>
      <c r="O2571"/>
      <c r="P2571"/>
      <c r="Q2571"/>
      <c r="R2571"/>
      <c r="S2571"/>
    </row>
    <row r="2572" spans="1:19" ht="15" x14ac:dyDescent="0.2">
      <c r="A2572"/>
      <c r="B2572"/>
      <c r="C2572"/>
      <c r="D2572"/>
      <c r="E2572"/>
      <c r="F2572"/>
      <c r="G2572"/>
      <c r="H2572"/>
      <c r="I2572"/>
      <c r="J2572"/>
      <c r="K2572"/>
      <c r="L2572"/>
      <c r="M2572"/>
      <c r="N2572"/>
      <c r="O2572"/>
      <c r="P2572"/>
      <c r="Q2572"/>
      <c r="R2572"/>
      <c r="S2572"/>
    </row>
    <row r="2573" spans="1:19" ht="15" x14ac:dyDescent="0.2">
      <c r="A2573"/>
      <c r="B2573"/>
      <c r="C2573"/>
      <c r="D2573"/>
      <c r="E2573"/>
      <c r="F2573"/>
      <c r="G2573"/>
      <c r="H2573"/>
      <c r="I2573"/>
      <c r="J2573"/>
      <c r="K2573"/>
      <c r="L2573"/>
      <c r="M2573"/>
      <c r="N2573"/>
      <c r="O2573"/>
      <c r="P2573"/>
      <c r="Q2573"/>
      <c r="R2573"/>
      <c r="S2573"/>
    </row>
    <row r="2574" spans="1:19" ht="15" x14ac:dyDescent="0.2">
      <c r="A2574"/>
      <c r="B2574"/>
      <c r="C2574"/>
      <c r="D2574"/>
      <c r="E2574"/>
      <c r="F2574"/>
      <c r="G2574"/>
      <c r="H2574"/>
      <c r="I2574"/>
      <c r="J2574"/>
      <c r="K2574"/>
      <c r="L2574"/>
      <c r="M2574"/>
      <c r="N2574"/>
      <c r="O2574"/>
      <c r="P2574"/>
      <c r="Q2574"/>
      <c r="R2574"/>
      <c r="S2574"/>
    </row>
    <row r="2575" spans="1:19" ht="15" x14ac:dyDescent="0.2">
      <c r="A2575"/>
      <c r="B2575"/>
      <c r="C2575"/>
      <c r="D2575"/>
      <c r="E2575"/>
      <c r="F2575"/>
      <c r="G2575"/>
      <c r="H2575"/>
      <c r="I2575"/>
      <c r="J2575"/>
      <c r="K2575"/>
      <c r="L2575"/>
      <c r="M2575"/>
      <c r="N2575"/>
      <c r="O2575"/>
      <c r="P2575"/>
      <c r="Q2575"/>
      <c r="R2575"/>
      <c r="S2575"/>
    </row>
    <row r="2576" spans="1:19" ht="15" x14ac:dyDescent="0.2">
      <c r="A2576"/>
      <c r="B2576"/>
      <c r="C2576"/>
      <c r="D2576"/>
      <c r="E2576"/>
      <c r="F2576"/>
      <c r="G2576"/>
      <c r="H2576"/>
      <c r="I2576"/>
      <c r="J2576"/>
      <c r="K2576"/>
      <c r="L2576"/>
      <c r="M2576"/>
      <c r="N2576"/>
      <c r="O2576"/>
      <c r="P2576"/>
      <c r="Q2576"/>
      <c r="R2576"/>
      <c r="S2576"/>
    </row>
    <row r="2577" spans="1:19" ht="15" x14ac:dyDescent="0.2">
      <c r="A2577"/>
      <c r="B2577"/>
      <c r="C2577"/>
      <c r="D2577"/>
      <c r="E2577"/>
      <c r="F2577"/>
      <c r="G2577"/>
      <c r="H2577"/>
      <c r="I2577"/>
      <c r="J2577"/>
      <c r="K2577"/>
      <c r="L2577"/>
      <c r="M2577"/>
      <c r="N2577"/>
      <c r="O2577"/>
      <c r="P2577"/>
      <c r="Q2577"/>
      <c r="R2577"/>
      <c r="S2577"/>
    </row>
    <row r="2578" spans="1:19" ht="15" x14ac:dyDescent="0.2">
      <c r="A2578"/>
      <c r="B2578"/>
      <c r="C2578"/>
      <c r="D2578"/>
      <c r="E2578"/>
      <c r="F2578"/>
      <c r="G2578"/>
      <c r="H2578"/>
      <c r="I2578"/>
      <c r="J2578"/>
      <c r="K2578"/>
      <c r="L2578"/>
      <c r="M2578"/>
      <c r="N2578"/>
      <c r="O2578"/>
      <c r="P2578"/>
      <c r="Q2578"/>
      <c r="R2578"/>
      <c r="S2578"/>
    </row>
    <row r="2579" spans="1:19" ht="15" x14ac:dyDescent="0.2">
      <c r="A2579"/>
      <c r="B2579"/>
      <c r="C2579"/>
      <c r="D2579"/>
      <c r="E2579"/>
      <c r="F2579"/>
      <c r="G2579"/>
      <c r="H2579"/>
      <c r="I2579"/>
      <c r="J2579"/>
      <c r="K2579"/>
      <c r="L2579"/>
      <c r="M2579"/>
      <c r="N2579"/>
      <c r="O2579"/>
      <c r="P2579"/>
      <c r="Q2579"/>
      <c r="R2579"/>
      <c r="S2579"/>
    </row>
    <row r="2580" spans="1:19" ht="15" x14ac:dyDescent="0.2">
      <c r="A2580"/>
      <c r="B2580"/>
      <c r="C2580"/>
      <c r="D2580"/>
      <c r="E2580"/>
      <c r="F2580"/>
      <c r="G2580"/>
      <c r="H2580"/>
      <c r="I2580"/>
      <c r="J2580"/>
      <c r="K2580"/>
      <c r="L2580"/>
      <c r="M2580"/>
      <c r="N2580"/>
      <c r="O2580"/>
      <c r="P2580"/>
      <c r="Q2580"/>
      <c r="R2580"/>
      <c r="S2580"/>
    </row>
    <row r="2581" spans="1:19" ht="15" x14ac:dyDescent="0.2">
      <c r="A2581"/>
      <c r="B2581"/>
      <c r="C2581"/>
      <c r="D2581"/>
      <c r="E2581"/>
      <c r="F2581"/>
      <c r="G2581"/>
      <c r="H2581"/>
      <c r="I2581"/>
      <c r="J2581"/>
      <c r="K2581"/>
      <c r="L2581"/>
      <c r="M2581"/>
      <c r="N2581"/>
      <c r="O2581"/>
      <c r="P2581"/>
      <c r="Q2581"/>
      <c r="R2581"/>
      <c r="S2581"/>
    </row>
    <row r="2582" spans="1:19" ht="15" x14ac:dyDescent="0.2">
      <c r="A2582"/>
      <c r="B2582"/>
      <c r="C2582"/>
      <c r="D2582"/>
      <c r="E2582"/>
      <c r="F2582"/>
      <c r="G2582"/>
      <c r="H2582"/>
      <c r="I2582"/>
      <c r="J2582"/>
      <c r="K2582"/>
      <c r="L2582"/>
      <c r="M2582"/>
      <c r="N2582"/>
      <c r="O2582"/>
      <c r="P2582"/>
      <c r="Q2582"/>
      <c r="R2582"/>
      <c r="S2582"/>
    </row>
    <row r="2583" spans="1:19" ht="15" x14ac:dyDescent="0.2">
      <c r="A2583"/>
      <c r="B2583"/>
      <c r="C2583"/>
      <c r="D2583"/>
      <c r="E2583"/>
      <c r="F2583"/>
      <c r="G2583"/>
      <c r="H2583"/>
      <c r="I2583"/>
      <c r="J2583"/>
      <c r="K2583"/>
      <c r="L2583"/>
      <c r="M2583"/>
      <c r="N2583"/>
      <c r="O2583"/>
      <c r="P2583"/>
      <c r="Q2583"/>
      <c r="R2583"/>
      <c r="S2583"/>
    </row>
    <row r="2584" spans="1:19" ht="15" x14ac:dyDescent="0.2">
      <c r="A2584"/>
      <c r="B2584"/>
      <c r="C2584"/>
      <c r="D2584"/>
      <c r="E2584"/>
      <c r="F2584"/>
      <c r="G2584"/>
      <c r="H2584"/>
      <c r="I2584"/>
      <c r="J2584"/>
      <c r="K2584"/>
      <c r="L2584"/>
      <c r="M2584"/>
      <c r="N2584"/>
      <c r="O2584"/>
      <c r="P2584"/>
      <c r="Q2584"/>
      <c r="R2584"/>
      <c r="S2584"/>
    </row>
    <row r="2585" spans="1:19" ht="15" x14ac:dyDescent="0.2">
      <c r="A2585"/>
      <c r="B2585"/>
      <c r="C2585"/>
      <c r="D2585"/>
      <c r="E2585"/>
      <c r="F2585"/>
      <c r="G2585"/>
      <c r="H2585"/>
      <c r="I2585"/>
      <c r="J2585"/>
      <c r="K2585"/>
      <c r="L2585"/>
      <c r="M2585"/>
      <c r="N2585"/>
      <c r="O2585"/>
      <c r="P2585"/>
      <c r="Q2585"/>
      <c r="R2585"/>
      <c r="S2585"/>
    </row>
    <row r="2586" spans="1:19" ht="15" x14ac:dyDescent="0.2">
      <c r="A2586"/>
      <c r="B2586"/>
      <c r="C2586"/>
      <c r="D2586"/>
      <c r="E2586"/>
      <c r="F2586"/>
      <c r="G2586"/>
      <c r="H2586"/>
      <c r="I2586"/>
      <c r="J2586"/>
      <c r="K2586"/>
      <c r="L2586"/>
      <c r="M2586"/>
      <c r="N2586"/>
      <c r="O2586"/>
      <c r="P2586"/>
      <c r="Q2586"/>
      <c r="R2586"/>
      <c r="S2586"/>
    </row>
    <row r="2587" spans="1:19" ht="15" x14ac:dyDescent="0.2">
      <c r="A2587"/>
      <c r="B2587"/>
      <c r="C2587"/>
      <c r="D2587"/>
      <c r="E2587"/>
      <c r="F2587"/>
      <c r="G2587"/>
      <c r="H2587"/>
      <c r="I2587"/>
      <c r="J2587"/>
      <c r="K2587"/>
      <c r="L2587"/>
      <c r="M2587"/>
      <c r="N2587"/>
      <c r="O2587"/>
      <c r="P2587"/>
      <c r="Q2587"/>
      <c r="R2587"/>
      <c r="S2587"/>
    </row>
    <row r="2588" spans="1:19" ht="15" x14ac:dyDescent="0.2">
      <c r="A2588"/>
      <c r="B2588"/>
      <c r="C2588"/>
      <c r="D2588"/>
      <c r="E2588"/>
      <c r="F2588"/>
      <c r="G2588"/>
      <c r="H2588"/>
      <c r="I2588"/>
      <c r="J2588"/>
      <c r="K2588"/>
      <c r="L2588"/>
      <c r="M2588"/>
      <c r="N2588"/>
      <c r="O2588"/>
      <c r="P2588"/>
      <c r="Q2588"/>
      <c r="R2588"/>
      <c r="S2588"/>
    </row>
    <row r="2589" spans="1:19" ht="15" x14ac:dyDescent="0.2">
      <c r="A2589"/>
      <c r="B2589"/>
      <c r="C2589"/>
      <c r="D2589"/>
      <c r="E2589"/>
      <c r="F2589"/>
      <c r="G2589"/>
      <c r="H2589"/>
      <c r="I2589"/>
      <c r="J2589"/>
      <c r="K2589"/>
      <c r="L2589"/>
      <c r="M2589"/>
      <c r="N2589"/>
      <c r="O2589"/>
      <c r="P2589"/>
      <c r="Q2589"/>
      <c r="R2589"/>
      <c r="S2589"/>
    </row>
    <row r="2590" spans="1:19" ht="15" x14ac:dyDescent="0.2">
      <c r="A2590"/>
      <c r="B2590"/>
      <c r="C2590"/>
      <c r="D2590"/>
      <c r="E2590"/>
      <c r="F2590"/>
      <c r="G2590"/>
      <c r="H2590"/>
      <c r="I2590"/>
      <c r="J2590"/>
      <c r="K2590"/>
      <c r="L2590"/>
      <c r="M2590"/>
      <c r="N2590"/>
      <c r="O2590"/>
      <c r="P2590"/>
      <c r="Q2590"/>
      <c r="R2590"/>
      <c r="S2590"/>
    </row>
    <row r="2591" spans="1:19" ht="15" x14ac:dyDescent="0.2">
      <c r="A2591"/>
      <c r="B2591"/>
      <c r="C2591"/>
      <c r="D2591"/>
      <c r="E2591"/>
      <c r="F2591"/>
      <c r="G2591"/>
      <c r="H2591"/>
      <c r="I2591"/>
      <c r="J2591"/>
      <c r="K2591"/>
      <c r="L2591"/>
      <c r="M2591"/>
      <c r="N2591"/>
      <c r="O2591"/>
      <c r="P2591"/>
      <c r="Q2591"/>
      <c r="R2591"/>
      <c r="S2591"/>
    </row>
    <row r="2592" spans="1:19" ht="15" x14ac:dyDescent="0.2">
      <c r="A2592"/>
      <c r="B2592"/>
      <c r="C2592"/>
      <c r="D2592"/>
      <c r="E2592"/>
      <c r="F2592"/>
      <c r="G2592"/>
      <c r="H2592"/>
      <c r="I2592"/>
      <c r="J2592"/>
      <c r="K2592"/>
      <c r="L2592"/>
      <c r="M2592"/>
      <c r="N2592"/>
      <c r="O2592"/>
      <c r="P2592"/>
      <c r="Q2592"/>
      <c r="R2592"/>
      <c r="S2592"/>
    </row>
    <row r="2593" spans="1:19" ht="15" x14ac:dyDescent="0.2">
      <c r="A2593"/>
      <c r="B2593"/>
      <c r="C2593"/>
      <c r="D2593"/>
      <c r="E2593"/>
      <c r="F2593"/>
      <c r="G2593"/>
      <c r="H2593"/>
      <c r="I2593"/>
      <c r="J2593"/>
      <c r="K2593"/>
      <c r="L2593"/>
      <c r="M2593"/>
      <c r="N2593"/>
      <c r="O2593"/>
      <c r="P2593"/>
      <c r="Q2593"/>
      <c r="R2593"/>
      <c r="S2593"/>
    </row>
    <row r="2594" spans="1:19" ht="15" x14ac:dyDescent="0.2">
      <c r="A2594"/>
      <c r="B2594"/>
      <c r="C2594"/>
      <c r="D2594"/>
      <c r="E2594"/>
      <c r="F2594"/>
      <c r="G2594"/>
      <c r="H2594"/>
      <c r="I2594"/>
      <c r="J2594"/>
      <c r="K2594"/>
      <c r="L2594"/>
      <c r="M2594"/>
      <c r="N2594"/>
      <c r="O2594"/>
      <c r="P2594"/>
      <c r="Q2594"/>
      <c r="R2594"/>
      <c r="S2594"/>
    </row>
    <row r="2595" spans="1:19" ht="15" x14ac:dyDescent="0.2">
      <c r="A2595"/>
      <c r="B2595"/>
      <c r="C2595"/>
      <c r="D2595"/>
      <c r="E2595"/>
      <c r="F2595"/>
      <c r="G2595"/>
      <c r="H2595"/>
      <c r="I2595"/>
      <c r="J2595"/>
      <c r="K2595"/>
      <c r="L2595"/>
      <c r="M2595"/>
      <c r="N2595"/>
      <c r="O2595"/>
      <c r="P2595"/>
      <c r="Q2595"/>
      <c r="R2595"/>
      <c r="S2595"/>
    </row>
    <row r="2596" spans="1:19" ht="15" x14ac:dyDescent="0.2">
      <c r="A2596"/>
      <c r="B2596"/>
      <c r="C2596"/>
      <c r="D2596"/>
      <c r="E2596"/>
      <c r="F2596"/>
      <c r="G2596"/>
      <c r="H2596"/>
      <c r="I2596"/>
      <c r="J2596"/>
      <c r="K2596"/>
      <c r="L2596"/>
      <c r="M2596"/>
      <c r="N2596"/>
      <c r="O2596"/>
      <c r="P2596"/>
      <c r="Q2596"/>
      <c r="R2596"/>
      <c r="S2596"/>
    </row>
    <row r="2597" spans="1:19" ht="15" x14ac:dyDescent="0.2">
      <c r="A2597"/>
      <c r="B2597"/>
      <c r="C2597"/>
      <c r="D2597"/>
      <c r="E2597"/>
      <c r="F2597"/>
      <c r="G2597"/>
      <c r="H2597"/>
      <c r="I2597"/>
      <c r="J2597"/>
      <c r="K2597"/>
      <c r="L2597"/>
      <c r="M2597"/>
      <c r="N2597"/>
      <c r="O2597"/>
      <c r="P2597"/>
      <c r="Q2597"/>
      <c r="R2597"/>
      <c r="S2597"/>
    </row>
    <row r="2598" spans="1:19" ht="15" x14ac:dyDescent="0.2">
      <c r="A2598"/>
      <c r="B2598"/>
      <c r="C2598"/>
      <c r="D2598"/>
      <c r="E2598"/>
      <c r="F2598"/>
      <c r="G2598"/>
      <c r="H2598"/>
      <c r="I2598"/>
      <c r="J2598"/>
      <c r="K2598"/>
      <c r="L2598"/>
      <c r="M2598"/>
      <c r="N2598"/>
      <c r="O2598"/>
      <c r="P2598"/>
      <c r="Q2598"/>
      <c r="R2598"/>
      <c r="S2598"/>
    </row>
    <row r="2599" spans="1:19" ht="15" x14ac:dyDescent="0.2">
      <c r="A2599"/>
      <c r="B2599"/>
      <c r="C2599"/>
      <c r="D2599"/>
      <c r="E2599"/>
      <c r="F2599"/>
      <c r="G2599"/>
      <c r="H2599"/>
      <c r="I2599"/>
      <c r="J2599"/>
      <c r="K2599"/>
      <c r="L2599"/>
      <c r="M2599"/>
      <c r="N2599"/>
      <c r="O2599"/>
      <c r="P2599"/>
      <c r="Q2599"/>
      <c r="R2599"/>
      <c r="S2599"/>
    </row>
    <row r="2600" spans="1:19" ht="15" x14ac:dyDescent="0.2">
      <c r="A2600"/>
      <c r="B2600"/>
      <c r="C2600"/>
      <c r="D2600"/>
      <c r="E2600"/>
      <c r="F2600"/>
      <c r="G2600"/>
      <c r="H2600"/>
      <c r="I2600"/>
      <c r="J2600"/>
      <c r="K2600"/>
      <c r="L2600"/>
      <c r="M2600"/>
      <c r="N2600"/>
      <c r="O2600"/>
      <c r="P2600"/>
      <c r="Q2600"/>
      <c r="R2600"/>
      <c r="S2600"/>
    </row>
    <row r="2601" spans="1:19" ht="15" x14ac:dyDescent="0.2">
      <c r="A2601"/>
      <c r="B2601"/>
      <c r="C2601"/>
      <c r="D2601"/>
      <c r="E2601"/>
      <c r="F2601"/>
      <c r="G2601"/>
      <c r="H2601"/>
      <c r="I2601"/>
      <c r="J2601"/>
      <c r="K2601"/>
      <c r="L2601"/>
      <c r="M2601"/>
      <c r="N2601"/>
      <c r="O2601"/>
      <c r="P2601"/>
      <c r="Q2601"/>
      <c r="R2601"/>
      <c r="S2601"/>
    </row>
    <row r="2602" spans="1:19" ht="15" x14ac:dyDescent="0.2">
      <c r="A2602"/>
      <c r="B2602"/>
      <c r="C2602"/>
      <c r="D2602"/>
      <c r="E2602"/>
      <c r="F2602"/>
      <c r="G2602"/>
      <c r="H2602"/>
      <c r="I2602"/>
      <c r="J2602"/>
      <c r="K2602"/>
      <c r="L2602"/>
      <c r="M2602"/>
      <c r="N2602"/>
      <c r="O2602"/>
      <c r="P2602"/>
      <c r="Q2602"/>
      <c r="R2602"/>
      <c r="S2602"/>
    </row>
    <row r="2603" spans="1:19" ht="15" x14ac:dyDescent="0.2">
      <c r="A2603"/>
      <c r="B2603"/>
      <c r="C2603"/>
      <c r="D2603"/>
      <c r="E2603"/>
      <c r="F2603"/>
      <c r="G2603"/>
      <c r="H2603"/>
      <c r="I2603"/>
      <c r="J2603"/>
      <c r="K2603"/>
      <c r="L2603"/>
      <c r="M2603"/>
      <c r="N2603"/>
      <c r="O2603"/>
      <c r="P2603"/>
      <c r="Q2603"/>
      <c r="R2603"/>
      <c r="S2603"/>
    </row>
    <row r="2604" spans="1:19" ht="15" x14ac:dyDescent="0.2">
      <c r="A2604"/>
      <c r="B2604"/>
      <c r="C2604"/>
      <c r="D2604"/>
      <c r="E2604"/>
      <c r="F2604"/>
      <c r="G2604"/>
      <c r="H2604"/>
      <c r="I2604"/>
      <c r="J2604"/>
      <c r="K2604"/>
      <c r="L2604"/>
      <c r="M2604"/>
      <c r="N2604"/>
      <c r="O2604"/>
      <c r="P2604"/>
      <c r="Q2604"/>
      <c r="R2604"/>
      <c r="S2604"/>
    </row>
    <row r="2605" spans="1:19" ht="15" x14ac:dyDescent="0.2">
      <c r="A2605"/>
      <c r="B2605"/>
      <c r="C2605"/>
      <c r="D2605"/>
      <c r="E2605"/>
      <c r="F2605"/>
      <c r="G2605"/>
      <c r="H2605"/>
      <c r="I2605"/>
      <c r="J2605"/>
      <c r="K2605"/>
      <c r="L2605"/>
      <c r="M2605"/>
      <c r="N2605"/>
      <c r="O2605"/>
      <c r="P2605"/>
      <c r="Q2605"/>
      <c r="R2605"/>
      <c r="S2605"/>
    </row>
    <row r="2606" spans="1:19" ht="15" x14ac:dyDescent="0.2">
      <c r="A2606"/>
      <c r="B2606"/>
      <c r="C2606"/>
      <c r="D2606"/>
      <c r="E2606"/>
      <c r="F2606"/>
      <c r="G2606"/>
      <c r="H2606"/>
      <c r="I2606"/>
      <c r="J2606"/>
      <c r="K2606"/>
      <c r="L2606"/>
      <c r="M2606"/>
      <c r="N2606"/>
      <c r="O2606"/>
      <c r="P2606"/>
      <c r="Q2606"/>
      <c r="R2606"/>
      <c r="S2606"/>
    </row>
    <row r="2607" spans="1:19" ht="15" x14ac:dyDescent="0.2">
      <c r="A2607"/>
      <c r="B2607"/>
      <c r="C2607"/>
      <c r="D2607"/>
      <c r="E2607"/>
      <c r="F2607"/>
      <c r="G2607"/>
      <c r="H2607"/>
      <c r="I2607"/>
      <c r="J2607"/>
      <c r="K2607"/>
      <c r="L2607"/>
      <c r="M2607"/>
      <c r="N2607"/>
      <c r="O2607"/>
      <c r="P2607"/>
      <c r="Q2607"/>
      <c r="R2607"/>
      <c r="S2607"/>
    </row>
    <row r="2608" spans="1:19" ht="15" x14ac:dyDescent="0.2">
      <c r="A2608"/>
      <c r="B2608"/>
      <c r="C2608"/>
      <c r="D2608"/>
      <c r="E2608"/>
      <c r="F2608"/>
      <c r="G2608"/>
      <c r="H2608"/>
      <c r="I2608"/>
      <c r="J2608"/>
      <c r="K2608"/>
      <c r="L2608"/>
      <c r="M2608"/>
      <c r="N2608"/>
      <c r="O2608"/>
      <c r="P2608"/>
      <c r="Q2608"/>
      <c r="R2608"/>
      <c r="S2608"/>
    </row>
    <row r="2609" spans="1:19" ht="15" x14ac:dyDescent="0.2">
      <c r="A2609"/>
      <c r="B2609"/>
      <c r="C2609"/>
      <c r="D2609"/>
      <c r="E2609"/>
      <c r="F2609"/>
      <c r="G2609"/>
      <c r="H2609"/>
      <c r="I2609"/>
      <c r="J2609"/>
      <c r="K2609"/>
      <c r="L2609"/>
      <c r="M2609"/>
      <c r="N2609"/>
      <c r="O2609"/>
      <c r="P2609"/>
      <c r="Q2609"/>
      <c r="R2609"/>
      <c r="S2609"/>
    </row>
    <row r="2610" spans="1:19" ht="15" x14ac:dyDescent="0.2">
      <c r="A2610"/>
      <c r="B2610"/>
      <c r="C2610"/>
      <c r="D2610"/>
      <c r="E2610"/>
      <c r="F2610"/>
      <c r="G2610"/>
      <c r="H2610"/>
      <c r="I2610"/>
      <c r="J2610"/>
      <c r="K2610"/>
      <c r="L2610"/>
      <c r="M2610"/>
      <c r="N2610"/>
      <c r="O2610"/>
      <c r="P2610"/>
      <c r="Q2610"/>
      <c r="R2610"/>
      <c r="S2610"/>
    </row>
    <row r="2611" spans="1:19" ht="15" x14ac:dyDescent="0.2">
      <c r="A2611"/>
      <c r="B2611"/>
      <c r="C2611"/>
      <c r="D2611"/>
      <c r="E2611"/>
      <c r="F2611"/>
      <c r="G2611"/>
      <c r="H2611"/>
      <c r="I2611"/>
      <c r="J2611"/>
      <c r="K2611"/>
      <c r="L2611"/>
      <c r="M2611"/>
      <c r="N2611"/>
      <c r="O2611"/>
      <c r="P2611"/>
      <c r="Q2611"/>
      <c r="R2611"/>
      <c r="S2611"/>
    </row>
    <row r="2612" spans="1:19" ht="15" x14ac:dyDescent="0.2">
      <c r="A2612"/>
      <c r="B2612"/>
      <c r="C2612"/>
      <c r="D2612"/>
      <c r="E2612"/>
      <c r="F2612"/>
      <c r="G2612"/>
      <c r="H2612"/>
      <c r="I2612"/>
      <c r="J2612"/>
      <c r="K2612"/>
      <c r="L2612"/>
      <c r="M2612"/>
      <c r="N2612"/>
      <c r="O2612"/>
      <c r="P2612"/>
      <c r="Q2612"/>
      <c r="R2612"/>
      <c r="S2612"/>
    </row>
    <row r="2613" spans="1:19" ht="15" x14ac:dyDescent="0.2">
      <c r="A2613"/>
      <c r="B2613"/>
      <c r="C2613"/>
      <c r="D2613"/>
      <c r="E2613"/>
      <c r="F2613"/>
      <c r="G2613"/>
      <c r="H2613"/>
      <c r="I2613"/>
      <c r="J2613"/>
      <c r="K2613"/>
      <c r="L2613"/>
      <c r="M2613"/>
      <c r="N2613"/>
      <c r="O2613"/>
      <c r="P2613"/>
      <c r="Q2613"/>
      <c r="R2613"/>
      <c r="S2613"/>
    </row>
    <row r="2614" spans="1:19" ht="15" x14ac:dyDescent="0.2">
      <c r="A2614"/>
      <c r="B2614"/>
      <c r="C2614"/>
      <c r="D2614"/>
      <c r="E2614"/>
      <c r="F2614"/>
      <c r="G2614"/>
      <c r="H2614"/>
      <c r="I2614"/>
      <c r="J2614"/>
      <c r="K2614"/>
      <c r="L2614"/>
      <c r="M2614"/>
      <c r="N2614"/>
      <c r="O2614"/>
      <c r="P2614"/>
      <c r="Q2614"/>
      <c r="R2614"/>
      <c r="S2614"/>
    </row>
    <row r="2615" spans="1:19" ht="15" x14ac:dyDescent="0.2">
      <c r="A2615"/>
      <c r="B2615"/>
      <c r="C2615"/>
      <c r="D2615"/>
      <c r="E2615"/>
      <c r="F2615"/>
      <c r="G2615"/>
      <c r="H2615"/>
      <c r="I2615"/>
      <c r="J2615"/>
      <c r="K2615"/>
      <c r="L2615"/>
      <c r="M2615"/>
      <c r="N2615"/>
      <c r="O2615"/>
      <c r="P2615"/>
      <c r="Q2615"/>
      <c r="R2615"/>
      <c r="S2615"/>
    </row>
    <row r="2616" spans="1:19" ht="15" x14ac:dyDescent="0.2">
      <c r="A2616"/>
      <c r="B2616"/>
      <c r="C2616"/>
      <c r="D2616"/>
      <c r="E2616"/>
      <c r="F2616"/>
      <c r="G2616"/>
      <c r="H2616"/>
      <c r="I2616"/>
      <c r="J2616"/>
      <c r="K2616"/>
      <c r="L2616"/>
      <c r="M2616"/>
      <c r="N2616"/>
      <c r="O2616"/>
      <c r="P2616"/>
      <c r="Q2616"/>
      <c r="R2616"/>
      <c r="S2616"/>
    </row>
    <row r="2617" spans="1:19" ht="15" x14ac:dyDescent="0.2">
      <c r="A2617"/>
      <c r="B2617"/>
      <c r="C2617"/>
      <c r="D2617"/>
      <c r="E2617"/>
      <c r="F2617"/>
      <c r="G2617"/>
      <c r="H2617"/>
      <c r="I2617"/>
      <c r="J2617"/>
      <c r="K2617"/>
      <c r="L2617"/>
      <c r="M2617"/>
      <c r="N2617"/>
      <c r="O2617"/>
      <c r="P2617"/>
      <c r="Q2617"/>
      <c r="R2617"/>
      <c r="S2617"/>
    </row>
    <row r="2618" spans="1:19" ht="15" x14ac:dyDescent="0.2">
      <c r="A2618"/>
      <c r="B2618"/>
      <c r="C2618"/>
      <c r="D2618"/>
      <c r="E2618"/>
      <c r="F2618"/>
      <c r="G2618"/>
      <c r="H2618"/>
      <c r="I2618"/>
      <c r="J2618"/>
      <c r="K2618"/>
      <c r="L2618"/>
      <c r="M2618"/>
      <c r="N2618"/>
      <c r="O2618"/>
      <c r="P2618"/>
      <c r="Q2618"/>
      <c r="R2618"/>
      <c r="S2618"/>
    </row>
    <row r="2619" spans="1:19" ht="15" x14ac:dyDescent="0.2">
      <c r="A2619"/>
      <c r="B2619"/>
      <c r="C2619"/>
      <c r="D2619"/>
      <c r="E2619"/>
      <c r="F2619"/>
      <c r="G2619"/>
      <c r="H2619"/>
      <c r="I2619"/>
      <c r="J2619"/>
      <c r="K2619"/>
      <c r="L2619"/>
      <c r="M2619"/>
      <c r="N2619"/>
      <c r="O2619"/>
      <c r="P2619"/>
      <c r="Q2619"/>
      <c r="R2619"/>
      <c r="S2619"/>
    </row>
    <row r="2620" spans="1:19" ht="15" x14ac:dyDescent="0.2">
      <c r="A2620"/>
      <c r="B2620"/>
      <c r="C2620"/>
      <c r="D2620"/>
      <c r="E2620"/>
      <c r="F2620"/>
      <c r="G2620"/>
      <c r="H2620"/>
      <c r="I2620"/>
      <c r="J2620"/>
      <c r="K2620"/>
      <c r="L2620"/>
      <c r="M2620"/>
      <c r="N2620"/>
      <c r="O2620"/>
      <c r="P2620"/>
      <c r="Q2620"/>
      <c r="R2620"/>
      <c r="S2620"/>
    </row>
    <row r="2621" spans="1:19" ht="15" x14ac:dyDescent="0.2">
      <c r="A2621"/>
      <c r="B2621"/>
      <c r="C2621"/>
      <c r="D2621"/>
      <c r="E2621"/>
      <c r="F2621"/>
      <c r="G2621"/>
      <c r="H2621"/>
      <c r="I2621"/>
      <c r="J2621"/>
      <c r="K2621"/>
      <c r="L2621"/>
      <c r="M2621"/>
      <c r="N2621"/>
      <c r="O2621"/>
      <c r="P2621"/>
      <c r="Q2621"/>
      <c r="R2621"/>
      <c r="S2621"/>
    </row>
    <row r="2622" spans="1:19" ht="15" x14ac:dyDescent="0.2">
      <c r="A2622"/>
      <c r="B2622"/>
      <c r="C2622"/>
      <c r="D2622"/>
      <c r="E2622"/>
      <c r="F2622"/>
      <c r="G2622"/>
      <c r="H2622"/>
      <c r="I2622"/>
      <c r="J2622"/>
      <c r="K2622"/>
      <c r="L2622"/>
      <c r="M2622"/>
      <c r="N2622"/>
      <c r="O2622"/>
      <c r="P2622"/>
      <c r="Q2622"/>
      <c r="R2622"/>
      <c r="S2622"/>
    </row>
    <row r="2623" spans="1:19" ht="15" x14ac:dyDescent="0.2">
      <c r="A2623"/>
      <c r="B2623"/>
      <c r="C2623"/>
      <c r="D2623"/>
      <c r="E2623"/>
      <c r="F2623"/>
      <c r="G2623"/>
      <c r="H2623"/>
      <c r="I2623"/>
      <c r="J2623"/>
      <c r="K2623"/>
      <c r="L2623"/>
      <c r="M2623"/>
      <c r="N2623"/>
      <c r="O2623"/>
      <c r="P2623"/>
      <c r="Q2623"/>
      <c r="R2623"/>
      <c r="S2623"/>
    </row>
    <row r="2624" spans="1:19" ht="15" x14ac:dyDescent="0.2">
      <c r="A2624"/>
      <c r="B2624"/>
      <c r="C2624"/>
      <c r="D2624"/>
      <c r="E2624"/>
      <c r="F2624"/>
      <c r="G2624"/>
      <c r="H2624"/>
      <c r="I2624"/>
      <c r="J2624"/>
      <c r="K2624"/>
      <c r="L2624"/>
      <c r="M2624"/>
      <c r="N2624"/>
      <c r="O2624"/>
      <c r="P2624"/>
      <c r="Q2624"/>
      <c r="R2624"/>
      <c r="S2624"/>
    </row>
    <row r="2625" spans="1:19" ht="15" x14ac:dyDescent="0.2">
      <c r="A2625"/>
      <c r="B2625"/>
      <c r="C2625"/>
      <c r="D2625"/>
      <c r="E2625"/>
      <c r="F2625"/>
      <c r="G2625"/>
      <c r="H2625"/>
      <c r="I2625"/>
      <c r="J2625"/>
      <c r="K2625"/>
      <c r="L2625"/>
      <c r="M2625"/>
      <c r="N2625"/>
      <c r="O2625"/>
      <c r="P2625"/>
      <c r="Q2625"/>
      <c r="R2625"/>
      <c r="S2625"/>
    </row>
    <row r="2626" spans="1:19" ht="15" x14ac:dyDescent="0.2">
      <c r="A2626"/>
      <c r="B2626"/>
      <c r="C2626"/>
      <c r="D2626"/>
      <c r="E2626"/>
      <c r="F2626"/>
      <c r="G2626"/>
      <c r="H2626"/>
      <c r="I2626"/>
      <c r="J2626"/>
      <c r="K2626"/>
      <c r="L2626"/>
      <c r="M2626"/>
      <c r="N2626"/>
      <c r="O2626"/>
      <c r="P2626"/>
      <c r="Q2626"/>
      <c r="R2626"/>
      <c r="S2626"/>
    </row>
    <row r="2627" spans="1:19" ht="15" x14ac:dyDescent="0.2">
      <c r="A2627"/>
      <c r="B2627"/>
      <c r="C2627"/>
      <c r="D2627"/>
      <c r="E2627"/>
      <c r="F2627"/>
      <c r="G2627"/>
      <c r="H2627"/>
      <c r="I2627"/>
      <c r="J2627"/>
      <c r="K2627"/>
      <c r="L2627"/>
      <c r="M2627"/>
      <c r="N2627"/>
      <c r="O2627"/>
      <c r="P2627"/>
      <c r="Q2627"/>
      <c r="R2627"/>
      <c r="S2627"/>
    </row>
    <row r="2628" spans="1:19" ht="15" x14ac:dyDescent="0.2">
      <c r="A2628"/>
      <c r="B2628"/>
      <c r="C2628"/>
      <c r="D2628"/>
      <c r="E2628"/>
      <c r="F2628"/>
      <c r="G2628"/>
      <c r="H2628"/>
      <c r="I2628"/>
      <c r="J2628"/>
      <c r="K2628"/>
      <c r="L2628"/>
      <c r="M2628"/>
      <c r="N2628"/>
      <c r="O2628"/>
      <c r="P2628"/>
      <c r="Q2628"/>
      <c r="R2628"/>
      <c r="S2628"/>
    </row>
    <row r="2629" spans="1:19" ht="15" x14ac:dyDescent="0.2">
      <c r="A2629"/>
      <c r="B2629"/>
      <c r="C2629"/>
      <c r="D2629"/>
      <c r="E2629"/>
      <c r="F2629"/>
      <c r="G2629"/>
      <c r="H2629"/>
      <c r="I2629"/>
      <c r="J2629"/>
      <c r="K2629"/>
      <c r="L2629"/>
      <c r="M2629"/>
      <c r="N2629"/>
      <c r="O2629"/>
      <c r="P2629"/>
      <c r="Q2629"/>
      <c r="R2629"/>
      <c r="S2629"/>
    </row>
    <row r="2630" spans="1:19" ht="15" x14ac:dyDescent="0.2">
      <c r="A2630"/>
      <c r="B2630"/>
      <c r="C2630"/>
      <c r="D2630"/>
      <c r="E2630"/>
      <c r="F2630"/>
      <c r="G2630"/>
      <c r="H2630"/>
      <c r="I2630"/>
      <c r="J2630"/>
      <c r="K2630"/>
      <c r="L2630"/>
      <c r="M2630"/>
      <c r="N2630"/>
      <c r="O2630"/>
      <c r="P2630"/>
      <c r="Q2630"/>
      <c r="R2630"/>
      <c r="S2630"/>
    </row>
    <row r="2631" spans="1:19" ht="15" x14ac:dyDescent="0.2">
      <c r="A2631"/>
      <c r="B2631"/>
      <c r="C2631"/>
      <c r="D2631"/>
      <c r="E2631"/>
      <c r="F2631"/>
      <c r="G2631"/>
      <c r="H2631"/>
      <c r="I2631"/>
      <c r="J2631"/>
      <c r="K2631"/>
      <c r="L2631"/>
      <c r="M2631"/>
      <c r="N2631"/>
      <c r="O2631"/>
      <c r="P2631"/>
      <c r="Q2631"/>
      <c r="R2631"/>
      <c r="S2631"/>
    </row>
    <row r="2632" spans="1:19" ht="15" x14ac:dyDescent="0.2">
      <c r="A2632"/>
      <c r="B2632"/>
      <c r="C2632"/>
      <c r="D2632"/>
      <c r="E2632"/>
      <c r="F2632"/>
      <c r="G2632"/>
      <c r="H2632"/>
      <c r="I2632"/>
      <c r="J2632"/>
      <c r="K2632"/>
      <c r="L2632"/>
      <c r="M2632"/>
      <c r="N2632"/>
      <c r="O2632"/>
      <c r="P2632"/>
      <c r="Q2632"/>
      <c r="R2632"/>
      <c r="S2632"/>
    </row>
    <row r="2633" spans="1:19" ht="15" x14ac:dyDescent="0.2">
      <c r="A2633"/>
      <c r="B2633"/>
      <c r="C2633"/>
      <c r="D2633"/>
      <c r="E2633"/>
      <c r="F2633"/>
      <c r="G2633"/>
      <c r="H2633"/>
      <c r="I2633"/>
      <c r="J2633"/>
      <c r="K2633"/>
      <c r="L2633"/>
      <c r="M2633"/>
      <c r="N2633"/>
      <c r="O2633"/>
      <c r="P2633"/>
      <c r="Q2633"/>
      <c r="R2633"/>
      <c r="S2633"/>
    </row>
    <row r="2634" spans="1:19" ht="15" x14ac:dyDescent="0.2">
      <c r="A2634"/>
      <c r="B2634"/>
      <c r="C2634"/>
      <c r="D2634"/>
      <c r="E2634"/>
      <c r="F2634"/>
      <c r="G2634"/>
      <c r="H2634"/>
      <c r="I2634"/>
      <c r="J2634"/>
      <c r="K2634"/>
      <c r="L2634"/>
      <c r="M2634"/>
      <c r="N2634"/>
      <c r="O2634"/>
      <c r="P2634"/>
      <c r="Q2634"/>
      <c r="R2634"/>
      <c r="S2634"/>
    </row>
    <row r="2635" spans="1:19" ht="15" x14ac:dyDescent="0.2">
      <c r="A2635"/>
      <c r="B2635"/>
      <c r="C2635"/>
      <c r="D2635"/>
      <c r="E2635"/>
      <c r="F2635"/>
      <c r="G2635"/>
      <c r="H2635"/>
      <c r="I2635"/>
      <c r="J2635"/>
      <c r="K2635"/>
      <c r="L2635"/>
      <c r="M2635"/>
      <c r="N2635"/>
      <c r="O2635"/>
      <c r="P2635"/>
      <c r="Q2635"/>
      <c r="R2635"/>
      <c r="S2635"/>
    </row>
    <row r="2636" spans="1:19" ht="15" x14ac:dyDescent="0.2">
      <c r="A2636"/>
      <c r="B2636"/>
      <c r="C2636"/>
      <c r="D2636"/>
      <c r="E2636"/>
      <c r="F2636"/>
      <c r="G2636"/>
      <c r="H2636"/>
      <c r="I2636"/>
      <c r="J2636"/>
      <c r="K2636"/>
      <c r="L2636"/>
      <c r="M2636"/>
      <c r="N2636"/>
      <c r="O2636"/>
      <c r="P2636"/>
      <c r="Q2636"/>
      <c r="R2636"/>
      <c r="S2636"/>
    </row>
    <row r="2637" spans="1:19" ht="15" x14ac:dyDescent="0.2">
      <c r="A2637"/>
      <c r="B2637"/>
      <c r="C2637"/>
      <c r="D2637"/>
      <c r="E2637"/>
      <c r="F2637"/>
      <c r="G2637"/>
      <c r="H2637"/>
      <c r="I2637"/>
      <c r="J2637"/>
      <c r="K2637"/>
      <c r="L2637"/>
      <c r="M2637"/>
      <c r="N2637"/>
      <c r="O2637"/>
      <c r="P2637"/>
      <c r="Q2637"/>
      <c r="R2637"/>
      <c r="S2637"/>
    </row>
    <row r="2638" spans="1:19" ht="15" x14ac:dyDescent="0.2">
      <c r="A2638"/>
      <c r="B2638"/>
      <c r="C2638"/>
      <c r="D2638"/>
      <c r="E2638"/>
      <c r="F2638"/>
      <c r="G2638"/>
      <c r="H2638"/>
      <c r="I2638"/>
      <c r="J2638"/>
      <c r="K2638"/>
      <c r="L2638"/>
      <c r="M2638"/>
      <c r="N2638"/>
      <c r="O2638"/>
      <c r="P2638"/>
      <c r="Q2638"/>
      <c r="R2638"/>
      <c r="S2638"/>
    </row>
    <row r="2639" spans="1:19" ht="15" x14ac:dyDescent="0.2">
      <c r="A2639"/>
      <c r="B2639"/>
      <c r="C2639"/>
      <c r="D2639"/>
      <c r="E2639"/>
      <c r="F2639"/>
      <c r="G2639"/>
      <c r="H2639"/>
      <c r="I2639"/>
      <c r="J2639"/>
      <c r="K2639"/>
      <c r="L2639"/>
      <c r="M2639"/>
      <c r="N2639"/>
      <c r="O2639"/>
      <c r="P2639"/>
      <c r="Q2639"/>
      <c r="R2639"/>
      <c r="S2639"/>
    </row>
    <row r="2640" spans="1:19" ht="15" x14ac:dyDescent="0.2">
      <c r="A2640"/>
      <c r="B2640"/>
      <c r="C2640"/>
      <c r="D2640"/>
      <c r="E2640"/>
      <c r="F2640"/>
      <c r="G2640"/>
      <c r="H2640"/>
      <c r="I2640"/>
      <c r="J2640"/>
      <c r="K2640"/>
      <c r="L2640"/>
      <c r="M2640"/>
      <c r="N2640"/>
      <c r="O2640"/>
      <c r="P2640"/>
      <c r="Q2640"/>
      <c r="R2640"/>
      <c r="S2640"/>
    </row>
    <row r="2641" spans="1:19" ht="15" x14ac:dyDescent="0.2">
      <c r="A2641"/>
      <c r="B2641"/>
      <c r="C2641"/>
      <c r="D2641"/>
      <c r="E2641"/>
      <c r="F2641"/>
      <c r="G2641"/>
      <c r="H2641"/>
      <c r="I2641"/>
      <c r="J2641"/>
      <c r="K2641"/>
      <c r="L2641"/>
      <c r="M2641"/>
      <c r="N2641"/>
      <c r="O2641"/>
      <c r="P2641"/>
      <c r="Q2641"/>
      <c r="R2641"/>
      <c r="S2641"/>
    </row>
    <row r="2642" spans="1:19" ht="15" x14ac:dyDescent="0.2">
      <c r="A2642"/>
      <c r="B2642"/>
      <c r="C2642"/>
      <c r="D2642"/>
      <c r="E2642"/>
      <c r="F2642"/>
      <c r="G2642"/>
      <c r="H2642"/>
      <c r="I2642"/>
      <c r="J2642"/>
      <c r="K2642"/>
      <c r="L2642"/>
      <c r="M2642"/>
      <c r="N2642"/>
      <c r="O2642"/>
      <c r="P2642"/>
      <c r="Q2642"/>
      <c r="R2642"/>
      <c r="S2642"/>
    </row>
    <row r="2643" spans="1:19" ht="15" x14ac:dyDescent="0.2">
      <c r="A2643"/>
      <c r="B2643"/>
      <c r="C2643"/>
      <c r="D2643"/>
      <c r="E2643"/>
      <c r="F2643"/>
      <c r="G2643"/>
      <c r="H2643"/>
      <c r="I2643"/>
      <c r="J2643"/>
      <c r="K2643"/>
      <c r="L2643"/>
      <c r="M2643"/>
      <c r="N2643"/>
      <c r="O2643"/>
      <c r="P2643"/>
      <c r="Q2643"/>
      <c r="R2643"/>
      <c r="S2643"/>
    </row>
    <row r="2644" spans="1:19" ht="15" x14ac:dyDescent="0.2">
      <c r="A2644"/>
      <c r="B2644"/>
      <c r="C2644"/>
      <c r="D2644"/>
      <c r="E2644"/>
      <c r="F2644"/>
      <c r="G2644"/>
      <c r="H2644"/>
      <c r="I2644"/>
      <c r="J2644"/>
      <c r="K2644"/>
      <c r="L2644"/>
      <c r="M2644"/>
      <c r="N2644"/>
      <c r="O2644"/>
      <c r="P2644"/>
      <c r="Q2644"/>
      <c r="R2644"/>
      <c r="S2644"/>
    </row>
    <row r="2645" spans="1:19" ht="15" x14ac:dyDescent="0.2">
      <c r="A2645"/>
      <c r="B2645"/>
      <c r="C2645"/>
      <c r="D2645"/>
      <c r="E2645"/>
      <c r="F2645"/>
      <c r="G2645"/>
      <c r="H2645"/>
      <c r="I2645"/>
      <c r="J2645"/>
      <c r="K2645"/>
      <c r="L2645"/>
      <c r="M2645"/>
      <c r="N2645"/>
      <c r="O2645"/>
      <c r="P2645"/>
      <c r="Q2645"/>
      <c r="R2645"/>
      <c r="S2645"/>
    </row>
    <row r="2646" spans="1:19" ht="15" x14ac:dyDescent="0.2">
      <c r="A2646"/>
      <c r="B2646"/>
      <c r="C2646"/>
      <c r="D2646"/>
      <c r="E2646"/>
      <c r="F2646"/>
      <c r="G2646"/>
      <c r="H2646"/>
      <c r="I2646"/>
      <c r="J2646"/>
      <c r="K2646"/>
      <c r="L2646"/>
      <c r="M2646"/>
      <c r="N2646"/>
      <c r="O2646"/>
      <c r="P2646"/>
      <c r="Q2646"/>
      <c r="R2646"/>
      <c r="S2646"/>
    </row>
    <row r="2647" spans="1:19" ht="15" x14ac:dyDescent="0.2">
      <c r="A2647"/>
      <c r="B2647"/>
      <c r="C2647"/>
      <c r="D2647"/>
      <c r="E2647"/>
      <c r="F2647"/>
      <c r="G2647"/>
      <c r="H2647"/>
      <c r="I2647"/>
      <c r="J2647"/>
      <c r="K2647"/>
      <c r="L2647"/>
      <c r="M2647"/>
      <c r="N2647"/>
      <c r="O2647"/>
      <c r="P2647"/>
      <c r="Q2647"/>
      <c r="R2647"/>
      <c r="S2647"/>
    </row>
    <row r="2648" spans="1:19" ht="15" x14ac:dyDescent="0.2">
      <c r="A2648"/>
      <c r="B2648"/>
      <c r="C2648"/>
      <c r="D2648"/>
      <c r="E2648"/>
      <c r="F2648"/>
      <c r="G2648"/>
      <c r="H2648"/>
      <c r="I2648"/>
      <c r="J2648"/>
      <c r="K2648"/>
      <c r="L2648"/>
      <c r="M2648"/>
      <c r="N2648"/>
      <c r="O2648"/>
      <c r="P2648"/>
      <c r="Q2648"/>
      <c r="R2648"/>
      <c r="S2648"/>
    </row>
    <row r="2649" spans="1:19" ht="15" x14ac:dyDescent="0.2">
      <c r="A2649"/>
      <c r="B2649"/>
      <c r="C2649"/>
      <c r="D2649"/>
      <c r="E2649"/>
      <c r="F2649"/>
      <c r="G2649"/>
      <c r="H2649"/>
      <c r="I2649"/>
      <c r="J2649"/>
      <c r="K2649"/>
      <c r="L2649"/>
      <c r="M2649"/>
      <c r="N2649"/>
      <c r="O2649"/>
      <c r="P2649"/>
      <c r="Q2649"/>
      <c r="R2649"/>
      <c r="S2649"/>
    </row>
    <row r="2650" spans="1:19" ht="15" x14ac:dyDescent="0.2">
      <c r="A2650"/>
      <c r="B2650"/>
      <c r="C2650"/>
      <c r="D2650"/>
      <c r="E2650"/>
      <c r="F2650"/>
      <c r="G2650"/>
      <c r="H2650"/>
      <c r="I2650"/>
      <c r="J2650"/>
      <c r="K2650"/>
      <c r="L2650"/>
      <c r="M2650"/>
      <c r="N2650"/>
      <c r="O2650"/>
      <c r="P2650"/>
      <c r="Q2650"/>
      <c r="R2650"/>
      <c r="S2650"/>
    </row>
    <row r="2651" spans="1:19" ht="15" x14ac:dyDescent="0.2">
      <c r="A2651"/>
      <c r="B2651"/>
      <c r="C2651"/>
      <c r="D2651"/>
      <c r="E2651"/>
      <c r="F2651"/>
      <c r="G2651"/>
      <c r="H2651"/>
      <c r="I2651"/>
      <c r="J2651"/>
      <c r="K2651"/>
      <c r="L2651"/>
      <c r="M2651"/>
      <c r="N2651"/>
      <c r="O2651"/>
      <c r="P2651"/>
      <c r="Q2651"/>
      <c r="R2651"/>
      <c r="S2651"/>
    </row>
    <row r="2652" spans="1:19" ht="15" x14ac:dyDescent="0.2">
      <c r="A2652"/>
      <c r="B2652"/>
      <c r="C2652"/>
      <c r="D2652"/>
      <c r="E2652"/>
      <c r="F2652"/>
      <c r="G2652"/>
      <c r="H2652"/>
      <c r="I2652"/>
      <c r="J2652"/>
      <c r="K2652"/>
      <c r="L2652"/>
      <c r="M2652"/>
      <c r="N2652"/>
      <c r="O2652"/>
      <c r="P2652"/>
      <c r="Q2652"/>
      <c r="R2652"/>
      <c r="S2652"/>
    </row>
    <row r="2653" spans="1:19" ht="15" x14ac:dyDescent="0.2">
      <c r="A2653"/>
      <c r="B2653"/>
      <c r="C2653"/>
      <c r="D2653"/>
      <c r="E2653"/>
      <c r="F2653"/>
      <c r="G2653"/>
      <c r="H2653"/>
      <c r="I2653"/>
      <c r="J2653"/>
      <c r="K2653"/>
      <c r="L2653"/>
      <c r="M2653"/>
      <c r="N2653"/>
      <c r="O2653"/>
      <c r="P2653"/>
      <c r="Q2653"/>
      <c r="R2653"/>
      <c r="S2653"/>
    </row>
    <row r="2654" spans="1:19" ht="15" x14ac:dyDescent="0.2">
      <c r="A2654"/>
      <c r="B2654"/>
      <c r="C2654"/>
      <c r="D2654"/>
      <c r="E2654"/>
      <c r="F2654"/>
      <c r="G2654"/>
      <c r="H2654"/>
      <c r="I2654"/>
      <c r="J2654"/>
      <c r="K2654"/>
      <c r="L2654"/>
      <c r="M2654"/>
      <c r="N2654"/>
      <c r="O2654"/>
      <c r="P2654"/>
      <c r="Q2654"/>
      <c r="R2654"/>
      <c r="S2654"/>
    </row>
    <row r="2655" spans="1:19" ht="15" x14ac:dyDescent="0.2">
      <c r="A2655"/>
      <c r="B2655"/>
      <c r="C2655"/>
      <c r="D2655"/>
      <c r="E2655"/>
      <c r="F2655"/>
      <c r="G2655"/>
      <c r="H2655"/>
      <c r="I2655"/>
      <c r="J2655"/>
      <c r="K2655"/>
      <c r="L2655"/>
      <c r="M2655"/>
      <c r="N2655"/>
      <c r="O2655"/>
      <c r="P2655"/>
      <c r="Q2655"/>
      <c r="R2655"/>
      <c r="S2655"/>
    </row>
    <row r="2656" spans="1:19" ht="15" x14ac:dyDescent="0.2">
      <c r="A2656"/>
      <c r="B2656"/>
      <c r="C2656"/>
      <c r="D2656"/>
      <c r="E2656"/>
      <c r="F2656"/>
      <c r="G2656"/>
      <c r="H2656"/>
      <c r="I2656"/>
      <c r="J2656"/>
      <c r="K2656"/>
      <c r="L2656"/>
      <c r="M2656"/>
      <c r="N2656"/>
      <c r="O2656"/>
      <c r="P2656"/>
      <c r="Q2656"/>
      <c r="R2656"/>
      <c r="S2656"/>
    </row>
    <row r="2657" spans="1:19" ht="15" x14ac:dyDescent="0.2">
      <c r="A2657"/>
      <c r="B2657"/>
      <c r="C2657"/>
      <c r="D2657"/>
      <c r="E2657"/>
      <c r="F2657"/>
      <c r="G2657"/>
      <c r="H2657"/>
      <c r="I2657"/>
      <c r="J2657"/>
      <c r="K2657"/>
      <c r="L2657"/>
      <c r="M2657"/>
      <c r="N2657"/>
      <c r="O2657"/>
      <c r="P2657"/>
      <c r="Q2657"/>
      <c r="R2657"/>
      <c r="S2657"/>
    </row>
    <row r="2658" spans="1:19" ht="15" x14ac:dyDescent="0.2">
      <c r="A2658"/>
      <c r="B2658"/>
      <c r="C2658"/>
      <c r="D2658"/>
      <c r="E2658"/>
      <c r="F2658"/>
      <c r="G2658"/>
      <c r="H2658"/>
      <c r="I2658"/>
      <c r="J2658"/>
      <c r="K2658"/>
      <c r="L2658"/>
      <c r="M2658"/>
      <c r="N2658"/>
      <c r="O2658"/>
      <c r="P2658"/>
      <c r="Q2658"/>
      <c r="R2658"/>
      <c r="S2658"/>
    </row>
    <row r="2659" spans="1:19" ht="15" x14ac:dyDescent="0.2">
      <c r="A2659"/>
      <c r="B2659"/>
      <c r="C2659"/>
      <c r="D2659"/>
      <c r="E2659"/>
      <c r="F2659"/>
      <c r="G2659"/>
      <c r="H2659"/>
      <c r="I2659"/>
      <c r="J2659"/>
      <c r="K2659"/>
      <c r="L2659"/>
      <c r="M2659"/>
      <c r="N2659"/>
      <c r="O2659"/>
      <c r="P2659"/>
      <c r="Q2659"/>
      <c r="R2659"/>
      <c r="S2659"/>
    </row>
    <row r="2660" spans="1:19" ht="15" x14ac:dyDescent="0.2">
      <c r="A2660"/>
      <c r="B2660"/>
      <c r="C2660"/>
      <c r="D2660"/>
      <c r="E2660"/>
      <c r="F2660"/>
      <c r="G2660"/>
      <c r="H2660"/>
      <c r="I2660"/>
      <c r="J2660"/>
      <c r="K2660"/>
      <c r="L2660"/>
      <c r="M2660"/>
      <c r="N2660"/>
      <c r="O2660"/>
      <c r="P2660"/>
      <c r="Q2660"/>
      <c r="R2660"/>
      <c r="S2660"/>
    </row>
    <row r="2661" spans="1:19" ht="15" x14ac:dyDescent="0.2">
      <c r="A2661"/>
      <c r="B2661"/>
      <c r="C2661"/>
      <c r="D2661"/>
      <c r="E2661"/>
      <c r="F2661"/>
      <c r="G2661"/>
      <c r="H2661"/>
      <c r="I2661"/>
      <c r="J2661"/>
      <c r="K2661"/>
      <c r="L2661"/>
      <c r="M2661"/>
      <c r="N2661"/>
      <c r="O2661"/>
      <c r="P2661"/>
      <c r="Q2661"/>
      <c r="R2661"/>
      <c r="S2661"/>
    </row>
    <row r="2662" spans="1:19" ht="15" x14ac:dyDescent="0.2">
      <c r="A2662"/>
      <c r="B2662"/>
      <c r="C2662"/>
      <c r="D2662"/>
      <c r="E2662"/>
      <c r="F2662"/>
      <c r="G2662"/>
      <c r="H2662"/>
      <c r="I2662"/>
      <c r="J2662"/>
      <c r="K2662"/>
      <c r="L2662"/>
      <c r="M2662"/>
      <c r="N2662"/>
      <c r="O2662"/>
      <c r="P2662"/>
      <c r="Q2662"/>
      <c r="R2662"/>
      <c r="S2662"/>
    </row>
    <row r="2663" spans="1:19" ht="15" x14ac:dyDescent="0.2">
      <c r="A2663"/>
      <c r="B2663"/>
      <c r="C2663"/>
      <c r="D2663"/>
      <c r="E2663"/>
      <c r="F2663"/>
      <c r="G2663"/>
      <c r="H2663"/>
      <c r="I2663"/>
      <c r="J2663"/>
      <c r="K2663"/>
      <c r="L2663"/>
      <c r="M2663"/>
      <c r="N2663"/>
      <c r="O2663"/>
      <c r="P2663"/>
      <c r="Q2663"/>
      <c r="R2663"/>
      <c r="S2663"/>
    </row>
    <row r="2664" spans="1:19" ht="15" x14ac:dyDescent="0.2">
      <c r="A2664"/>
      <c r="B2664"/>
      <c r="C2664"/>
      <c r="D2664"/>
      <c r="E2664"/>
      <c r="F2664"/>
      <c r="G2664"/>
      <c r="H2664"/>
      <c r="I2664"/>
      <c r="J2664"/>
      <c r="K2664"/>
      <c r="L2664"/>
      <c r="M2664"/>
      <c r="N2664"/>
      <c r="O2664"/>
      <c r="P2664"/>
      <c r="Q2664"/>
      <c r="R2664"/>
      <c r="S2664"/>
    </row>
    <row r="2665" spans="1:19" ht="15" x14ac:dyDescent="0.2">
      <c r="A2665"/>
      <c r="B2665"/>
      <c r="C2665"/>
      <c r="D2665"/>
      <c r="E2665"/>
      <c r="F2665"/>
      <c r="G2665"/>
      <c r="H2665"/>
      <c r="I2665"/>
      <c r="J2665"/>
      <c r="K2665"/>
      <c r="L2665"/>
      <c r="M2665"/>
      <c r="N2665"/>
      <c r="O2665"/>
      <c r="P2665"/>
      <c r="Q2665"/>
      <c r="R2665"/>
      <c r="S2665"/>
    </row>
    <row r="2666" spans="1:19" ht="15" x14ac:dyDescent="0.2">
      <c r="A2666"/>
      <c r="B2666"/>
      <c r="C2666"/>
      <c r="D2666"/>
      <c r="E2666"/>
      <c r="F2666"/>
      <c r="G2666"/>
      <c r="H2666"/>
      <c r="I2666"/>
      <c r="J2666"/>
      <c r="K2666"/>
      <c r="L2666"/>
      <c r="M2666"/>
      <c r="N2666"/>
      <c r="O2666"/>
      <c r="P2666"/>
      <c r="Q2666"/>
      <c r="R2666"/>
      <c r="S2666"/>
    </row>
    <row r="2667" spans="1:19" ht="15" x14ac:dyDescent="0.2">
      <c r="A2667"/>
      <c r="B2667"/>
      <c r="C2667"/>
      <c r="D2667"/>
      <c r="E2667"/>
      <c r="F2667"/>
      <c r="G2667"/>
      <c r="H2667"/>
      <c r="I2667"/>
      <c r="J2667"/>
      <c r="K2667"/>
      <c r="L2667"/>
      <c r="M2667"/>
      <c r="N2667"/>
      <c r="O2667"/>
      <c r="P2667"/>
      <c r="Q2667"/>
      <c r="R2667"/>
      <c r="S2667"/>
    </row>
    <row r="2668" spans="1:19" ht="15" x14ac:dyDescent="0.2">
      <c r="A2668"/>
      <c r="B2668"/>
      <c r="C2668"/>
      <c r="D2668"/>
      <c r="E2668"/>
      <c r="F2668"/>
      <c r="G2668"/>
      <c r="H2668"/>
      <c r="I2668"/>
      <c r="J2668"/>
      <c r="K2668"/>
      <c r="L2668"/>
      <c r="M2668"/>
      <c r="N2668"/>
      <c r="O2668"/>
      <c r="P2668"/>
      <c r="Q2668"/>
      <c r="R2668"/>
      <c r="S2668"/>
    </row>
    <row r="2669" spans="1:19" ht="15" x14ac:dyDescent="0.2">
      <c r="A2669"/>
      <c r="B2669"/>
      <c r="C2669"/>
      <c r="D2669"/>
      <c r="E2669"/>
      <c r="F2669"/>
      <c r="G2669"/>
      <c r="H2669"/>
      <c r="I2669"/>
      <c r="J2669"/>
      <c r="K2669"/>
      <c r="L2669"/>
      <c r="M2669"/>
      <c r="N2669"/>
      <c r="O2669"/>
      <c r="P2669"/>
      <c r="Q2669"/>
      <c r="R2669"/>
      <c r="S2669"/>
    </row>
    <row r="2670" spans="1:19" ht="15" x14ac:dyDescent="0.2">
      <c r="A2670"/>
      <c r="B2670"/>
      <c r="C2670"/>
      <c r="D2670"/>
      <c r="E2670"/>
      <c r="F2670"/>
      <c r="G2670"/>
      <c r="H2670"/>
      <c r="I2670"/>
      <c r="J2670"/>
      <c r="K2670"/>
      <c r="L2670"/>
      <c r="M2670"/>
      <c r="N2670"/>
      <c r="O2670"/>
      <c r="P2670"/>
      <c r="Q2670"/>
      <c r="R2670"/>
      <c r="S2670"/>
    </row>
    <row r="2671" spans="1:19" ht="15" x14ac:dyDescent="0.2">
      <c r="A2671"/>
      <c r="B2671"/>
      <c r="C2671"/>
      <c r="D2671"/>
      <c r="E2671"/>
      <c r="F2671"/>
      <c r="G2671"/>
      <c r="H2671"/>
      <c r="I2671"/>
      <c r="J2671"/>
      <c r="K2671"/>
      <c r="L2671"/>
      <c r="M2671"/>
      <c r="N2671"/>
      <c r="O2671"/>
      <c r="P2671"/>
      <c r="Q2671"/>
      <c r="R2671"/>
      <c r="S2671"/>
    </row>
    <row r="2672" spans="1:19" ht="15" x14ac:dyDescent="0.2">
      <c r="A2672"/>
      <c r="B2672"/>
      <c r="C2672"/>
      <c r="D2672"/>
      <c r="E2672"/>
      <c r="F2672"/>
      <c r="G2672"/>
      <c r="H2672"/>
      <c r="I2672"/>
      <c r="J2672"/>
      <c r="K2672"/>
      <c r="L2672"/>
      <c r="M2672"/>
      <c r="N2672"/>
      <c r="O2672"/>
      <c r="P2672"/>
      <c r="Q2672"/>
      <c r="R2672"/>
      <c r="S2672"/>
    </row>
    <row r="2673" spans="1:19" ht="15" x14ac:dyDescent="0.2">
      <c r="A2673"/>
      <c r="B2673"/>
      <c r="C2673"/>
      <c r="D2673"/>
      <c r="E2673"/>
      <c r="F2673"/>
      <c r="G2673"/>
      <c r="H2673"/>
      <c r="I2673"/>
      <c r="J2673"/>
      <c r="K2673"/>
      <c r="L2673"/>
      <c r="M2673"/>
      <c r="N2673"/>
      <c r="O2673"/>
      <c r="P2673"/>
      <c r="Q2673"/>
      <c r="R2673"/>
      <c r="S2673"/>
    </row>
    <row r="2674" spans="1:19" ht="15" x14ac:dyDescent="0.2">
      <c r="A2674"/>
      <c r="B2674"/>
      <c r="C2674"/>
      <c r="D2674"/>
      <c r="E2674"/>
      <c r="F2674"/>
      <c r="G2674"/>
      <c r="H2674"/>
      <c r="I2674"/>
      <c r="J2674"/>
      <c r="K2674"/>
      <c r="L2674"/>
      <c r="M2674"/>
      <c r="N2674"/>
      <c r="O2674"/>
      <c r="P2674"/>
      <c r="Q2674"/>
      <c r="R2674"/>
      <c r="S2674"/>
    </row>
    <row r="2675" spans="1:19" ht="15" x14ac:dyDescent="0.2">
      <c r="A2675"/>
      <c r="B2675"/>
      <c r="C2675"/>
      <c r="D2675"/>
      <c r="E2675"/>
      <c r="F2675"/>
      <c r="G2675"/>
      <c r="H2675"/>
      <c r="I2675"/>
      <c r="J2675"/>
      <c r="K2675"/>
      <c r="L2675"/>
      <c r="M2675"/>
      <c r="N2675"/>
      <c r="O2675"/>
      <c r="P2675"/>
      <c r="Q2675"/>
      <c r="R2675"/>
      <c r="S2675"/>
    </row>
    <row r="2676" spans="1:19" ht="15" x14ac:dyDescent="0.2">
      <c r="A2676"/>
      <c r="B2676"/>
      <c r="C2676"/>
      <c r="D2676"/>
      <c r="E2676"/>
      <c r="F2676"/>
      <c r="G2676"/>
      <c r="H2676"/>
      <c r="I2676"/>
      <c r="J2676"/>
      <c r="K2676"/>
      <c r="L2676"/>
      <c r="M2676"/>
      <c r="N2676"/>
      <c r="O2676"/>
      <c r="P2676"/>
      <c r="Q2676"/>
      <c r="R2676"/>
      <c r="S2676"/>
    </row>
    <row r="2677" spans="1:19" ht="15" x14ac:dyDescent="0.2">
      <c r="A2677"/>
      <c r="B2677"/>
      <c r="C2677"/>
      <c r="D2677"/>
      <c r="E2677"/>
      <c r="F2677"/>
      <c r="G2677"/>
      <c r="H2677"/>
      <c r="I2677"/>
      <c r="J2677"/>
      <c r="K2677"/>
      <c r="L2677"/>
      <c r="M2677"/>
      <c r="N2677"/>
      <c r="O2677"/>
      <c r="P2677"/>
      <c r="Q2677"/>
      <c r="R2677"/>
      <c r="S2677"/>
    </row>
    <row r="2678" spans="1:19" ht="15" x14ac:dyDescent="0.2">
      <c r="A2678"/>
      <c r="B2678"/>
      <c r="C2678"/>
      <c r="D2678"/>
      <c r="E2678"/>
      <c r="F2678"/>
      <c r="G2678"/>
      <c r="H2678"/>
      <c r="I2678"/>
      <c r="J2678"/>
      <c r="K2678"/>
      <c r="L2678"/>
      <c r="M2678"/>
      <c r="N2678"/>
      <c r="O2678"/>
      <c r="P2678"/>
      <c r="Q2678"/>
      <c r="R2678"/>
      <c r="S2678"/>
    </row>
    <row r="2679" spans="1:19" ht="15" x14ac:dyDescent="0.2">
      <c r="A2679"/>
      <c r="B2679"/>
      <c r="C2679"/>
      <c r="D2679"/>
      <c r="E2679"/>
      <c r="F2679"/>
      <c r="G2679"/>
      <c r="H2679"/>
      <c r="I2679"/>
      <c r="J2679"/>
      <c r="K2679"/>
      <c r="L2679"/>
      <c r="M2679"/>
      <c r="N2679"/>
      <c r="O2679"/>
      <c r="P2679"/>
      <c r="Q2679"/>
      <c r="R2679"/>
      <c r="S2679"/>
    </row>
    <row r="2680" spans="1:19" ht="15" x14ac:dyDescent="0.2">
      <c r="A2680"/>
      <c r="B2680"/>
      <c r="C2680"/>
      <c r="D2680"/>
      <c r="E2680"/>
      <c r="F2680"/>
      <c r="G2680"/>
      <c r="H2680"/>
      <c r="I2680"/>
      <c r="J2680"/>
      <c r="K2680"/>
      <c r="L2680"/>
      <c r="M2680"/>
      <c r="N2680"/>
      <c r="O2680"/>
      <c r="P2680"/>
      <c r="Q2680"/>
      <c r="R2680"/>
      <c r="S2680"/>
    </row>
    <row r="2681" spans="1:19" ht="15" x14ac:dyDescent="0.2">
      <c r="A2681"/>
      <c r="B2681"/>
      <c r="C2681"/>
      <c r="D2681"/>
      <c r="E2681"/>
      <c r="F2681"/>
      <c r="G2681"/>
      <c r="H2681"/>
      <c r="I2681"/>
      <c r="J2681"/>
      <c r="K2681"/>
      <c r="L2681"/>
      <c r="M2681"/>
      <c r="N2681"/>
      <c r="O2681"/>
      <c r="P2681"/>
      <c r="Q2681"/>
      <c r="R2681"/>
      <c r="S2681"/>
    </row>
    <row r="2682" spans="1:19" ht="15" x14ac:dyDescent="0.2">
      <c r="A2682"/>
      <c r="B2682"/>
      <c r="C2682"/>
      <c r="D2682"/>
      <c r="E2682"/>
      <c r="F2682"/>
      <c r="G2682"/>
      <c r="H2682"/>
      <c r="I2682"/>
      <c r="J2682"/>
      <c r="K2682"/>
      <c r="L2682"/>
      <c r="M2682"/>
      <c r="N2682"/>
      <c r="O2682"/>
      <c r="P2682"/>
      <c r="Q2682"/>
      <c r="R2682"/>
      <c r="S2682"/>
    </row>
    <row r="2683" spans="1:19" ht="15" x14ac:dyDescent="0.2">
      <c r="A2683"/>
      <c r="B2683"/>
      <c r="C2683"/>
      <c r="D2683"/>
      <c r="E2683"/>
      <c r="F2683"/>
      <c r="G2683"/>
      <c r="H2683"/>
      <c r="I2683"/>
      <c r="J2683"/>
      <c r="K2683"/>
      <c r="L2683"/>
      <c r="M2683"/>
      <c r="N2683"/>
      <c r="O2683"/>
      <c r="P2683"/>
      <c r="Q2683"/>
      <c r="R2683"/>
      <c r="S2683"/>
    </row>
    <row r="2684" spans="1:19" ht="15" x14ac:dyDescent="0.2">
      <c r="A2684"/>
      <c r="B2684"/>
      <c r="C2684"/>
      <c r="D2684"/>
      <c r="E2684"/>
      <c r="F2684"/>
      <c r="G2684"/>
      <c r="H2684"/>
      <c r="I2684"/>
      <c r="J2684"/>
      <c r="K2684"/>
      <c r="L2684"/>
      <c r="M2684"/>
      <c r="N2684"/>
      <c r="O2684"/>
      <c r="P2684"/>
      <c r="Q2684"/>
      <c r="R2684"/>
      <c r="S2684"/>
    </row>
    <row r="2685" spans="1:19" ht="15" x14ac:dyDescent="0.2">
      <c r="A2685"/>
      <c r="B2685"/>
      <c r="C2685"/>
      <c r="D2685"/>
      <c r="E2685"/>
      <c r="F2685"/>
      <c r="G2685"/>
      <c r="H2685"/>
      <c r="I2685"/>
      <c r="J2685"/>
      <c r="K2685"/>
      <c r="L2685"/>
      <c r="M2685"/>
      <c r="N2685"/>
      <c r="O2685"/>
      <c r="P2685"/>
      <c r="Q2685"/>
      <c r="R2685"/>
      <c r="S2685"/>
    </row>
    <row r="2686" spans="1:19" ht="15" x14ac:dyDescent="0.2">
      <c r="A2686"/>
      <c r="B2686"/>
      <c r="C2686"/>
      <c r="D2686"/>
      <c r="E2686"/>
      <c r="F2686"/>
      <c r="G2686"/>
      <c r="H2686"/>
      <c r="I2686"/>
      <c r="J2686"/>
      <c r="K2686"/>
      <c r="L2686"/>
      <c r="M2686"/>
      <c r="N2686"/>
      <c r="O2686"/>
      <c r="P2686"/>
      <c r="Q2686"/>
      <c r="R2686"/>
      <c r="S2686"/>
    </row>
    <row r="2687" spans="1:19" ht="15" x14ac:dyDescent="0.2">
      <c r="A2687"/>
      <c r="B2687"/>
      <c r="C2687"/>
      <c r="D2687"/>
      <c r="E2687"/>
      <c r="F2687"/>
      <c r="G2687"/>
      <c r="H2687"/>
      <c r="I2687"/>
      <c r="J2687"/>
      <c r="K2687"/>
      <c r="L2687"/>
      <c r="M2687"/>
      <c r="N2687"/>
      <c r="O2687"/>
      <c r="P2687"/>
      <c r="Q2687"/>
      <c r="R2687"/>
      <c r="S2687"/>
    </row>
    <row r="2688" spans="1:19" ht="15" x14ac:dyDescent="0.2">
      <c r="A2688"/>
      <c r="B2688"/>
      <c r="C2688"/>
      <c r="D2688"/>
      <c r="E2688"/>
      <c r="F2688"/>
      <c r="G2688"/>
      <c r="H2688"/>
      <c r="I2688"/>
      <c r="J2688"/>
      <c r="K2688"/>
      <c r="L2688"/>
      <c r="M2688"/>
      <c r="N2688"/>
      <c r="O2688"/>
      <c r="P2688"/>
      <c r="Q2688"/>
      <c r="R2688"/>
      <c r="S2688"/>
    </row>
    <row r="2689" spans="1:19" ht="15" x14ac:dyDescent="0.2">
      <c r="A2689"/>
      <c r="B2689"/>
      <c r="C2689"/>
      <c r="D2689"/>
      <c r="E2689"/>
      <c r="F2689"/>
      <c r="G2689"/>
      <c r="H2689"/>
      <c r="I2689"/>
      <c r="J2689"/>
      <c r="K2689"/>
      <c r="L2689"/>
      <c r="M2689"/>
      <c r="N2689"/>
      <c r="O2689"/>
      <c r="P2689"/>
      <c r="Q2689"/>
      <c r="R2689"/>
      <c r="S2689"/>
    </row>
    <row r="2690" spans="1:19" ht="15" x14ac:dyDescent="0.2">
      <c r="A2690"/>
      <c r="B2690"/>
      <c r="C2690"/>
      <c r="D2690"/>
      <c r="E2690"/>
      <c r="F2690"/>
      <c r="G2690"/>
      <c r="H2690"/>
      <c r="I2690"/>
      <c r="J2690"/>
      <c r="K2690"/>
      <c r="L2690"/>
      <c r="M2690"/>
      <c r="N2690"/>
      <c r="O2690"/>
      <c r="P2690"/>
      <c r="Q2690"/>
      <c r="R2690"/>
      <c r="S2690"/>
    </row>
    <row r="2691" spans="1:19" ht="15" x14ac:dyDescent="0.2">
      <c r="A2691"/>
      <c r="B2691"/>
      <c r="C2691"/>
      <c r="D2691"/>
      <c r="E2691"/>
      <c r="F2691"/>
      <c r="G2691"/>
      <c r="H2691"/>
      <c r="I2691"/>
      <c r="J2691"/>
      <c r="K2691"/>
      <c r="L2691"/>
      <c r="M2691"/>
      <c r="N2691"/>
      <c r="O2691"/>
      <c r="P2691"/>
      <c r="Q2691"/>
      <c r="R2691"/>
      <c r="S2691"/>
    </row>
    <row r="2692" spans="1:19" ht="15" x14ac:dyDescent="0.2">
      <c r="A2692"/>
      <c r="B2692"/>
      <c r="C2692"/>
      <c r="D2692"/>
      <c r="E2692"/>
      <c r="F2692"/>
      <c r="G2692"/>
      <c r="H2692"/>
      <c r="I2692"/>
      <c r="J2692"/>
      <c r="K2692"/>
      <c r="L2692"/>
      <c r="M2692"/>
      <c r="N2692"/>
      <c r="O2692"/>
      <c r="P2692"/>
      <c r="Q2692"/>
      <c r="R2692"/>
      <c r="S2692"/>
    </row>
    <row r="2693" spans="1:19" ht="15" x14ac:dyDescent="0.2">
      <c r="A2693"/>
      <c r="B2693"/>
      <c r="C2693"/>
      <c r="D2693"/>
      <c r="E2693"/>
      <c r="F2693"/>
      <c r="G2693"/>
      <c r="H2693"/>
      <c r="I2693"/>
      <c r="J2693"/>
      <c r="K2693"/>
      <c r="L2693"/>
      <c r="M2693"/>
      <c r="N2693"/>
      <c r="O2693"/>
      <c r="P2693"/>
      <c r="Q2693"/>
      <c r="R2693"/>
      <c r="S2693"/>
    </row>
    <row r="2694" spans="1:19" ht="15" x14ac:dyDescent="0.2">
      <c r="A2694"/>
      <c r="B2694"/>
      <c r="C2694"/>
      <c r="D2694"/>
      <c r="E2694"/>
      <c r="F2694"/>
      <c r="G2694"/>
      <c r="H2694"/>
      <c r="I2694"/>
      <c r="J2694"/>
      <c r="K2694"/>
      <c r="L2694"/>
      <c r="M2694"/>
      <c r="N2694"/>
      <c r="O2694"/>
      <c r="P2694"/>
      <c r="Q2694"/>
      <c r="R2694"/>
      <c r="S2694"/>
    </row>
    <row r="2695" spans="1:19" ht="15" x14ac:dyDescent="0.2">
      <c r="A2695"/>
      <c r="B2695"/>
      <c r="C2695"/>
      <c r="D2695"/>
      <c r="E2695"/>
      <c r="F2695"/>
      <c r="G2695"/>
      <c r="H2695"/>
      <c r="I2695"/>
      <c r="J2695"/>
      <c r="K2695"/>
      <c r="L2695"/>
      <c r="M2695"/>
      <c r="N2695"/>
      <c r="O2695"/>
      <c r="P2695"/>
      <c r="Q2695"/>
      <c r="R2695"/>
      <c r="S2695"/>
    </row>
    <row r="2696" spans="1:19" ht="15" x14ac:dyDescent="0.2">
      <c r="A2696"/>
      <c r="B2696"/>
      <c r="C2696"/>
      <c r="D2696"/>
      <c r="E2696"/>
      <c r="F2696"/>
      <c r="G2696"/>
      <c r="H2696"/>
      <c r="I2696"/>
      <c r="J2696"/>
      <c r="K2696"/>
      <c r="L2696"/>
      <c r="M2696"/>
      <c r="N2696"/>
      <c r="O2696"/>
      <c r="P2696"/>
      <c r="Q2696"/>
      <c r="R2696"/>
      <c r="S2696"/>
    </row>
    <row r="2697" spans="1:19" ht="15" x14ac:dyDescent="0.2">
      <c r="A2697"/>
      <c r="B2697"/>
      <c r="C2697"/>
      <c r="D2697"/>
      <c r="E2697"/>
      <c r="F2697"/>
      <c r="G2697"/>
      <c r="H2697"/>
      <c r="I2697"/>
      <c r="J2697"/>
      <c r="K2697"/>
      <c r="L2697"/>
      <c r="M2697"/>
      <c r="N2697"/>
      <c r="O2697"/>
      <c r="P2697"/>
      <c r="Q2697"/>
      <c r="R2697"/>
      <c r="S2697"/>
    </row>
    <row r="2698" spans="1:19" ht="15" x14ac:dyDescent="0.2">
      <c r="A2698"/>
      <c r="B2698"/>
      <c r="C2698"/>
      <c r="D2698"/>
      <c r="E2698"/>
      <c r="F2698"/>
      <c r="G2698"/>
      <c r="H2698"/>
      <c r="I2698"/>
      <c r="J2698"/>
      <c r="K2698"/>
      <c r="L2698"/>
      <c r="M2698"/>
      <c r="N2698"/>
      <c r="O2698"/>
      <c r="P2698"/>
      <c r="Q2698"/>
      <c r="R2698"/>
      <c r="S2698"/>
    </row>
    <row r="2699" spans="1:19" ht="15" x14ac:dyDescent="0.2">
      <c r="A2699"/>
      <c r="B2699"/>
      <c r="C2699"/>
      <c r="D2699"/>
      <c r="E2699"/>
      <c r="F2699"/>
      <c r="G2699"/>
      <c r="H2699"/>
      <c r="I2699"/>
      <c r="J2699"/>
      <c r="K2699"/>
      <c r="L2699"/>
      <c r="M2699"/>
      <c r="N2699"/>
      <c r="O2699"/>
      <c r="P2699"/>
      <c r="Q2699"/>
      <c r="R2699"/>
      <c r="S2699"/>
    </row>
    <row r="2700" spans="1:19" ht="15" x14ac:dyDescent="0.2">
      <c r="A2700"/>
      <c r="B2700"/>
      <c r="C2700"/>
      <c r="D2700"/>
      <c r="E2700"/>
      <c r="F2700"/>
      <c r="G2700"/>
      <c r="H2700"/>
      <c r="I2700"/>
      <c r="J2700"/>
      <c r="K2700"/>
      <c r="L2700"/>
      <c r="M2700"/>
      <c r="N2700"/>
      <c r="O2700"/>
      <c r="P2700"/>
      <c r="Q2700"/>
      <c r="R2700"/>
      <c r="S2700"/>
    </row>
    <row r="2701" spans="1:19" ht="15" x14ac:dyDescent="0.2">
      <c r="A2701"/>
      <c r="B2701"/>
      <c r="C2701"/>
      <c r="D2701"/>
      <c r="E2701"/>
      <c r="F2701"/>
      <c r="G2701"/>
      <c r="H2701"/>
      <c r="I2701"/>
      <c r="J2701"/>
      <c r="K2701"/>
      <c r="L2701"/>
      <c r="M2701"/>
      <c r="N2701"/>
      <c r="O2701"/>
      <c r="P2701"/>
      <c r="Q2701"/>
      <c r="R2701"/>
      <c r="S2701"/>
    </row>
    <row r="2702" spans="1:19" ht="15" x14ac:dyDescent="0.2">
      <c r="A2702"/>
      <c r="B2702"/>
      <c r="C2702"/>
      <c r="D2702"/>
      <c r="E2702"/>
      <c r="F2702"/>
      <c r="G2702"/>
      <c r="H2702"/>
      <c r="I2702"/>
      <c r="J2702"/>
      <c r="K2702"/>
      <c r="L2702"/>
      <c r="M2702"/>
      <c r="N2702"/>
      <c r="O2702"/>
      <c r="P2702"/>
      <c r="Q2702"/>
      <c r="R2702"/>
      <c r="S2702"/>
    </row>
    <row r="2703" spans="1:19" ht="15" x14ac:dyDescent="0.2">
      <c r="A2703"/>
      <c r="B2703"/>
      <c r="C2703"/>
      <c r="D2703"/>
      <c r="E2703"/>
      <c r="F2703"/>
      <c r="G2703"/>
      <c r="H2703"/>
      <c r="I2703"/>
      <c r="J2703"/>
      <c r="K2703"/>
      <c r="L2703"/>
      <c r="M2703"/>
      <c r="N2703"/>
      <c r="O2703"/>
      <c r="P2703"/>
      <c r="Q2703"/>
      <c r="R2703"/>
      <c r="S2703"/>
    </row>
    <row r="2704" spans="1:19" ht="15" x14ac:dyDescent="0.2">
      <c r="A2704"/>
      <c r="B2704"/>
      <c r="C2704"/>
      <c r="D2704"/>
      <c r="E2704"/>
      <c r="F2704"/>
      <c r="G2704"/>
      <c r="H2704"/>
      <c r="I2704"/>
      <c r="J2704"/>
      <c r="K2704"/>
      <c r="L2704"/>
      <c r="M2704"/>
      <c r="N2704"/>
      <c r="O2704"/>
      <c r="P2704"/>
      <c r="Q2704"/>
      <c r="R2704"/>
      <c r="S2704"/>
    </row>
    <row r="2705" spans="1:19" ht="15" x14ac:dyDescent="0.2">
      <c r="A2705"/>
      <c r="B2705"/>
      <c r="C2705"/>
      <c r="D2705"/>
      <c r="E2705"/>
      <c r="F2705"/>
      <c r="G2705"/>
      <c r="H2705"/>
      <c r="I2705"/>
      <c r="J2705"/>
      <c r="K2705"/>
      <c r="L2705"/>
      <c r="M2705"/>
      <c r="N2705"/>
      <c r="O2705"/>
      <c r="P2705"/>
      <c r="Q2705"/>
      <c r="R2705"/>
      <c r="S2705"/>
    </row>
    <row r="2706" spans="1:19" ht="15" x14ac:dyDescent="0.2">
      <c r="A2706"/>
      <c r="B2706"/>
      <c r="C2706"/>
      <c r="D2706"/>
      <c r="E2706"/>
      <c r="F2706"/>
      <c r="G2706"/>
      <c r="H2706"/>
      <c r="I2706"/>
      <c r="J2706"/>
      <c r="K2706"/>
      <c r="L2706"/>
      <c r="M2706"/>
      <c r="N2706"/>
      <c r="O2706"/>
      <c r="P2706"/>
      <c r="Q2706"/>
      <c r="R2706"/>
      <c r="S2706"/>
    </row>
    <row r="2707" spans="1:19" ht="15" x14ac:dyDescent="0.2">
      <c r="A2707"/>
      <c r="B2707"/>
      <c r="C2707"/>
      <c r="D2707"/>
      <c r="E2707"/>
      <c r="F2707"/>
      <c r="G2707"/>
      <c r="H2707"/>
      <c r="I2707"/>
      <c r="J2707"/>
      <c r="K2707"/>
      <c r="L2707"/>
      <c r="M2707"/>
      <c r="N2707"/>
      <c r="O2707"/>
      <c r="P2707"/>
      <c r="Q2707"/>
      <c r="R2707"/>
      <c r="S2707"/>
    </row>
    <row r="2708" spans="1:19" ht="15" x14ac:dyDescent="0.2">
      <c r="A2708"/>
      <c r="B2708"/>
      <c r="C2708"/>
      <c r="D2708"/>
      <c r="E2708"/>
      <c r="F2708"/>
      <c r="G2708"/>
      <c r="H2708"/>
      <c r="I2708"/>
      <c r="J2708"/>
      <c r="K2708"/>
      <c r="L2708"/>
      <c r="M2708"/>
      <c r="N2708"/>
      <c r="O2708"/>
      <c r="P2708"/>
      <c r="Q2708"/>
      <c r="R2708"/>
      <c r="S2708"/>
    </row>
    <row r="2709" spans="1:19" ht="15" x14ac:dyDescent="0.2">
      <c r="A2709"/>
      <c r="B2709"/>
      <c r="C2709"/>
      <c r="D2709"/>
      <c r="E2709"/>
      <c r="F2709"/>
      <c r="G2709"/>
      <c r="H2709"/>
      <c r="I2709"/>
      <c r="J2709"/>
      <c r="K2709"/>
      <c r="L2709"/>
      <c r="M2709"/>
      <c r="N2709"/>
      <c r="O2709"/>
      <c r="P2709"/>
      <c r="Q2709"/>
      <c r="R2709"/>
      <c r="S2709"/>
    </row>
    <row r="2710" spans="1:19" ht="15" x14ac:dyDescent="0.2">
      <c r="A2710"/>
      <c r="B2710"/>
      <c r="C2710"/>
      <c r="D2710"/>
      <c r="E2710"/>
      <c r="F2710"/>
      <c r="G2710"/>
      <c r="H2710"/>
      <c r="I2710"/>
      <c r="J2710"/>
      <c r="K2710"/>
      <c r="L2710"/>
      <c r="M2710"/>
      <c r="N2710"/>
      <c r="O2710"/>
      <c r="P2710"/>
      <c r="Q2710"/>
      <c r="R2710"/>
      <c r="S2710"/>
    </row>
    <row r="2711" spans="1:19" ht="15" x14ac:dyDescent="0.2">
      <c r="A2711"/>
      <c r="B2711"/>
      <c r="C2711"/>
      <c r="D2711"/>
      <c r="E2711"/>
      <c r="F2711"/>
      <c r="G2711"/>
      <c r="H2711"/>
      <c r="I2711"/>
      <c r="J2711"/>
      <c r="K2711"/>
      <c r="L2711"/>
      <c r="M2711"/>
      <c r="N2711"/>
      <c r="O2711"/>
      <c r="P2711"/>
      <c r="Q2711"/>
      <c r="R2711"/>
      <c r="S2711"/>
    </row>
    <row r="2712" spans="1:19" ht="15" x14ac:dyDescent="0.2">
      <c r="A2712"/>
      <c r="B2712"/>
      <c r="C2712"/>
      <c r="D2712"/>
      <c r="E2712"/>
      <c r="F2712"/>
      <c r="G2712"/>
      <c r="H2712"/>
      <c r="I2712"/>
      <c r="J2712"/>
      <c r="K2712"/>
      <c r="L2712"/>
      <c r="M2712"/>
      <c r="N2712"/>
      <c r="O2712"/>
      <c r="P2712"/>
      <c r="Q2712"/>
      <c r="R2712"/>
      <c r="S2712"/>
    </row>
    <row r="2713" spans="1:19" ht="15" x14ac:dyDescent="0.2">
      <c r="A2713"/>
      <c r="B2713"/>
      <c r="C2713"/>
      <c r="D2713"/>
      <c r="E2713"/>
      <c r="F2713"/>
      <c r="G2713"/>
      <c r="H2713"/>
      <c r="I2713"/>
      <c r="J2713"/>
      <c r="K2713"/>
      <c r="L2713"/>
      <c r="M2713"/>
      <c r="N2713"/>
      <c r="O2713"/>
      <c r="P2713"/>
      <c r="Q2713"/>
      <c r="R2713"/>
      <c r="S2713"/>
    </row>
    <row r="2714" spans="1:19" ht="15" x14ac:dyDescent="0.2">
      <c r="A2714"/>
      <c r="B2714"/>
      <c r="C2714"/>
      <c r="D2714"/>
      <c r="E2714"/>
      <c r="F2714"/>
      <c r="G2714"/>
      <c r="H2714"/>
      <c r="I2714"/>
      <c r="J2714"/>
      <c r="K2714"/>
      <c r="L2714"/>
      <c r="M2714"/>
      <c r="N2714"/>
      <c r="O2714"/>
      <c r="P2714"/>
      <c r="Q2714"/>
      <c r="R2714"/>
      <c r="S2714"/>
    </row>
    <row r="2715" spans="1:19" ht="15" x14ac:dyDescent="0.2">
      <c r="A2715"/>
      <c r="B2715"/>
      <c r="C2715"/>
      <c r="D2715"/>
      <c r="E2715"/>
      <c r="F2715"/>
      <c r="G2715"/>
      <c r="H2715"/>
      <c r="I2715"/>
      <c r="J2715"/>
      <c r="K2715"/>
      <c r="L2715"/>
      <c r="M2715"/>
      <c r="N2715"/>
      <c r="O2715"/>
      <c r="P2715"/>
      <c r="Q2715"/>
      <c r="R2715"/>
      <c r="S2715"/>
    </row>
    <row r="2716" spans="1:19" ht="15" x14ac:dyDescent="0.2">
      <c r="A2716"/>
      <c r="B2716"/>
      <c r="C2716"/>
      <c r="D2716"/>
      <c r="E2716"/>
      <c r="F2716"/>
      <c r="G2716"/>
      <c r="H2716"/>
      <c r="I2716"/>
      <c r="J2716"/>
      <c r="K2716"/>
      <c r="L2716"/>
      <c r="M2716"/>
      <c r="N2716"/>
      <c r="O2716"/>
      <c r="P2716"/>
      <c r="Q2716"/>
      <c r="R2716"/>
      <c r="S2716"/>
    </row>
    <row r="2717" spans="1:19" ht="15" x14ac:dyDescent="0.2">
      <c r="A2717"/>
      <c r="B2717"/>
      <c r="C2717"/>
      <c r="D2717"/>
      <c r="E2717"/>
      <c r="F2717"/>
      <c r="G2717"/>
      <c r="H2717"/>
      <c r="I2717"/>
      <c r="J2717"/>
      <c r="K2717"/>
      <c r="L2717"/>
      <c r="M2717"/>
      <c r="N2717"/>
      <c r="O2717"/>
      <c r="P2717"/>
      <c r="Q2717"/>
      <c r="R2717"/>
      <c r="S2717"/>
    </row>
    <row r="2718" spans="1:19" ht="15" x14ac:dyDescent="0.2">
      <c r="A2718"/>
      <c r="B2718"/>
      <c r="C2718"/>
      <c r="D2718"/>
      <c r="E2718"/>
      <c r="F2718"/>
      <c r="G2718"/>
      <c r="H2718"/>
      <c r="I2718"/>
      <c r="J2718"/>
      <c r="K2718"/>
      <c r="L2718"/>
      <c r="M2718"/>
      <c r="N2718"/>
      <c r="O2718"/>
      <c r="P2718"/>
      <c r="Q2718"/>
      <c r="R2718"/>
      <c r="S2718"/>
    </row>
    <row r="2719" spans="1:19" ht="15" x14ac:dyDescent="0.2">
      <c r="A2719"/>
      <c r="B2719"/>
      <c r="C2719"/>
      <c r="D2719"/>
      <c r="E2719"/>
      <c r="F2719"/>
      <c r="G2719"/>
      <c r="H2719"/>
      <c r="I2719"/>
      <c r="J2719"/>
      <c r="K2719"/>
      <c r="L2719"/>
      <c r="M2719"/>
      <c r="N2719"/>
      <c r="O2719"/>
      <c r="P2719"/>
      <c r="Q2719"/>
      <c r="R2719"/>
      <c r="S2719"/>
    </row>
    <row r="2720" spans="1:19" ht="15" x14ac:dyDescent="0.2">
      <c r="A2720"/>
      <c r="B2720"/>
      <c r="C2720"/>
      <c r="D2720"/>
      <c r="E2720"/>
      <c r="F2720"/>
      <c r="G2720"/>
      <c r="H2720"/>
      <c r="I2720"/>
      <c r="J2720"/>
      <c r="K2720"/>
      <c r="L2720"/>
      <c r="M2720"/>
      <c r="N2720"/>
      <c r="O2720"/>
      <c r="P2720"/>
      <c r="Q2720"/>
      <c r="R2720"/>
      <c r="S2720"/>
    </row>
    <row r="2721" spans="1:19" ht="15" x14ac:dyDescent="0.2">
      <c r="A2721"/>
      <c r="B2721"/>
      <c r="C2721"/>
      <c r="D2721"/>
      <c r="E2721"/>
      <c r="F2721"/>
      <c r="G2721"/>
      <c r="H2721"/>
      <c r="I2721"/>
      <c r="J2721"/>
      <c r="K2721"/>
      <c r="L2721"/>
      <c r="M2721"/>
      <c r="N2721"/>
      <c r="O2721"/>
      <c r="P2721"/>
      <c r="Q2721"/>
      <c r="R2721"/>
      <c r="S2721"/>
    </row>
    <row r="2722" spans="1:19" ht="15" x14ac:dyDescent="0.2">
      <c r="A2722"/>
      <c r="B2722"/>
      <c r="C2722"/>
      <c r="D2722"/>
      <c r="E2722"/>
      <c r="F2722"/>
      <c r="G2722"/>
      <c r="H2722"/>
      <c r="I2722"/>
      <c r="J2722"/>
      <c r="K2722"/>
      <c r="L2722"/>
      <c r="M2722"/>
      <c r="N2722"/>
      <c r="O2722"/>
      <c r="P2722"/>
      <c r="Q2722"/>
      <c r="R2722"/>
      <c r="S2722"/>
    </row>
    <row r="2723" spans="1:19" ht="15" x14ac:dyDescent="0.2">
      <c r="A2723"/>
      <c r="B2723"/>
      <c r="C2723"/>
      <c r="D2723"/>
      <c r="E2723"/>
      <c r="F2723"/>
      <c r="G2723"/>
      <c r="H2723"/>
      <c r="I2723"/>
      <c r="J2723"/>
      <c r="K2723"/>
      <c r="L2723"/>
      <c r="M2723"/>
      <c r="N2723"/>
      <c r="O2723"/>
      <c r="P2723"/>
      <c r="Q2723"/>
      <c r="R2723"/>
      <c r="S2723"/>
    </row>
    <row r="2724" spans="1:19" ht="15" x14ac:dyDescent="0.2">
      <c r="A2724"/>
      <c r="B2724"/>
      <c r="C2724"/>
      <c r="D2724"/>
      <c r="E2724"/>
      <c r="F2724"/>
      <c r="G2724"/>
      <c r="H2724"/>
      <c r="I2724"/>
      <c r="J2724"/>
      <c r="K2724"/>
      <c r="L2724"/>
      <c r="M2724"/>
      <c r="N2724"/>
      <c r="O2724"/>
      <c r="P2724"/>
      <c r="Q2724"/>
      <c r="R2724"/>
      <c r="S2724"/>
    </row>
    <row r="2725" spans="1:19" ht="15" x14ac:dyDescent="0.2">
      <c r="A2725"/>
      <c r="B2725"/>
      <c r="C2725"/>
      <c r="D2725"/>
      <c r="E2725"/>
      <c r="F2725"/>
      <c r="G2725"/>
      <c r="H2725"/>
      <c r="I2725"/>
      <c r="J2725"/>
      <c r="K2725"/>
      <c r="L2725"/>
      <c r="M2725"/>
      <c r="N2725"/>
      <c r="O2725"/>
      <c r="P2725"/>
      <c r="Q2725"/>
      <c r="R2725"/>
      <c r="S2725"/>
    </row>
    <row r="2726" spans="1:19" ht="15" x14ac:dyDescent="0.2">
      <c r="A2726"/>
      <c r="B2726"/>
      <c r="C2726"/>
      <c r="D2726"/>
      <c r="E2726"/>
      <c r="F2726"/>
      <c r="G2726"/>
      <c r="H2726"/>
      <c r="I2726"/>
      <c r="J2726"/>
      <c r="K2726"/>
      <c r="L2726"/>
      <c r="M2726"/>
      <c r="N2726"/>
      <c r="O2726"/>
      <c r="P2726"/>
      <c r="Q2726"/>
      <c r="R2726"/>
      <c r="S2726"/>
    </row>
    <row r="2727" spans="1:19" ht="15" x14ac:dyDescent="0.2">
      <c r="A2727"/>
      <c r="B2727"/>
      <c r="C2727"/>
      <c r="D2727"/>
      <c r="E2727"/>
      <c r="F2727"/>
      <c r="G2727"/>
      <c r="H2727"/>
      <c r="I2727"/>
      <c r="J2727"/>
      <c r="K2727"/>
      <c r="L2727"/>
      <c r="M2727"/>
      <c r="N2727"/>
      <c r="O2727"/>
      <c r="P2727"/>
      <c r="Q2727"/>
      <c r="R2727"/>
      <c r="S2727"/>
    </row>
    <row r="2728" spans="1:19" ht="15" x14ac:dyDescent="0.2">
      <c r="A2728"/>
      <c r="B2728"/>
      <c r="C2728"/>
      <c r="D2728"/>
      <c r="E2728"/>
      <c r="F2728"/>
      <c r="G2728"/>
      <c r="H2728"/>
      <c r="I2728"/>
      <c r="J2728"/>
      <c r="K2728"/>
      <c r="L2728"/>
      <c r="M2728"/>
      <c r="N2728"/>
      <c r="O2728"/>
      <c r="P2728"/>
      <c r="Q2728"/>
      <c r="R2728"/>
      <c r="S2728"/>
    </row>
    <row r="2729" spans="1:19" ht="15" x14ac:dyDescent="0.2">
      <c r="A2729"/>
      <c r="B2729"/>
      <c r="C2729"/>
      <c r="D2729"/>
      <c r="E2729"/>
      <c r="F2729"/>
      <c r="G2729"/>
      <c r="H2729"/>
      <c r="I2729"/>
      <c r="J2729"/>
      <c r="K2729"/>
      <c r="L2729"/>
      <c r="M2729"/>
      <c r="N2729"/>
      <c r="O2729"/>
      <c r="P2729"/>
      <c r="Q2729"/>
      <c r="R2729"/>
      <c r="S2729"/>
    </row>
    <row r="2730" spans="1:19" ht="15" x14ac:dyDescent="0.2">
      <c r="A2730"/>
      <c r="B2730"/>
      <c r="C2730"/>
      <c r="D2730"/>
      <c r="E2730"/>
      <c r="F2730"/>
      <c r="G2730"/>
      <c r="H2730"/>
      <c r="I2730"/>
      <c r="J2730"/>
      <c r="K2730"/>
      <c r="L2730"/>
      <c r="M2730"/>
      <c r="N2730"/>
      <c r="O2730"/>
      <c r="P2730"/>
      <c r="Q2730"/>
      <c r="R2730"/>
      <c r="S2730"/>
    </row>
    <row r="2731" spans="1:19" ht="15" x14ac:dyDescent="0.2">
      <c r="A2731"/>
      <c r="B2731"/>
      <c r="C2731"/>
      <c r="D2731"/>
      <c r="E2731"/>
      <c r="F2731"/>
      <c r="G2731"/>
      <c r="H2731"/>
      <c r="I2731"/>
      <c r="J2731"/>
      <c r="K2731"/>
      <c r="L2731"/>
      <c r="M2731"/>
      <c r="N2731"/>
      <c r="O2731"/>
      <c r="P2731"/>
      <c r="Q2731"/>
      <c r="R2731"/>
      <c r="S2731"/>
    </row>
    <row r="2732" spans="1:19" ht="15" x14ac:dyDescent="0.2">
      <c r="A2732"/>
      <c r="B2732"/>
      <c r="C2732"/>
      <c r="D2732"/>
      <c r="E2732"/>
      <c r="F2732"/>
      <c r="G2732"/>
      <c r="H2732"/>
      <c r="I2732"/>
      <c r="J2732"/>
      <c r="K2732"/>
      <c r="L2732"/>
      <c r="M2732"/>
      <c r="N2732"/>
      <c r="O2732"/>
      <c r="P2732"/>
      <c r="Q2732"/>
      <c r="R2732"/>
      <c r="S2732"/>
    </row>
    <row r="2733" spans="1:19" ht="15" x14ac:dyDescent="0.2">
      <c r="A2733"/>
      <c r="B2733"/>
      <c r="C2733"/>
      <c r="D2733"/>
      <c r="E2733"/>
      <c r="F2733"/>
      <c r="G2733"/>
      <c r="H2733"/>
      <c r="I2733"/>
      <c r="J2733"/>
      <c r="K2733"/>
      <c r="L2733"/>
      <c r="M2733"/>
      <c r="N2733"/>
      <c r="O2733"/>
      <c r="P2733"/>
      <c r="Q2733"/>
      <c r="R2733"/>
      <c r="S2733"/>
    </row>
    <row r="2734" spans="1:19" ht="15" x14ac:dyDescent="0.2">
      <c r="A2734"/>
      <c r="B2734"/>
      <c r="C2734"/>
      <c r="D2734"/>
      <c r="E2734"/>
      <c r="F2734"/>
      <c r="G2734"/>
      <c r="H2734"/>
      <c r="I2734"/>
      <c r="J2734"/>
      <c r="K2734"/>
      <c r="L2734"/>
      <c r="M2734"/>
      <c r="N2734"/>
      <c r="O2734"/>
      <c r="P2734"/>
      <c r="Q2734"/>
      <c r="R2734"/>
      <c r="S2734"/>
    </row>
    <row r="2735" spans="1:19" ht="15" x14ac:dyDescent="0.2">
      <c r="A2735"/>
      <c r="B2735"/>
      <c r="C2735"/>
      <c r="D2735"/>
      <c r="E2735"/>
      <c r="F2735"/>
      <c r="G2735"/>
      <c r="H2735"/>
      <c r="I2735"/>
      <c r="J2735"/>
      <c r="K2735"/>
      <c r="L2735"/>
      <c r="M2735"/>
      <c r="N2735"/>
      <c r="O2735"/>
      <c r="P2735"/>
      <c r="Q2735"/>
      <c r="R2735"/>
      <c r="S2735"/>
    </row>
    <row r="2736" spans="1:19" ht="15" x14ac:dyDescent="0.2">
      <c r="A2736"/>
      <c r="B2736"/>
      <c r="C2736"/>
      <c r="D2736"/>
      <c r="E2736"/>
      <c r="F2736"/>
      <c r="G2736"/>
      <c r="H2736"/>
      <c r="I2736"/>
      <c r="J2736"/>
      <c r="K2736"/>
      <c r="L2736"/>
      <c r="M2736"/>
      <c r="N2736"/>
      <c r="O2736"/>
      <c r="P2736"/>
      <c r="Q2736"/>
      <c r="R2736"/>
      <c r="S2736"/>
    </row>
    <row r="2737" spans="1:19" ht="15" x14ac:dyDescent="0.2">
      <c r="A2737"/>
      <c r="B2737"/>
      <c r="C2737"/>
      <c r="D2737"/>
      <c r="E2737"/>
      <c r="F2737"/>
      <c r="G2737"/>
      <c r="H2737"/>
      <c r="I2737"/>
      <c r="J2737"/>
      <c r="K2737"/>
      <c r="L2737"/>
      <c r="M2737"/>
      <c r="N2737"/>
      <c r="O2737"/>
      <c r="P2737"/>
      <c r="Q2737"/>
      <c r="R2737"/>
      <c r="S2737"/>
    </row>
    <row r="2738" spans="1:19" ht="15" x14ac:dyDescent="0.2">
      <c r="A2738"/>
      <c r="B2738"/>
      <c r="C2738"/>
      <c r="D2738"/>
      <c r="E2738"/>
      <c r="F2738"/>
      <c r="G2738"/>
      <c r="H2738"/>
      <c r="I2738"/>
      <c r="J2738"/>
      <c r="K2738"/>
      <c r="L2738"/>
      <c r="M2738"/>
      <c r="N2738"/>
      <c r="O2738"/>
      <c r="P2738"/>
      <c r="Q2738"/>
      <c r="R2738"/>
      <c r="S2738"/>
    </row>
    <row r="2739" spans="1:19" ht="15" x14ac:dyDescent="0.2">
      <c r="A2739"/>
      <c r="B2739"/>
      <c r="C2739"/>
      <c r="D2739"/>
      <c r="E2739"/>
      <c r="F2739"/>
      <c r="G2739"/>
      <c r="H2739"/>
      <c r="I2739"/>
      <c r="J2739"/>
      <c r="K2739"/>
      <c r="L2739"/>
      <c r="M2739"/>
      <c r="N2739"/>
      <c r="O2739"/>
      <c r="P2739"/>
      <c r="Q2739"/>
      <c r="R2739"/>
      <c r="S2739"/>
    </row>
    <row r="2740" spans="1:19" ht="15" x14ac:dyDescent="0.2">
      <c r="A2740"/>
      <c r="B2740"/>
      <c r="C2740"/>
      <c r="D2740"/>
      <c r="E2740"/>
      <c r="F2740"/>
      <c r="G2740"/>
      <c r="H2740"/>
      <c r="I2740"/>
      <c r="J2740"/>
      <c r="K2740"/>
      <c r="L2740"/>
      <c r="M2740"/>
      <c r="N2740"/>
      <c r="O2740"/>
      <c r="P2740"/>
      <c r="Q2740"/>
      <c r="R2740"/>
      <c r="S2740"/>
    </row>
    <row r="2741" spans="1:19" ht="15" x14ac:dyDescent="0.2">
      <c r="A2741"/>
      <c r="B2741"/>
      <c r="C2741"/>
      <c r="D2741"/>
      <c r="E2741"/>
      <c r="F2741"/>
      <c r="G2741"/>
      <c r="H2741"/>
      <c r="I2741"/>
      <c r="J2741"/>
      <c r="K2741"/>
      <c r="L2741"/>
      <c r="M2741"/>
      <c r="N2741"/>
      <c r="O2741"/>
      <c r="P2741"/>
      <c r="Q2741"/>
      <c r="R2741"/>
      <c r="S2741"/>
    </row>
    <row r="2742" spans="1:19" ht="15" x14ac:dyDescent="0.2">
      <c r="A2742"/>
      <c r="B2742"/>
      <c r="C2742"/>
      <c r="D2742"/>
      <c r="E2742"/>
      <c r="F2742"/>
      <c r="G2742"/>
      <c r="H2742"/>
      <c r="I2742"/>
      <c r="J2742"/>
      <c r="K2742"/>
      <c r="L2742"/>
      <c r="M2742"/>
      <c r="N2742"/>
      <c r="O2742"/>
      <c r="P2742"/>
      <c r="Q2742"/>
      <c r="R2742"/>
      <c r="S2742"/>
    </row>
    <row r="2743" spans="1:19" ht="15" x14ac:dyDescent="0.2">
      <c r="A2743"/>
      <c r="B2743"/>
      <c r="C2743"/>
      <c r="D2743"/>
      <c r="E2743"/>
      <c r="F2743"/>
      <c r="G2743"/>
      <c r="H2743"/>
      <c r="I2743"/>
      <c r="J2743"/>
      <c r="K2743"/>
      <c r="L2743"/>
      <c r="M2743"/>
      <c r="N2743"/>
      <c r="O2743"/>
      <c r="P2743"/>
      <c r="Q2743"/>
      <c r="R2743"/>
      <c r="S2743"/>
    </row>
    <row r="2744" spans="1:19" ht="15" x14ac:dyDescent="0.2">
      <c r="A2744"/>
      <c r="B2744"/>
      <c r="C2744"/>
      <c r="D2744"/>
      <c r="E2744"/>
      <c r="F2744"/>
      <c r="G2744"/>
      <c r="H2744"/>
      <c r="I2744"/>
      <c r="J2744"/>
      <c r="K2744"/>
      <c r="L2744"/>
      <c r="M2744"/>
      <c r="N2744"/>
      <c r="O2744"/>
      <c r="P2744"/>
      <c r="Q2744"/>
      <c r="R2744"/>
      <c r="S2744"/>
    </row>
    <row r="2745" spans="1:19" ht="15" x14ac:dyDescent="0.2">
      <c r="A2745"/>
      <c r="B2745"/>
      <c r="C2745"/>
      <c r="D2745"/>
      <c r="E2745"/>
      <c r="F2745"/>
      <c r="G2745"/>
      <c r="H2745"/>
      <c r="I2745"/>
      <c r="J2745"/>
      <c r="K2745"/>
      <c r="L2745"/>
      <c r="M2745"/>
      <c r="N2745"/>
      <c r="O2745"/>
      <c r="P2745"/>
      <c r="Q2745"/>
      <c r="R2745"/>
      <c r="S2745"/>
    </row>
    <row r="2746" spans="1:19" ht="15" x14ac:dyDescent="0.2">
      <c r="A2746"/>
      <c r="B2746"/>
      <c r="C2746"/>
      <c r="D2746"/>
      <c r="E2746"/>
      <c r="F2746"/>
      <c r="G2746"/>
      <c r="H2746"/>
      <c r="I2746"/>
      <c r="J2746"/>
      <c r="K2746"/>
      <c r="L2746"/>
      <c r="M2746"/>
      <c r="N2746"/>
      <c r="O2746"/>
      <c r="P2746"/>
      <c r="Q2746"/>
      <c r="R2746"/>
      <c r="S2746"/>
    </row>
    <row r="2747" spans="1:19" ht="15" x14ac:dyDescent="0.2">
      <c r="A2747"/>
      <c r="B2747"/>
      <c r="C2747"/>
      <c r="D2747"/>
      <c r="E2747"/>
      <c r="F2747"/>
      <c r="G2747"/>
      <c r="H2747"/>
      <c r="I2747"/>
      <c r="J2747"/>
      <c r="K2747"/>
      <c r="L2747"/>
      <c r="M2747"/>
      <c r="N2747"/>
      <c r="O2747"/>
      <c r="P2747"/>
      <c r="Q2747"/>
      <c r="R2747"/>
      <c r="S2747"/>
    </row>
    <row r="2748" spans="1:19" ht="15" x14ac:dyDescent="0.2">
      <c r="A2748"/>
      <c r="B2748"/>
      <c r="C2748"/>
      <c r="D2748"/>
      <c r="E2748"/>
      <c r="F2748"/>
      <c r="G2748"/>
      <c r="H2748"/>
      <c r="I2748"/>
      <c r="J2748"/>
      <c r="K2748"/>
      <c r="L2748"/>
      <c r="M2748"/>
      <c r="N2748"/>
      <c r="O2748"/>
      <c r="P2748"/>
      <c r="Q2748"/>
      <c r="R2748"/>
      <c r="S2748"/>
    </row>
    <row r="2749" spans="1:19" ht="15" x14ac:dyDescent="0.2">
      <c r="A2749"/>
      <c r="B2749"/>
      <c r="C2749"/>
      <c r="D2749"/>
      <c r="E2749"/>
      <c r="F2749"/>
      <c r="G2749"/>
      <c r="H2749"/>
      <c r="I2749"/>
      <c r="J2749"/>
      <c r="K2749"/>
      <c r="L2749"/>
      <c r="M2749"/>
      <c r="N2749"/>
      <c r="O2749"/>
      <c r="P2749"/>
      <c r="Q2749"/>
      <c r="R2749"/>
      <c r="S2749"/>
    </row>
    <row r="2750" spans="1:19" ht="15" x14ac:dyDescent="0.2">
      <c r="A2750"/>
      <c r="B2750"/>
      <c r="C2750"/>
      <c r="D2750"/>
      <c r="E2750"/>
      <c r="F2750"/>
      <c r="G2750"/>
      <c r="H2750"/>
      <c r="I2750"/>
      <c r="J2750"/>
      <c r="K2750"/>
      <c r="L2750"/>
      <c r="M2750"/>
      <c r="N2750"/>
      <c r="O2750"/>
      <c r="P2750"/>
      <c r="Q2750"/>
      <c r="R2750"/>
      <c r="S2750"/>
    </row>
    <row r="2751" spans="1:19" ht="15" x14ac:dyDescent="0.2">
      <c r="A2751"/>
      <c r="B2751"/>
      <c r="C2751"/>
      <c r="D2751"/>
      <c r="E2751"/>
      <c r="F2751"/>
      <c r="G2751"/>
      <c r="H2751"/>
      <c r="I2751"/>
      <c r="J2751"/>
      <c r="K2751"/>
      <c r="L2751"/>
      <c r="M2751"/>
      <c r="N2751"/>
      <c r="O2751"/>
      <c r="P2751"/>
      <c r="Q2751"/>
      <c r="R2751"/>
      <c r="S2751"/>
    </row>
    <row r="2752" spans="1:19" ht="15" x14ac:dyDescent="0.2">
      <c r="A2752"/>
      <c r="B2752"/>
      <c r="C2752"/>
      <c r="D2752"/>
      <c r="E2752"/>
      <c r="F2752"/>
      <c r="G2752"/>
      <c r="H2752"/>
      <c r="I2752"/>
      <c r="J2752"/>
      <c r="K2752"/>
      <c r="L2752"/>
      <c r="M2752"/>
      <c r="N2752"/>
      <c r="O2752"/>
      <c r="P2752"/>
      <c r="Q2752"/>
      <c r="R2752"/>
      <c r="S2752"/>
    </row>
    <row r="2753" spans="1:19" ht="15" x14ac:dyDescent="0.2">
      <c r="A2753"/>
      <c r="B2753"/>
      <c r="C2753"/>
      <c r="D2753"/>
      <c r="E2753"/>
      <c r="F2753"/>
      <c r="G2753"/>
      <c r="H2753"/>
      <c r="I2753"/>
      <c r="J2753"/>
      <c r="K2753"/>
      <c r="L2753"/>
      <c r="M2753"/>
      <c r="N2753"/>
      <c r="O2753"/>
      <c r="P2753"/>
      <c r="Q2753"/>
      <c r="R2753"/>
      <c r="S2753"/>
    </row>
    <row r="2754" spans="1:19" ht="15" x14ac:dyDescent="0.2">
      <c r="A2754"/>
      <c r="B2754"/>
      <c r="C2754"/>
      <c r="D2754"/>
      <c r="E2754"/>
      <c r="F2754"/>
      <c r="G2754"/>
      <c r="H2754"/>
      <c r="I2754"/>
      <c r="J2754"/>
      <c r="K2754"/>
      <c r="L2754"/>
      <c r="M2754"/>
      <c r="N2754"/>
      <c r="O2754"/>
      <c r="P2754"/>
      <c r="Q2754"/>
      <c r="R2754"/>
      <c r="S2754"/>
    </row>
    <row r="2755" spans="1:19" ht="15" x14ac:dyDescent="0.2">
      <c r="A2755"/>
      <c r="B2755"/>
      <c r="C2755"/>
      <c r="D2755"/>
      <c r="E2755"/>
      <c r="F2755"/>
      <c r="G2755"/>
      <c r="H2755"/>
      <c r="I2755"/>
      <c r="J2755"/>
      <c r="K2755"/>
      <c r="L2755"/>
      <c r="M2755"/>
      <c r="N2755"/>
      <c r="O2755"/>
      <c r="P2755"/>
      <c r="Q2755"/>
      <c r="R2755"/>
      <c r="S2755"/>
    </row>
    <row r="2756" spans="1:19" ht="15" x14ac:dyDescent="0.2">
      <c r="A2756"/>
      <c r="B2756"/>
      <c r="C2756"/>
      <c r="D2756"/>
      <c r="E2756"/>
      <c r="F2756"/>
      <c r="G2756"/>
      <c r="H2756"/>
      <c r="I2756"/>
      <c r="J2756"/>
      <c r="K2756"/>
      <c r="L2756"/>
      <c r="M2756"/>
      <c r="N2756"/>
      <c r="O2756"/>
      <c r="P2756"/>
      <c r="Q2756"/>
      <c r="R2756"/>
      <c r="S2756"/>
    </row>
    <row r="2757" spans="1:19" ht="15" x14ac:dyDescent="0.2">
      <c r="A2757"/>
      <c r="B2757"/>
      <c r="C2757"/>
      <c r="D2757"/>
      <c r="E2757"/>
      <c r="F2757"/>
      <c r="G2757"/>
      <c r="H2757"/>
      <c r="I2757"/>
      <c r="J2757"/>
      <c r="K2757"/>
      <c r="L2757"/>
      <c r="M2757"/>
      <c r="N2757"/>
      <c r="O2757"/>
      <c r="P2757"/>
      <c r="Q2757"/>
      <c r="R2757"/>
      <c r="S2757"/>
    </row>
    <row r="2758" spans="1:19" ht="15" x14ac:dyDescent="0.2">
      <c r="A2758"/>
      <c r="B2758"/>
      <c r="C2758"/>
      <c r="D2758"/>
      <c r="E2758"/>
      <c r="F2758"/>
      <c r="G2758"/>
      <c r="H2758"/>
      <c r="I2758"/>
      <c r="J2758"/>
      <c r="K2758"/>
      <c r="L2758"/>
      <c r="M2758"/>
      <c r="N2758"/>
      <c r="O2758"/>
      <c r="P2758"/>
      <c r="Q2758"/>
      <c r="R2758"/>
      <c r="S2758"/>
    </row>
    <row r="2759" spans="1:19" ht="15" x14ac:dyDescent="0.2">
      <c r="A2759"/>
      <c r="B2759"/>
      <c r="C2759"/>
      <c r="D2759"/>
      <c r="E2759"/>
      <c r="F2759"/>
      <c r="G2759"/>
      <c r="H2759"/>
      <c r="I2759"/>
      <c r="J2759"/>
      <c r="K2759"/>
      <c r="L2759"/>
      <c r="M2759"/>
      <c r="N2759"/>
      <c r="O2759"/>
      <c r="P2759"/>
      <c r="Q2759"/>
      <c r="R2759"/>
      <c r="S2759"/>
    </row>
    <row r="2760" spans="1:19" ht="15" x14ac:dyDescent="0.2">
      <c r="A2760"/>
      <c r="B2760"/>
      <c r="C2760"/>
      <c r="D2760"/>
      <c r="E2760"/>
      <c r="F2760"/>
      <c r="G2760"/>
      <c r="H2760"/>
      <c r="I2760"/>
      <c r="J2760"/>
      <c r="K2760"/>
      <c r="L2760"/>
      <c r="M2760"/>
      <c r="N2760"/>
      <c r="O2760"/>
      <c r="P2760"/>
      <c r="Q2760"/>
      <c r="R2760"/>
      <c r="S2760"/>
    </row>
    <row r="2761" spans="1:19" ht="15" x14ac:dyDescent="0.2">
      <c r="A2761"/>
      <c r="B2761"/>
      <c r="C2761"/>
      <c r="D2761"/>
      <c r="E2761"/>
      <c r="F2761"/>
      <c r="G2761"/>
      <c r="H2761"/>
      <c r="I2761"/>
      <c r="J2761"/>
      <c r="K2761"/>
      <c r="L2761"/>
      <c r="M2761"/>
      <c r="N2761"/>
      <c r="O2761"/>
      <c r="P2761"/>
      <c r="Q2761"/>
      <c r="R2761"/>
      <c r="S2761"/>
    </row>
    <row r="2762" spans="1:19" ht="15" x14ac:dyDescent="0.2">
      <c r="A2762"/>
      <c r="B2762"/>
      <c r="C2762"/>
      <c r="D2762"/>
      <c r="E2762"/>
      <c r="F2762"/>
      <c r="G2762"/>
      <c r="H2762"/>
      <c r="I2762"/>
      <c r="J2762"/>
      <c r="K2762"/>
      <c r="L2762"/>
      <c r="M2762"/>
      <c r="N2762"/>
      <c r="O2762"/>
      <c r="P2762"/>
      <c r="Q2762"/>
      <c r="R2762"/>
      <c r="S2762"/>
    </row>
    <row r="2763" spans="1:19" ht="15" x14ac:dyDescent="0.2">
      <c r="A2763"/>
      <c r="B2763"/>
      <c r="C2763"/>
      <c r="D2763"/>
      <c r="E2763"/>
      <c r="F2763"/>
      <c r="G2763"/>
      <c r="H2763"/>
      <c r="I2763"/>
      <c r="J2763"/>
      <c r="K2763"/>
      <c r="L2763"/>
      <c r="M2763"/>
      <c r="N2763"/>
      <c r="O2763"/>
      <c r="P2763"/>
      <c r="Q2763"/>
      <c r="R2763"/>
      <c r="S2763"/>
    </row>
    <row r="2764" spans="1:19" ht="15" x14ac:dyDescent="0.2">
      <c r="A2764"/>
      <c r="B2764"/>
      <c r="C2764"/>
      <c r="D2764"/>
      <c r="E2764"/>
      <c r="F2764"/>
      <c r="G2764"/>
      <c r="H2764"/>
      <c r="I2764"/>
      <c r="J2764"/>
      <c r="K2764"/>
      <c r="L2764"/>
      <c r="M2764"/>
      <c r="N2764"/>
      <c r="O2764"/>
      <c r="P2764"/>
      <c r="Q2764"/>
      <c r="R2764"/>
      <c r="S2764"/>
    </row>
    <row r="2765" spans="1:19" ht="15" x14ac:dyDescent="0.2">
      <c r="A2765"/>
      <c r="B2765"/>
      <c r="C2765"/>
      <c r="D2765"/>
      <c r="E2765"/>
      <c r="F2765"/>
      <c r="G2765"/>
      <c r="H2765"/>
      <c r="I2765"/>
      <c r="J2765"/>
      <c r="K2765"/>
      <c r="L2765"/>
      <c r="M2765"/>
      <c r="N2765"/>
      <c r="O2765"/>
      <c r="P2765"/>
      <c r="Q2765"/>
      <c r="R2765"/>
      <c r="S2765"/>
    </row>
    <row r="2766" spans="1:19" ht="15" x14ac:dyDescent="0.2">
      <c r="A2766"/>
      <c r="B2766"/>
      <c r="C2766"/>
      <c r="D2766"/>
      <c r="E2766"/>
      <c r="F2766"/>
      <c r="G2766"/>
      <c r="H2766"/>
      <c r="I2766"/>
      <c r="J2766"/>
      <c r="K2766"/>
      <c r="L2766"/>
      <c r="M2766"/>
      <c r="N2766"/>
      <c r="O2766"/>
      <c r="P2766"/>
      <c r="Q2766"/>
      <c r="R2766"/>
      <c r="S2766"/>
    </row>
    <row r="2767" spans="1:19" ht="15" x14ac:dyDescent="0.2">
      <c r="A2767"/>
      <c r="B2767"/>
      <c r="C2767"/>
      <c r="D2767"/>
      <c r="E2767"/>
      <c r="F2767"/>
      <c r="G2767"/>
      <c r="H2767"/>
      <c r="I2767"/>
      <c r="J2767"/>
      <c r="K2767"/>
      <c r="L2767"/>
      <c r="M2767"/>
      <c r="N2767"/>
      <c r="O2767"/>
      <c r="P2767"/>
      <c r="Q2767"/>
      <c r="R2767"/>
      <c r="S2767"/>
    </row>
    <row r="2768" spans="1:19" ht="15" x14ac:dyDescent="0.2">
      <c r="A2768"/>
      <c r="B2768"/>
      <c r="C2768"/>
      <c r="D2768"/>
      <c r="E2768"/>
      <c r="F2768"/>
      <c r="G2768"/>
      <c r="H2768"/>
      <c r="I2768"/>
      <c r="J2768"/>
      <c r="K2768"/>
      <c r="L2768"/>
      <c r="M2768"/>
      <c r="N2768"/>
      <c r="O2768"/>
      <c r="P2768"/>
      <c r="Q2768"/>
      <c r="R2768"/>
      <c r="S2768"/>
    </row>
    <row r="2769" spans="1:19" ht="15" x14ac:dyDescent="0.2">
      <c r="A2769"/>
      <c r="B2769"/>
      <c r="C2769"/>
      <c r="D2769"/>
      <c r="E2769"/>
      <c r="F2769"/>
      <c r="G2769"/>
      <c r="H2769"/>
      <c r="I2769"/>
      <c r="J2769"/>
      <c r="K2769"/>
      <c r="L2769"/>
      <c r="M2769"/>
      <c r="N2769"/>
      <c r="O2769"/>
      <c r="P2769"/>
      <c r="Q2769"/>
      <c r="R2769"/>
      <c r="S2769"/>
    </row>
    <row r="2770" spans="1:19" ht="15" x14ac:dyDescent="0.2">
      <c r="A2770"/>
      <c r="B2770"/>
      <c r="C2770"/>
      <c r="D2770"/>
      <c r="E2770"/>
      <c r="F2770"/>
      <c r="G2770"/>
      <c r="H2770"/>
      <c r="I2770"/>
      <c r="J2770"/>
      <c r="K2770"/>
      <c r="L2770"/>
      <c r="M2770"/>
      <c r="N2770"/>
      <c r="O2770"/>
      <c r="P2770"/>
      <c r="Q2770"/>
      <c r="R2770"/>
      <c r="S2770"/>
    </row>
    <row r="2771" spans="1:19" ht="15" x14ac:dyDescent="0.2">
      <c r="A2771"/>
      <c r="B2771"/>
      <c r="C2771"/>
      <c r="D2771"/>
      <c r="E2771"/>
      <c r="F2771"/>
      <c r="G2771"/>
      <c r="H2771"/>
      <c r="I2771"/>
      <c r="J2771"/>
      <c r="K2771"/>
      <c r="L2771"/>
      <c r="M2771"/>
      <c r="N2771"/>
      <c r="O2771"/>
      <c r="P2771"/>
      <c r="Q2771"/>
      <c r="R2771"/>
      <c r="S2771"/>
    </row>
    <row r="2772" spans="1:19" ht="15" x14ac:dyDescent="0.2">
      <c r="A2772"/>
      <c r="B2772"/>
      <c r="C2772"/>
      <c r="D2772"/>
      <c r="E2772"/>
      <c r="F2772"/>
      <c r="G2772"/>
      <c r="H2772"/>
      <c r="I2772"/>
      <c r="J2772"/>
      <c r="K2772"/>
      <c r="L2772"/>
      <c r="M2772"/>
      <c r="N2772"/>
      <c r="O2772"/>
      <c r="P2772"/>
      <c r="Q2772"/>
      <c r="R2772"/>
      <c r="S2772"/>
    </row>
    <row r="2773" spans="1:19" ht="15" x14ac:dyDescent="0.2">
      <c r="A2773"/>
      <c r="B2773"/>
      <c r="C2773"/>
      <c r="D2773"/>
      <c r="E2773"/>
      <c r="F2773"/>
      <c r="G2773"/>
      <c r="H2773"/>
      <c r="I2773"/>
      <c r="J2773"/>
      <c r="K2773"/>
      <c r="L2773"/>
      <c r="M2773"/>
      <c r="N2773"/>
      <c r="O2773"/>
      <c r="P2773"/>
      <c r="Q2773"/>
      <c r="R2773"/>
      <c r="S2773"/>
    </row>
    <row r="2774" spans="1:19" ht="15" x14ac:dyDescent="0.2">
      <c r="A2774"/>
      <c r="B2774"/>
      <c r="C2774"/>
      <c r="D2774"/>
      <c r="E2774"/>
      <c r="F2774"/>
      <c r="G2774"/>
      <c r="H2774"/>
      <c r="I2774"/>
      <c r="J2774"/>
      <c r="K2774"/>
      <c r="L2774"/>
      <c r="M2774"/>
      <c r="N2774"/>
      <c r="O2774"/>
      <c r="P2774"/>
      <c r="Q2774"/>
      <c r="R2774"/>
      <c r="S2774"/>
    </row>
    <row r="2775" spans="1:19" ht="15" x14ac:dyDescent="0.2">
      <c r="A2775"/>
      <c r="B2775"/>
      <c r="C2775"/>
      <c r="D2775"/>
      <c r="E2775"/>
      <c r="F2775"/>
      <c r="G2775"/>
      <c r="H2775"/>
      <c r="I2775"/>
      <c r="J2775"/>
      <c r="K2775"/>
      <c r="L2775"/>
      <c r="M2775"/>
      <c r="N2775"/>
      <c r="O2775"/>
      <c r="P2775"/>
      <c r="Q2775"/>
      <c r="R2775"/>
      <c r="S2775"/>
    </row>
    <row r="2776" spans="1:19" ht="15" x14ac:dyDescent="0.2">
      <c r="A2776"/>
      <c r="B2776"/>
      <c r="C2776"/>
      <c r="D2776"/>
      <c r="E2776"/>
      <c r="F2776"/>
      <c r="G2776"/>
      <c r="H2776"/>
      <c r="I2776"/>
      <c r="J2776"/>
      <c r="K2776"/>
      <c r="L2776"/>
      <c r="M2776"/>
      <c r="N2776"/>
      <c r="O2776"/>
      <c r="P2776"/>
      <c r="Q2776"/>
      <c r="R2776"/>
      <c r="S2776"/>
    </row>
    <row r="2777" spans="1:19" ht="15" x14ac:dyDescent="0.2">
      <c r="A2777"/>
      <c r="B2777"/>
      <c r="C2777"/>
      <c r="D2777"/>
      <c r="E2777"/>
      <c r="F2777"/>
      <c r="G2777"/>
      <c r="H2777"/>
      <c r="I2777"/>
      <c r="J2777"/>
      <c r="K2777"/>
      <c r="L2777"/>
      <c r="M2777"/>
      <c r="N2777"/>
      <c r="O2777"/>
      <c r="P2777"/>
      <c r="Q2777"/>
      <c r="R2777"/>
      <c r="S2777"/>
    </row>
    <row r="2778" spans="1:19" ht="15" x14ac:dyDescent="0.2">
      <c r="A2778"/>
      <c r="B2778"/>
      <c r="C2778"/>
      <c r="D2778"/>
      <c r="E2778"/>
      <c r="F2778"/>
      <c r="G2778"/>
      <c r="H2778"/>
      <c r="I2778"/>
      <c r="J2778"/>
      <c r="K2778"/>
      <c r="L2778"/>
      <c r="M2778"/>
      <c r="N2778"/>
      <c r="O2778"/>
      <c r="P2778"/>
      <c r="Q2778"/>
      <c r="R2778"/>
      <c r="S2778"/>
    </row>
    <row r="2779" spans="1:19" ht="15" x14ac:dyDescent="0.2">
      <c r="A2779"/>
      <c r="B2779"/>
      <c r="C2779"/>
      <c r="D2779"/>
      <c r="E2779"/>
      <c r="F2779"/>
      <c r="G2779"/>
      <c r="H2779"/>
      <c r="I2779"/>
      <c r="J2779"/>
      <c r="K2779"/>
      <c r="L2779"/>
      <c r="M2779"/>
      <c r="N2779"/>
      <c r="O2779"/>
      <c r="P2779"/>
      <c r="Q2779"/>
      <c r="R2779"/>
      <c r="S2779"/>
    </row>
    <row r="2780" spans="1:19" ht="15" x14ac:dyDescent="0.2">
      <c r="A2780"/>
      <c r="B2780"/>
      <c r="C2780"/>
      <c r="D2780"/>
      <c r="E2780"/>
      <c r="F2780"/>
      <c r="G2780"/>
      <c r="H2780"/>
      <c r="I2780"/>
      <c r="J2780"/>
      <c r="K2780"/>
      <c r="L2780"/>
      <c r="M2780"/>
      <c r="N2780"/>
      <c r="O2780"/>
      <c r="P2780"/>
      <c r="Q2780"/>
      <c r="R2780"/>
      <c r="S2780"/>
    </row>
    <row r="2781" spans="1:19" ht="15" x14ac:dyDescent="0.2">
      <c r="A2781"/>
      <c r="B2781"/>
      <c r="C2781"/>
      <c r="D2781"/>
      <c r="E2781"/>
      <c r="F2781"/>
      <c r="G2781"/>
      <c r="H2781"/>
      <c r="I2781"/>
      <c r="J2781"/>
      <c r="K2781"/>
      <c r="L2781"/>
      <c r="M2781"/>
      <c r="N2781"/>
      <c r="O2781"/>
      <c r="P2781"/>
      <c r="Q2781"/>
      <c r="R2781"/>
      <c r="S2781"/>
    </row>
    <row r="2782" spans="1:19" ht="15" x14ac:dyDescent="0.2">
      <c r="A2782"/>
      <c r="B2782"/>
      <c r="C2782"/>
      <c r="D2782"/>
      <c r="E2782"/>
      <c r="F2782"/>
      <c r="G2782"/>
      <c r="H2782"/>
      <c r="I2782"/>
      <c r="J2782"/>
      <c r="K2782"/>
      <c r="L2782"/>
      <c r="M2782"/>
      <c r="N2782"/>
      <c r="O2782"/>
      <c r="P2782"/>
      <c r="Q2782"/>
      <c r="R2782"/>
      <c r="S2782"/>
    </row>
    <row r="2783" spans="1:19" ht="15" x14ac:dyDescent="0.2">
      <c r="A2783"/>
      <c r="B2783"/>
      <c r="C2783"/>
      <c r="D2783"/>
      <c r="E2783"/>
      <c r="F2783"/>
      <c r="G2783"/>
      <c r="H2783"/>
      <c r="I2783"/>
      <c r="J2783"/>
      <c r="K2783"/>
      <c r="L2783"/>
      <c r="M2783"/>
      <c r="N2783"/>
      <c r="O2783"/>
      <c r="P2783"/>
      <c r="Q2783"/>
      <c r="R2783"/>
      <c r="S2783"/>
    </row>
    <row r="2784" spans="1:19" ht="15" x14ac:dyDescent="0.2">
      <c r="A2784"/>
      <c r="B2784"/>
      <c r="C2784"/>
      <c r="D2784"/>
      <c r="E2784"/>
      <c r="F2784"/>
      <c r="G2784"/>
      <c r="H2784"/>
      <c r="I2784"/>
      <c r="J2784"/>
      <c r="K2784"/>
      <c r="L2784"/>
      <c r="M2784"/>
      <c r="N2784"/>
      <c r="O2784"/>
      <c r="P2784"/>
      <c r="Q2784"/>
      <c r="R2784"/>
      <c r="S2784"/>
    </row>
    <row r="2785" spans="1:19" ht="15" x14ac:dyDescent="0.2">
      <c r="A2785"/>
      <c r="B2785"/>
      <c r="C2785"/>
      <c r="D2785"/>
      <c r="E2785"/>
      <c r="F2785"/>
      <c r="G2785"/>
      <c r="H2785"/>
      <c r="I2785"/>
      <c r="J2785"/>
      <c r="K2785"/>
      <c r="L2785"/>
      <c r="M2785"/>
      <c r="N2785"/>
      <c r="O2785"/>
      <c r="P2785"/>
      <c r="Q2785"/>
      <c r="R2785"/>
      <c r="S2785"/>
    </row>
    <row r="2786" spans="1:19" ht="15" x14ac:dyDescent="0.2">
      <c r="A2786"/>
      <c r="B2786"/>
      <c r="C2786"/>
      <c r="D2786"/>
      <c r="E2786"/>
      <c r="F2786"/>
      <c r="G2786"/>
      <c r="H2786"/>
      <c r="I2786"/>
      <c r="J2786"/>
      <c r="K2786"/>
      <c r="L2786"/>
      <c r="M2786"/>
      <c r="N2786"/>
      <c r="O2786"/>
      <c r="P2786"/>
      <c r="Q2786"/>
      <c r="R2786"/>
      <c r="S2786"/>
    </row>
    <row r="2787" spans="1:19" ht="15" x14ac:dyDescent="0.2">
      <c r="A2787"/>
      <c r="B2787"/>
      <c r="C2787"/>
      <c r="D2787"/>
      <c r="E2787"/>
      <c r="F2787"/>
      <c r="G2787"/>
      <c r="H2787"/>
      <c r="I2787"/>
      <c r="J2787"/>
      <c r="K2787"/>
      <c r="L2787"/>
      <c r="M2787"/>
      <c r="N2787"/>
      <c r="O2787"/>
      <c r="P2787"/>
      <c r="Q2787"/>
      <c r="R2787"/>
      <c r="S2787"/>
    </row>
    <row r="2788" spans="1:19" ht="15" x14ac:dyDescent="0.2">
      <c r="A2788"/>
      <c r="B2788"/>
      <c r="C2788"/>
      <c r="D2788"/>
      <c r="E2788"/>
      <c r="F2788"/>
      <c r="G2788"/>
      <c r="H2788"/>
      <c r="I2788"/>
      <c r="J2788"/>
      <c r="K2788"/>
      <c r="L2788"/>
      <c r="M2788"/>
      <c r="N2788"/>
      <c r="O2788"/>
      <c r="P2788"/>
      <c r="Q2788"/>
      <c r="R2788"/>
      <c r="S2788"/>
    </row>
    <row r="2789" spans="1:19" ht="15" x14ac:dyDescent="0.2">
      <c r="A2789"/>
      <c r="B2789"/>
      <c r="C2789"/>
      <c r="D2789"/>
      <c r="E2789"/>
      <c r="F2789"/>
      <c r="G2789"/>
      <c r="H2789"/>
      <c r="I2789"/>
      <c r="J2789"/>
      <c r="K2789"/>
      <c r="L2789"/>
      <c r="M2789"/>
      <c r="N2789"/>
      <c r="O2789"/>
      <c r="P2789"/>
      <c r="Q2789"/>
      <c r="R2789"/>
      <c r="S2789"/>
    </row>
    <row r="2790" spans="1:19" ht="15" x14ac:dyDescent="0.2">
      <c r="A2790"/>
      <c r="B2790"/>
      <c r="C2790"/>
      <c r="D2790"/>
      <c r="E2790"/>
      <c r="F2790"/>
      <c r="G2790"/>
      <c r="H2790"/>
      <c r="I2790"/>
      <c r="J2790"/>
      <c r="K2790"/>
      <c r="L2790"/>
      <c r="M2790"/>
      <c r="N2790"/>
      <c r="O2790"/>
      <c r="P2790"/>
      <c r="Q2790"/>
      <c r="R2790"/>
      <c r="S2790"/>
    </row>
    <row r="2791" spans="1:19" ht="15" x14ac:dyDescent="0.2">
      <c r="A2791"/>
      <c r="B2791"/>
      <c r="C2791"/>
      <c r="D2791"/>
      <c r="E2791"/>
      <c r="F2791"/>
      <c r="G2791"/>
      <c r="H2791"/>
      <c r="I2791"/>
      <c r="J2791"/>
      <c r="K2791"/>
      <c r="L2791"/>
      <c r="M2791"/>
      <c r="N2791"/>
      <c r="O2791"/>
      <c r="P2791"/>
      <c r="Q2791"/>
      <c r="R2791"/>
      <c r="S2791"/>
    </row>
    <row r="2792" spans="1:19" ht="15" x14ac:dyDescent="0.2">
      <c r="A2792"/>
      <c r="B2792"/>
      <c r="C2792"/>
      <c r="D2792"/>
      <c r="E2792"/>
      <c r="F2792"/>
      <c r="G2792"/>
      <c r="H2792"/>
      <c r="I2792"/>
      <c r="J2792"/>
      <c r="K2792"/>
      <c r="L2792"/>
      <c r="M2792"/>
      <c r="N2792"/>
      <c r="O2792"/>
      <c r="P2792"/>
      <c r="Q2792"/>
      <c r="R2792"/>
      <c r="S2792"/>
    </row>
    <row r="2793" spans="1:19" ht="15" x14ac:dyDescent="0.2">
      <c r="A2793"/>
      <c r="B2793"/>
      <c r="C2793"/>
      <c r="D2793"/>
      <c r="E2793"/>
      <c r="F2793"/>
      <c r="G2793"/>
      <c r="H2793"/>
      <c r="I2793"/>
      <c r="J2793"/>
      <c r="K2793"/>
      <c r="L2793"/>
      <c r="M2793"/>
      <c r="N2793"/>
      <c r="O2793"/>
      <c r="P2793"/>
      <c r="Q2793"/>
      <c r="R2793"/>
      <c r="S2793"/>
    </row>
    <row r="2794" spans="1:19" ht="15" x14ac:dyDescent="0.2">
      <c r="A2794"/>
      <c r="B2794"/>
      <c r="C2794"/>
      <c r="D2794"/>
      <c r="E2794"/>
      <c r="F2794"/>
      <c r="G2794"/>
      <c r="H2794"/>
      <c r="I2794"/>
      <c r="J2794"/>
      <c r="K2794"/>
      <c r="L2794"/>
      <c r="M2794"/>
      <c r="N2794"/>
      <c r="O2794"/>
      <c r="P2794"/>
      <c r="Q2794"/>
      <c r="R2794"/>
      <c r="S2794"/>
    </row>
    <row r="2795" spans="1:19" ht="15" x14ac:dyDescent="0.2">
      <c r="A2795"/>
      <c r="B2795"/>
      <c r="C2795"/>
      <c r="D2795"/>
      <c r="E2795"/>
      <c r="F2795"/>
      <c r="G2795"/>
      <c r="H2795"/>
      <c r="I2795"/>
      <c r="J2795"/>
      <c r="K2795"/>
      <c r="L2795"/>
      <c r="M2795"/>
      <c r="N2795"/>
      <c r="O2795"/>
      <c r="P2795"/>
      <c r="Q2795"/>
      <c r="R2795"/>
      <c r="S2795"/>
    </row>
    <row r="2796" spans="1:19" ht="15" x14ac:dyDescent="0.2">
      <c r="A2796"/>
      <c r="B2796"/>
      <c r="C2796"/>
      <c r="D2796"/>
      <c r="E2796"/>
      <c r="F2796"/>
      <c r="G2796"/>
      <c r="H2796"/>
      <c r="I2796"/>
      <c r="J2796"/>
      <c r="K2796"/>
      <c r="L2796"/>
      <c r="M2796"/>
      <c r="N2796"/>
      <c r="O2796"/>
      <c r="P2796"/>
      <c r="Q2796"/>
      <c r="R2796"/>
      <c r="S2796"/>
    </row>
    <row r="2797" spans="1:19" ht="15" x14ac:dyDescent="0.2">
      <c r="A2797"/>
      <c r="B2797"/>
      <c r="C2797"/>
      <c r="D2797"/>
      <c r="E2797"/>
      <c r="F2797"/>
      <c r="G2797"/>
      <c r="H2797"/>
      <c r="I2797"/>
      <c r="J2797"/>
      <c r="K2797"/>
      <c r="L2797"/>
      <c r="M2797"/>
      <c r="N2797"/>
      <c r="O2797"/>
      <c r="P2797"/>
      <c r="Q2797"/>
      <c r="R2797"/>
      <c r="S2797"/>
    </row>
    <row r="2798" spans="1:19" ht="15" x14ac:dyDescent="0.2">
      <c r="A2798"/>
      <c r="B2798"/>
      <c r="C2798"/>
      <c r="D2798"/>
      <c r="E2798"/>
      <c r="F2798"/>
      <c r="G2798"/>
      <c r="H2798"/>
      <c r="I2798"/>
      <c r="J2798"/>
      <c r="K2798"/>
      <c r="L2798"/>
      <c r="M2798"/>
      <c r="N2798"/>
      <c r="O2798"/>
      <c r="P2798"/>
      <c r="Q2798"/>
      <c r="R2798"/>
      <c r="S2798"/>
    </row>
    <row r="2799" spans="1:19" ht="15" x14ac:dyDescent="0.2">
      <c r="A2799"/>
      <c r="B2799"/>
      <c r="C2799"/>
      <c r="D2799"/>
      <c r="E2799"/>
      <c r="F2799"/>
      <c r="G2799"/>
      <c r="H2799"/>
      <c r="I2799"/>
      <c r="J2799"/>
      <c r="K2799"/>
      <c r="L2799"/>
      <c r="M2799"/>
      <c r="N2799"/>
      <c r="O2799"/>
      <c r="P2799"/>
      <c r="Q2799"/>
      <c r="R2799"/>
      <c r="S2799"/>
    </row>
    <row r="2800" spans="1:19" ht="15" x14ac:dyDescent="0.2">
      <c r="A2800"/>
      <c r="B2800"/>
      <c r="C2800"/>
      <c r="D2800"/>
      <c r="E2800"/>
      <c r="F2800"/>
      <c r="G2800"/>
      <c r="H2800"/>
      <c r="I2800"/>
      <c r="J2800"/>
      <c r="K2800"/>
      <c r="L2800"/>
      <c r="M2800"/>
      <c r="N2800"/>
      <c r="O2800"/>
      <c r="P2800"/>
      <c r="Q2800"/>
      <c r="R2800"/>
      <c r="S2800"/>
    </row>
    <row r="2801" spans="1:19" ht="15" x14ac:dyDescent="0.2">
      <c r="A2801"/>
      <c r="B2801"/>
      <c r="C2801"/>
      <c r="D2801"/>
      <c r="E2801"/>
      <c r="F2801"/>
      <c r="G2801"/>
      <c r="H2801"/>
      <c r="I2801"/>
      <c r="J2801"/>
      <c r="K2801"/>
      <c r="L2801"/>
      <c r="M2801"/>
      <c r="N2801"/>
      <c r="O2801"/>
      <c r="P2801"/>
      <c r="Q2801"/>
      <c r="R2801"/>
      <c r="S2801"/>
    </row>
    <row r="2802" spans="1:19" ht="15" x14ac:dyDescent="0.2">
      <c r="A2802"/>
      <c r="B2802"/>
      <c r="C2802"/>
      <c r="D2802"/>
      <c r="E2802"/>
      <c r="F2802"/>
      <c r="G2802"/>
      <c r="H2802"/>
      <c r="I2802"/>
      <c r="J2802"/>
      <c r="K2802"/>
      <c r="L2802"/>
      <c r="M2802"/>
      <c r="N2802"/>
      <c r="O2802"/>
      <c r="P2802"/>
      <c r="Q2802"/>
      <c r="R2802"/>
      <c r="S2802"/>
    </row>
    <row r="2803" spans="1:19" ht="15" x14ac:dyDescent="0.2">
      <c r="A2803"/>
      <c r="B2803"/>
      <c r="C2803"/>
      <c r="D2803"/>
      <c r="E2803"/>
      <c r="F2803"/>
      <c r="G2803"/>
      <c r="H2803"/>
      <c r="I2803"/>
      <c r="J2803"/>
      <c r="K2803"/>
      <c r="L2803"/>
      <c r="M2803"/>
      <c r="N2803"/>
      <c r="O2803"/>
      <c r="P2803"/>
      <c r="Q2803"/>
      <c r="R2803"/>
      <c r="S2803"/>
    </row>
    <row r="2804" spans="1:19" ht="15" x14ac:dyDescent="0.2">
      <c r="A2804"/>
      <c r="B2804"/>
      <c r="C2804"/>
      <c r="D2804"/>
      <c r="E2804"/>
      <c r="F2804"/>
      <c r="G2804"/>
      <c r="H2804"/>
      <c r="I2804"/>
      <c r="J2804"/>
      <c r="K2804"/>
      <c r="L2804"/>
      <c r="M2804"/>
      <c r="N2804"/>
      <c r="O2804"/>
      <c r="P2804"/>
      <c r="Q2804"/>
      <c r="R2804"/>
      <c r="S2804"/>
    </row>
    <row r="2805" spans="1:19" ht="15" x14ac:dyDescent="0.2">
      <c r="A2805"/>
      <c r="B2805"/>
      <c r="C2805"/>
      <c r="D2805"/>
      <c r="E2805"/>
      <c r="F2805"/>
      <c r="G2805"/>
      <c r="H2805"/>
      <c r="I2805"/>
      <c r="J2805"/>
      <c r="K2805"/>
      <c r="L2805"/>
      <c r="M2805"/>
      <c r="N2805"/>
      <c r="O2805"/>
      <c r="P2805"/>
      <c r="Q2805"/>
      <c r="R2805"/>
      <c r="S2805"/>
    </row>
    <row r="2806" spans="1:19" ht="15" x14ac:dyDescent="0.2">
      <c r="A2806"/>
      <c r="B2806"/>
      <c r="C2806"/>
      <c r="D2806"/>
      <c r="E2806"/>
      <c r="F2806"/>
      <c r="G2806"/>
      <c r="H2806"/>
      <c r="I2806"/>
      <c r="J2806"/>
      <c r="K2806"/>
      <c r="L2806"/>
      <c r="M2806"/>
      <c r="N2806"/>
      <c r="O2806"/>
      <c r="P2806"/>
      <c r="Q2806"/>
      <c r="R2806"/>
      <c r="S2806"/>
    </row>
    <row r="2807" spans="1:19" ht="15" x14ac:dyDescent="0.2">
      <c r="A2807"/>
      <c r="B2807"/>
      <c r="C2807"/>
      <c r="D2807"/>
      <c r="E2807"/>
      <c r="F2807"/>
      <c r="G2807"/>
      <c r="H2807"/>
      <c r="I2807"/>
      <c r="J2807"/>
      <c r="K2807"/>
      <c r="L2807"/>
      <c r="M2807"/>
      <c r="N2807"/>
      <c r="O2807"/>
      <c r="P2807"/>
      <c r="Q2807"/>
      <c r="R2807"/>
      <c r="S2807"/>
    </row>
    <row r="2808" spans="1:19" ht="15" x14ac:dyDescent="0.2">
      <c r="A2808"/>
      <c r="B2808"/>
      <c r="C2808"/>
      <c r="D2808"/>
      <c r="E2808"/>
      <c r="F2808"/>
      <c r="G2808"/>
      <c r="H2808"/>
      <c r="I2808"/>
      <c r="J2808"/>
      <c r="K2808"/>
      <c r="L2808"/>
      <c r="M2808"/>
      <c r="N2808"/>
      <c r="O2808"/>
      <c r="P2808"/>
      <c r="Q2808"/>
      <c r="R2808"/>
      <c r="S2808"/>
    </row>
    <row r="2809" spans="1:19" ht="15" x14ac:dyDescent="0.2">
      <c r="A2809"/>
      <c r="B2809"/>
      <c r="C2809"/>
      <c r="D2809"/>
      <c r="E2809"/>
      <c r="F2809"/>
      <c r="G2809"/>
      <c r="H2809"/>
      <c r="I2809"/>
      <c r="J2809"/>
      <c r="K2809"/>
      <c r="L2809"/>
      <c r="M2809"/>
      <c r="N2809"/>
      <c r="O2809"/>
      <c r="P2809"/>
      <c r="Q2809"/>
      <c r="R2809"/>
      <c r="S2809"/>
    </row>
    <row r="2810" spans="1:19" ht="15" x14ac:dyDescent="0.2">
      <c r="A2810"/>
      <c r="B2810"/>
      <c r="C2810"/>
      <c r="D2810"/>
      <c r="E2810"/>
      <c r="F2810"/>
      <c r="G2810"/>
      <c r="H2810"/>
      <c r="I2810"/>
      <c r="J2810"/>
      <c r="K2810"/>
      <c r="L2810"/>
      <c r="M2810"/>
      <c r="N2810"/>
      <c r="O2810"/>
      <c r="P2810"/>
      <c r="Q2810"/>
      <c r="R2810"/>
      <c r="S2810"/>
    </row>
    <row r="2811" spans="1:19" ht="15" x14ac:dyDescent="0.2">
      <c r="A2811"/>
      <c r="B2811"/>
      <c r="C2811"/>
      <c r="D2811"/>
      <c r="E2811"/>
      <c r="F2811"/>
      <c r="G2811"/>
      <c r="H2811"/>
      <c r="I2811"/>
      <c r="J2811"/>
      <c r="K2811"/>
      <c r="L2811"/>
      <c r="M2811"/>
      <c r="N2811"/>
      <c r="O2811"/>
      <c r="P2811"/>
      <c r="Q2811"/>
      <c r="R2811"/>
      <c r="S2811"/>
    </row>
    <row r="2812" spans="1:19" ht="15" x14ac:dyDescent="0.2">
      <c r="A2812"/>
      <c r="B2812"/>
      <c r="C2812"/>
      <c r="D2812"/>
      <c r="E2812"/>
      <c r="F2812"/>
      <c r="G2812"/>
      <c r="H2812"/>
      <c r="I2812"/>
      <c r="J2812"/>
      <c r="K2812"/>
      <c r="L2812"/>
      <c r="M2812"/>
      <c r="N2812"/>
      <c r="O2812"/>
      <c r="P2812"/>
      <c r="Q2812"/>
      <c r="R2812"/>
      <c r="S2812"/>
    </row>
    <row r="2813" spans="1:19" ht="15" x14ac:dyDescent="0.2">
      <c r="A2813"/>
      <c r="B2813"/>
      <c r="C2813"/>
      <c r="D2813"/>
      <c r="E2813"/>
      <c r="F2813"/>
      <c r="G2813"/>
      <c r="H2813"/>
      <c r="I2813"/>
      <c r="J2813"/>
      <c r="K2813"/>
      <c r="L2813"/>
      <c r="M2813"/>
      <c r="N2813"/>
      <c r="O2813"/>
      <c r="P2813"/>
      <c r="Q2813"/>
      <c r="R2813"/>
      <c r="S2813"/>
    </row>
    <row r="2814" spans="1:19" ht="15" x14ac:dyDescent="0.2">
      <c r="A2814"/>
      <c r="B2814"/>
      <c r="C2814"/>
      <c r="D2814"/>
      <c r="E2814"/>
      <c r="F2814"/>
      <c r="G2814"/>
      <c r="H2814"/>
      <c r="I2814"/>
      <c r="J2814"/>
      <c r="K2814"/>
      <c r="L2814"/>
      <c r="M2814"/>
      <c r="N2814"/>
      <c r="O2814"/>
      <c r="P2814"/>
      <c r="Q2814"/>
      <c r="R2814"/>
      <c r="S2814"/>
    </row>
    <row r="2815" spans="1:19" ht="15" x14ac:dyDescent="0.2">
      <c r="A2815"/>
      <c r="B2815"/>
      <c r="C2815"/>
      <c r="D2815"/>
      <c r="E2815"/>
      <c r="F2815"/>
      <c r="G2815"/>
      <c r="H2815"/>
      <c r="I2815"/>
      <c r="J2815"/>
      <c r="K2815"/>
      <c r="L2815"/>
      <c r="M2815"/>
      <c r="N2815"/>
      <c r="O2815"/>
      <c r="P2815"/>
      <c r="Q2815"/>
      <c r="R2815"/>
      <c r="S2815"/>
    </row>
    <row r="2816" spans="1:19" ht="15" x14ac:dyDescent="0.2">
      <c r="A2816"/>
      <c r="B2816"/>
      <c r="C2816"/>
      <c r="D2816"/>
      <c r="E2816"/>
      <c r="F2816"/>
      <c r="G2816"/>
      <c r="H2816"/>
      <c r="I2816"/>
      <c r="J2816"/>
      <c r="K2816"/>
      <c r="L2816"/>
      <c r="M2816"/>
      <c r="N2816"/>
      <c r="O2816"/>
      <c r="P2816"/>
      <c r="Q2816"/>
      <c r="R2816"/>
      <c r="S2816"/>
    </row>
    <row r="2817" spans="1:19" ht="15" x14ac:dyDescent="0.2">
      <c r="A2817"/>
      <c r="B2817"/>
      <c r="C2817"/>
      <c r="D2817"/>
      <c r="E2817"/>
      <c r="F2817"/>
      <c r="G2817"/>
      <c r="H2817"/>
      <c r="I2817"/>
      <c r="J2817"/>
      <c r="K2817"/>
      <c r="L2817"/>
      <c r="M2817"/>
      <c r="N2817"/>
      <c r="O2817"/>
      <c r="P2817"/>
      <c r="Q2817"/>
      <c r="R2817"/>
      <c r="S2817"/>
    </row>
    <row r="2818" spans="1:19" ht="15" x14ac:dyDescent="0.2">
      <c r="A2818"/>
      <c r="B2818"/>
      <c r="C2818"/>
      <c r="D2818"/>
      <c r="E2818"/>
      <c r="F2818"/>
      <c r="G2818"/>
      <c r="H2818"/>
      <c r="I2818"/>
      <c r="J2818"/>
      <c r="K2818"/>
      <c r="L2818"/>
      <c r="M2818"/>
      <c r="N2818"/>
      <c r="O2818"/>
      <c r="P2818"/>
      <c r="Q2818"/>
      <c r="R2818"/>
      <c r="S2818"/>
    </row>
    <row r="2819" spans="1:19" ht="15" x14ac:dyDescent="0.2">
      <c r="A2819"/>
      <c r="B2819"/>
      <c r="C2819"/>
      <c r="D2819"/>
      <c r="E2819"/>
      <c r="F2819"/>
      <c r="G2819"/>
      <c r="H2819"/>
      <c r="I2819"/>
      <c r="J2819"/>
      <c r="K2819"/>
      <c r="L2819"/>
      <c r="M2819"/>
      <c r="N2819"/>
      <c r="O2819"/>
      <c r="P2819"/>
      <c r="Q2819"/>
      <c r="R2819"/>
      <c r="S2819"/>
    </row>
    <row r="2820" spans="1:19" ht="15" x14ac:dyDescent="0.2">
      <c r="A2820"/>
      <c r="B2820"/>
      <c r="C2820"/>
      <c r="D2820"/>
      <c r="E2820"/>
      <c r="F2820"/>
      <c r="G2820"/>
      <c r="H2820"/>
      <c r="I2820"/>
      <c r="J2820"/>
      <c r="K2820"/>
      <c r="L2820"/>
      <c r="M2820"/>
      <c r="N2820"/>
      <c r="O2820"/>
      <c r="P2820"/>
      <c r="Q2820"/>
      <c r="R2820"/>
      <c r="S2820"/>
    </row>
    <row r="2821" spans="1:19" ht="15" x14ac:dyDescent="0.2">
      <c r="A2821"/>
      <c r="B2821"/>
      <c r="C2821"/>
      <c r="D2821"/>
      <c r="E2821"/>
      <c r="F2821"/>
      <c r="G2821"/>
      <c r="H2821"/>
      <c r="I2821"/>
      <c r="J2821"/>
      <c r="K2821"/>
      <c r="L2821"/>
      <c r="M2821"/>
      <c r="N2821"/>
      <c r="O2821"/>
      <c r="P2821"/>
      <c r="Q2821"/>
      <c r="R2821"/>
      <c r="S2821"/>
    </row>
    <row r="2822" spans="1:19" ht="15" x14ac:dyDescent="0.2">
      <c r="A2822"/>
      <c r="B2822"/>
      <c r="C2822"/>
      <c r="D2822"/>
      <c r="E2822"/>
      <c r="F2822"/>
      <c r="G2822"/>
      <c r="H2822"/>
      <c r="I2822"/>
      <c r="J2822"/>
      <c r="K2822"/>
      <c r="L2822"/>
      <c r="M2822"/>
      <c r="N2822"/>
      <c r="O2822"/>
      <c r="P2822"/>
      <c r="Q2822"/>
      <c r="R2822"/>
      <c r="S2822"/>
    </row>
    <row r="2823" spans="1:19" ht="15" x14ac:dyDescent="0.2">
      <c r="A2823"/>
      <c r="B2823"/>
      <c r="C2823"/>
      <c r="D2823"/>
      <c r="E2823"/>
      <c r="F2823"/>
      <c r="G2823"/>
      <c r="H2823"/>
      <c r="I2823"/>
      <c r="J2823"/>
      <c r="K2823"/>
      <c r="L2823"/>
      <c r="M2823"/>
      <c r="N2823"/>
      <c r="O2823"/>
      <c r="P2823"/>
      <c r="Q2823"/>
      <c r="R2823"/>
      <c r="S2823"/>
    </row>
    <row r="2824" spans="1:19" ht="15" x14ac:dyDescent="0.2">
      <c r="A2824"/>
      <c r="B2824"/>
      <c r="C2824"/>
      <c r="D2824"/>
      <c r="E2824"/>
      <c r="F2824"/>
      <c r="G2824"/>
      <c r="H2824"/>
      <c r="I2824"/>
      <c r="J2824"/>
      <c r="K2824"/>
      <c r="L2824"/>
      <c r="M2824"/>
      <c r="N2824"/>
      <c r="O2824"/>
      <c r="P2824"/>
      <c r="Q2824"/>
      <c r="R2824"/>
      <c r="S2824"/>
    </row>
    <row r="2825" spans="1:19" ht="15" x14ac:dyDescent="0.2">
      <c r="A2825"/>
      <c r="B2825"/>
      <c r="C2825"/>
      <c r="D2825"/>
      <c r="E2825"/>
      <c r="F2825"/>
      <c r="G2825"/>
      <c r="H2825"/>
      <c r="I2825"/>
      <c r="J2825"/>
      <c r="K2825"/>
      <c r="L2825"/>
      <c r="M2825"/>
      <c r="N2825"/>
      <c r="O2825"/>
      <c r="P2825"/>
      <c r="Q2825"/>
      <c r="R2825"/>
      <c r="S2825"/>
    </row>
    <row r="2826" spans="1:19" ht="15" x14ac:dyDescent="0.2">
      <c r="A2826"/>
      <c r="B2826"/>
      <c r="C2826"/>
      <c r="D2826"/>
      <c r="E2826"/>
      <c r="F2826"/>
      <c r="G2826"/>
      <c r="H2826"/>
      <c r="I2826"/>
      <c r="J2826"/>
      <c r="K2826"/>
      <c r="L2826"/>
      <c r="M2826"/>
      <c r="N2826"/>
      <c r="O2826"/>
      <c r="P2826"/>
      <c r="Q2826"/>
      <c r="R2826"/>
      <c r="S2826"/>
    </row>
    <row r="2827" spans="1:19" ht="15" x14ac:dyDescent="0.2">
      <c r="A2827"/>
      <c r="B2827"/>
      <c r="C2827"/>
      <c r="D2827"/>
      <c r="E2827"/>
      <c r="F2827"/>
      <c r="G2827"/>
      <c r="H2827"/>
      <c r="I2827"/>
      <c r="J2827"/>
      <c r="K2827"/>
      <c r="L2827"/>
      <c r="M2827"/>
      <c r="N2827"/>
      <c r="O2827"/>
      <c r="P2827"/>
      <c r="Q2827"/>
      <c r="R2827"/>
      <c r="S2827"/>
    </row>
    <row r="2828" spans="1:19" ht="15" x14ac:dyDescent="0.2">
      <c r="A2828"/>
      <c r="B2828"/>
      <c r="C2828"/>
      <c r="D2828"/>
      <c r="E2828"/>
      <c r="F2828"/>
      <c r="G2828"/>
      <c r="H2828"/>
      <c r="I2828"/>
      <c r="J2828"/>
      <c r="K2828"/>
      <c r="L2828"/>
      <c r="M2828"/>
      <c r="N2828"/>
      <c r="O2828"/>
      <c r="P2828"/>
      <c r="Q2828"/>
      <c r="R2828"/>
      <c r="S2828"/>
    </row>
    <row r="2829" spans="1:19" ht="15" x14ac:dyDescent="0.2">
      <c r="A2829"/>
      <c r="B2829"/>
      <c r="C2829"/>
      <c r="D2829"/>
      <c r="E2829"/>
      <c r="F2829"/>
      <c r="G2829"/>
      <c r="H2829"/>
      <c r="I2829"/>
      <c r="J2829"/>
      <c r="K2829"/>
      <c r="L2829"/>
      <c r="M2829"/>
      <c r="N2829"/>
      <c r="O2829"/>
      <c r="P2829"/>
      <c r="Q2829"/>
      <c r="R2829"/>
      <c r="S2829"/>
    </row>
    <row r="2830" spans="1:19" ht="15" x14ac:dyDescent="0.2">
      <c r="A2830"/>
      <c r="B2830"/>
      <c r="C2830"/>
      <c r="D2830"/>
      <c r="E2830"/>
      <c r="F2830"/>
      <c r="G2830"/>
      <c r="H2830"/>
      <c r="I2830"/>
      <c r="J2830"/>
      <c r="K2830"/>
      <c r="L2830"/>
      <c r="M2830"/>
      <c r="N2830"/>
      <c r="O2830"/>
      <c r="P2830"/>
      <c r="Q2830"/>
      <c r="R2830"/>
      <c r="S2830"/>
    </row>
    <row r="2831" spans="1:19" ht="15" x14ac:dyDescent="0.2">
      <c r="A2831"/>
      <c r="B2831"/>
      <c r="C2831"/>
      <c r="D2831"/>
      <c r="E2831"/>
      <c r="F2831"/>
      <c r="G2831"/>
      <c r="H2831"/>
      <c r="I2831"/>
      <c r="J2831"/>
      <c r="K2831"/>
      <c r="L2831"/>
      <c r="M2831"/>
      <c r="N2831"/>
      <c r="O2831"/>
      <c r="P2831"/>
      <c r="Q2831"/>
      <c r="R2831"/>
      <c r="S2831"/>
    </row>
    <row r="2832" spans="1:19" ht="15" x14ac:dyDescent="0.2">
      <c r="A2832"/>
      <c r="B2832"/>
      <c r="C2832"/>
      <c r="D2832"/>
      <c r="E2832"/>
      <c r="F2832"/>
      <c r="G2832"/>
      <c r="H2832"/>
      <c r="I2832"/>
      <c r="J2832"/>
      <c r="K2832"/>
      <c r="L2832"/>
      <c r="M2832"/>
      <c r="N2832"/>
      <c r="O2832"/>
      <c r="P2832"/>
      <c r="Q2832"/>
      <c r="R2832"/>
      <c r="S2832"/>
    </row>
    <row r="2833" spans="1:19" ht="15" x14ac:dyDescent="0.2">
      <c r="A2833"/>
      <c r="B2833"/>
      <c r="C2833"/>
      <c r="D2833"/>
      <c r="E2833"/>
      <c r="F2833"/>
      <c r="G2833"/>
      <c r="H2833"/>
      <c r="I2833"/>
      <c r="J2833"/>
      <c r="K2833"/>
      <c r="L2833"/>
      <c r="M2833"/>
      <c r="N2833"/>
      <c r="O2833"/>
      <c r="P2833"/>
      <c r="Q2833"/>
      <c r="R2833"/>
      <c r="S2833"/>
    </row>
    <row r="2834" spans="1:19" ht="15" x14ac:dyDescent="0.2">
      <c r="A2834"/>
      <c r="B2834"/>
      <c r="C2834"/>
      <c r="D2834"/>
      <c r="E2834"/>
      <c r="F2834"/>
      <c r="G2834"/>
      <c r="H2834"/>
      <c r="I2834"/>
      <c r="J2834"/>
      <c r="K2834"/>
      <c r="L2834"/>
      <c r="M2834"/>
      <c r="N2834"/>
      <c r="O2834"/>
      <c r="P2834"/>
      <c r="Q2834"/>
      <c r="R2834"/>
      <c r="S2834"/>
    </row>
    <row r="2835" spans="1:19" ht="15" x14ac:dyDescent="0.2">
      <c r="A2835"/>
      <c r="B2835"/>
      <c r="C2835"/>
      <c r="D2835"/>
      <c r="E2835"/>
      <c r="F2835"/>
      <c r="G2835"/>
      <c r="H2835"/>
      <c r="I2835"/>
      <c r="J2835"/>
      <c r="K2835"/>
      <c r="L2835"/>
      <c r="M2835"/>
      <c r="N2835"/>
      <c r="O2835"/>
      <c r="P2835"/>
      <c r="Q2835"/>
      <c r="R2835"/>
      <c r="S2835"/>
    </row>
    <row r="2836" spans="1:19" ht="15" x14ac:dyDescent="0.2">
      <c r="A2836"/>
      <c r="B2836"/>
      <c r="C2836"/>
      <c r="D2836"/>
      <c r="E2836"/>
      <c r="F2836"/>
      <c r="G2836"/>
      <c r="H2836"/>
      <c r="I2836"/>
      <c r="J2836"/>
      <c r="K2836"/>
      <c r="L2836"/>
      <c r="M2836"/>
      <c r="N2836"/>
      <c r="O2836"/>
      <c r="P2836"/>
      <c r="Q2836"/>
      <c r="R2836"/>
      <c r="S2836"/>
    </row>
    <row r="2837" spans="1:19" ht="15" x14ac:dyDescent="0.2">
      <c r="A2837"/>
      <c r="B2837"/>
      <c r="C2837"/>
      <c r="D2837"/>
      <c r="E2837"/>
      <c r="F2837"/>
      <c r="G2837"/>
      <c r="H2837"/>
      <c r="I2837"/>
      <c r="J2837"/>
      <c r="K2837"/>
      <c r="L2837"/>
      <c r="M2837"/>
      <c r="N2837"/>
      <c r="O2837"/>
      <c r="P2837"/>
      <c r="Q2837"/>
      <c r="R2837"/>
      <c r="S2837"/>
    </row>
    <row r="2838" spans="1:19" ht="15" x14ac:dyDescent="0.2">
      <c r="A2838"/>
      <c r="B2838"/>
      <c r="C2838"/>
      <c r="D2838"/>
      <c r="E2838"/>
      <c r="F2838"/>
      <c r="G2838"/>
      <c r="H2838"/>
      <c r="I2838"/>
      <c r="J2838"/>
      <c r="K2838"/>
      <c r="L2838"/>
      <c r="M2838"/>
      <c r="N2838"/>
      <c r="O2838"/>
      <c r="P2838"/>
      <c r="Q2838"/>
      <c r="R2838"/>
      <c r="S2838"/>
    </row>
    <row r="2839" spans="1:19" ht="15" x14ac:dyDescent="0.2">
      <c r="A2839"/>
      <c r="B2839"/>
      <c r="C2839"/>
      <c r="D2839"/>
      <c r="E2839"/>
      <c r="F2839"/>
      <c r="G2839"/>
      <c r="H2839"/>
      <c r="I2839"/>
      <c r="J2839"/>
      <c r="K2839"/>
      <c r="L2839"/>
      <c r="M2839"/>
      <c r="N2839"/>
      <c r="O2839"/>
      <c r="P2839"/>
      <c r="Q2839"/>
      <c r="R2839"/>
      <c r="S2839"/>
    </row>
    <row r="2840" spans="1:19" ht="15" x14ac:dyDescent="0.2">
      <c r="A2840"/>
      <c r="B2840"/>
      <c r="C2840"/>
      <c r="D2840"/>
      <c r="E2840"/>
      <c r="F2840"/>
      <c r="G2840"/>
      <c r="H2840"/>
      <c r="I2840"/>
      <c r="J2840"/>
      <c r="K2840"/>
      <c r="L2840"/>
      <c r="M2840"/>
      <c r="N2840"/>
      <c r="O2840"/>
      <c r="P2840"/>
      <c r="Q2840"/>
      <c r="R2840"/>
      <c r="S2840"/>
    </row>
    <row r="2841" spans="1:19" ht="15" x14ac:dyDescent="0.2">
      <c r="A2841"/>
      <c r="B2841"/>
      <c r="C2841"/>
      <c r="D2841"/>
      <c r="E2841"/>
      <c r="F2841"/>
      <c r="G2841"/>
      <c r="H2841"/>
      <c r="I2841"/>
      <c r="J2841"/>
      <c r="K2841"/>
      <c r="L2841"/>
      <c r="M2841"/>
      <c r="N2841"/>
      <c r="O2841"/>
      <c r="P2841"/>
      <c r="Q2841"/>
      <c r="R2841"/>
      <c r="S2841"/>
    </row>
    <row r="2842" spans="1:19" ht="15" x14ac:dyDescent="0.2">
      <c r="A2842"/>
      <c r="B2842"/>
      <c r="C2842"/>
      <c r="D2842"/>
      <c r="E2842"/>
      <c r="F2842"/>
      <c r="G2842"/>
      <c r="H2842"/>
      <c r="I2842"/>
      <c r="J2842"/>
      <c r="K2842"/>
      <c r="L2842"/>
      <c r="M2842"/>
      <c r="N2842"/>
      <c r="O2842"/>
      <c r="P2842"/>
      <c r="Q2842"/>
      <c r="R2842"/>
      <c r="S2842"/>
    </row>
    <row r="2843" spans="1:19" ht="15" x14ac:dyDescent="0.2">
      <c r="A2843"/>
      <c r="B2843"/>
      <c r="C2843"/>
      <c r="D2843"/>
      <c r="E2843"/>
      <c r="F2843"/>
      <c r="G2843"/>
      <c r="H2843"/>
      <c r="I2843"/>
      <c r="J2843"/>
      <c r="K2843"/>
      <c r="L2843"/>
      <c r="M2843"/>
      <c r="N2843"/>
      <c r="O2843"/>
      <c r="P2843"/>
      <c r="Q2843"/>
      <c r="R2843"/>
      <c r="S2843"/>
    </row>
    <row r="2844" spans="1:19" ht="15" x14ac:dyDescent="0.2">
      <c r="A2844"/>
      <c r="B2844"/>
      <c r="C2844"/>
      <c r="D2844"/>
      <c r="E2844"/>
      <c r="F2844"/>
      <c r="G2844"/>
      <c r="H2844"/>
      <c r="I2844"/>
      <c r="J2844"/>
      <c r="K2844"/>
      <c r="L2844"/>
      <c r="M2844"/>
      <c r="N2844"/>
      <c r="O2844"/>
      <c r="P2844"/>
      <c r="Q2844"/>
      <c r="R2844"/>
      <c r="S2844"/>
    </row>
    <row r="2845" spans="1:19" ht="15" x14ac:dyDescent="0.2">
      <c r="A2845"/>
      <c r="B2845"/>
      <c r="C2845"/>
      <c r="D2845"/>
      <c r="E2845"/>
      <c r="F2845"/>
      <c r="G2845"/>
      <c r="H2845"/>
      <c r="I2845"/>
      <c r="J2845"/>
      <c r="K2845"/>
      <c r="L2845"/>
      <c r="M2845"/>
      <c r="N2845"/>
      <c r="O2845"/>
      <c r="P2845"/>
      <c r="Q2845"/>
      <c r="R2845"/>
      <c r="S2845"/>
    </row>
    <row r="2846" spans="1:19" ht="15" x14ac:dyDescent="0.2">
      <c r="A2846"/>
      <c r="B2846"/>
      <c r="C2846"/>
      <c r="D2846"/>
      <c r="E2846"/>
      <c r="F2846"/>
      <c r="G2846"/>
      <c r="H2846"/>
      <c r="I2846"/>
      <c r="J2846"/>
      <c r="K2846"/>
      <c r="L2846"/>
      <c r="M2846"/>
      <c r="N2846"/>
      <c r="O2846"/>
      <c r="P2846"/>
      <c r="Q2846"/>
      <c r="R2846"/>
      <c r="S2846"/>
    </row>
    <row r="2847" spans="1:19" ht="15" x14ac:dyDescent="0.2">
      <c r="A2847"/>
      <c r="B2847"/>
      <c r="C2847"/>
      <c r="D2847"/>
      <c r="E2847"/>
      <c r="F2847"/>
      <c r="G2847"/>
      <c r="H2847"/>
      <c r="I2847"/>
      <c r="J2847"/>
      <c r="K2847"/>
      <c r="L2847"/>
      <c r="M2847"/>
      <c r="N2847"/>
      <c r="O2847"/>
      <c r="P2847"/>
      <c r="Q2847"/>
      <c r="R2847"/>
      <c r="S2847"/>
    </row>
    <row r="2848" spans="1:19" ht="15" x14ac:dyDescent="0.2">
      <c r="A2848"/>
      <c r="B2848"/>
      <c r="C2848"/>
      <c r="D2848"/>
      <c r="E2848"/>
      <c r="F2848"/>
      <c r="G2848"/>
      <c r="H2848"/>
      <c r="I2848"/>
      <c r="J2848"/>
      <c r="K2848"/>
      <c r="L2848"/>
      <c r="M2848"/>
      <c r="N2848"/>
      <c r="O2848"/>
      <c r="P2848"/>
      <c r="Q2848"/>
      <c r="R2848"/>
      <c r="S2848"/>
    </row>
    <row r="2849" spans="1:19" ht="15" x14ac:dyDescent="0.2">
      <c r="A2849"/>
      <c r="B2849"/>
      <c r="C2849"/>
      <c r="D2849"/>
      <c r="E2849"/>
      <c r="F2849"/>
      <c r="G2849"/>
      <c r="H2849"/>
      <c r="I2849"/>
      <c r="J2849"/>
      <c r="K2849"/>
      <c r="L2849"/>
      <c r="M2849"/>
      <c r="N2849"/>
      <c r="O2849"/>
      <c r="P2849"/>
      <c r="Q2849"/>
      <c r="R2849"/>
      <c r="S2849"/>
    </row>
    <row r="2850" spans="1:19" ht="15" x14ac:dyDescent="0.2">
      <c r="A2850"/>
      <c r="B2850"/>
      <c r="C2850"/>
      <c r="D2850"/>
      <c r="E2850"/>
      <c r="F2850"/>
      <c r="G2850"/>
      <c r="H2850"/>
      <c r="I2850"/>
      <c r="J2850"/>
      <c r="K2850"/>
      <c r="L2850"/>
      <c r="M2850"/>
      <c r="N2850"/>
      <c r="O2850"/>
      <c r="P2850"/>
      <c r="Q2850"/>
      <c r="R2850"/>
      <c r="S2850"/>
    </row>
    <row r="2851" spans="1:19" ht="15" x14ac:dyDescent="0.2">
      <c r="A2851"/>
      <c r="B2851"/>
      <c r="C2851"/>
      <c r="D2851"/>
      <c r="E2851"/>
      <c r="F2851"/>
      <c r="G2851"/>
      <c r="H2851"/>
      <c r="I2851"/>
      <c r="J2851"/>
      <c r="K2851"/>
      <c r="L2851"/>
      <c r="M2851"/>
      <c r="N2851"/>
      <c r="O2851"/>
      <c r="P2851"/>
      <c r="Q2851"/>
      <c r="R2851"/>
      <c r="S2851"/>
    </row>
    <row r="2852" spans="1:19" ht="15" x14ac:dyDescent="0.2">
      <c r="A2852"/>
      <c r="B2852"/>
      <c r="C2852"/>
      <c r="D2852"/>
      <c r="E2852"/>
      <c r="F2852"/>
      <c r="G2852"/>
      <c r="H2852"/>
      <c r="I2852"/>
      <c r="J2852"/>
      <c r="K2852"/>
      <c r="L2852"/>
      <c r="M2852"/>
      <c r="N2852"/>
      <c r="O2852"/>
      <c r="P2852"/>
      <c r="Q2852"/>
      <c r="R2852"/>
      <c r="S2852"/>
    </row>
    <row r="2853" spans="1:19" ht="15" x14ac:dyDescent="0.2">
      <c r="A2853"/>
      <c r="B2853"/>
      <c r="C2853"/>
      <c r="D2853"/>
      <c r="E2853"/>
      <c r="F2853"/>
      <c r="G2853"/>
      <c r="H2853"/>
      <c r="I2853"/>
      <c r="J2853"/>
      <c r="K2853"/>
      <c r="L2853"/>
      <c r="M2853"/>
      <c r="N2853"/>
      <c r="O2853"/>
      <c r="P2853"/>
      <c r="Q2853"/>
      <c r="R2853"/>
      <c r="S2853"/>
    </row>
    <row r="2854" spans="1:19" ht="15" x14ac:dyDescent="0.2">
      <c r="A2854"/>
      <c r="B2854"/>
      <c r="C2854"/>
      <c r="D2854"/>
      <c r="E2854"/>
      <c r="F2854"/>
      <c r="G2854"/>
      <c r="H2854"/>
      <c r="I2854"/>
      <c r="J2854"/>
      <c r="K2854"/>
      <c r="L2854"/>
      <c r="M2854"/>
      <c r="N2854"/>
      <c r="O2854"/>
      <c r="P2854"/>
      <c r="Q2854"/>
      <c r="R2854"/>
      <c r="S2854"/>
    </row>
    <row r="2855" spans="1:19" ht="15" x14ac:dyDescent="0.2">
      <c r="A2855"/>
      <c r="B2855"/>
      <c r="C2855"/>
      <c r="D2855"/>
      <c r="E2855"/>
      <c r="F2855"/>
      <c r="G2855"/>
      <c r="H2855"/>
      <c r="I2855"/>
      <c r="J2855"/>
      <c r="K2855"/>
      <c r="L2855"/>
      <c r="M2855"/>
      <c r="N2855"/>
      <c r="O2855"/>
      <c r="P2855"/>
      <c r="Q2855"/>
      <c r="R2855"/>
      <c r="S2855"/>
    </row>
    <row r="2856" spans="1:19" ht="15" x14ac:dyDescent="0.2">
      <c r="A2856"/>
      <c r="B2856"/>
      <c r="C2856"/>
      <c r="D2856"/>
      <c r="E2856"/>
      <c r="F2856"/>
      <c r="G2856"/>
      <c r="H2856"/>
      <c r="I2856"/>
      <c r="J2856"/>
      <c r="K2856"/>
      <c r="L2856"/>
      <c r="M2856"/>
      <c r="N2856"/>
      <c r="O2856"/>
      <c r="P2856"/>
      <c r="Q2856"/>
      <c r="R2856"/>
      <c r="S2856"/>
    </row>
    <row r="2857" spans="1:19" ht="15" x14ac:dyDescent="0.2">
      <c r="A2857"/>
      <c r="B2857"/>
      <c r="C2857"/>
      <c r="D2857"/>
      <c r="E2857"/>
      <c r="F2857"/>
      <c r="G2857"/>
      <c r="H2857"/>
      <c r="I2857"/>
      <c r="J2857"/>
      <c r="K2857"/>
      <c r="L2857"/>
      <c r="M2857"/>
      <c r="N2857"/>
      <c r="O2857"/>
      <c r="P2857"/>
      <c r="Q2857"/>
      <c r="R2857"/>
      <c r="S2857"/>
    </row>
    <row r="2858" spans="1:19" ht="15" x14ac:dyDescent="0.2">
      <c r="A2858"/>
      <c r="B2858"/>
      <c r="C2858"/>
      <c r="D2858"/>
      <c r="E2858"/>
      <c r="F2858"/>
      <c r="G2858"/>
      <c r="H2858"/>
      <c r="I2858"/>
      <c r="J2858"/>
      <c r="K2858"/>
      <c r="L2858"/>
      <c r="M2858"/>
      <c r="N2858"/>
      <c r="O2858"/>
      <c r="P2858"/>
      <c r="Q2858"/>
      <c r="R2858"/>
      <c r="S2858"/>
    </row>
    <row r="2859" spans="1:19" ht="15" x14ac:dyDescent="0.2">
      <c r="A2859"/>
      <c r="B2859"/>
      <c r="C2859"/>
      <c r="D2859"/>
      <c r="E2859"/>
      <c r="F2859"/>
      <c r="G2859"/>
      <c r="H2859"/>
      <c r="I2859"/>
      <c r="J2859"/>
      <c r="K2859"/>
      <c r="L2859"/>
      <c r="M2859"/>
      <c r="N2859"/>
      <c r="O2859"/>
      <c r="P2859"/>
      <c r="Q2859"/>
      <c r="R2859"/>
      <c r="S2859"/>
    </row>
    <row r="2860" spans="1:19" ht="15" x14ac:dyDescent="0.2">
      <c r="A2860"/>
      <c r="B2860"/>
      <c r="C2860"/>
      <c r="D2860"/>
      <c r="E2860"/>
      <c r="F2860"/>
      <c r="G2860"/>
      <c r="H2860"/>
      <c r="I2860"/>
      <c r="J2860"/>
      <c r="K2860"/>
      <c r="L2860"/>
      <c r="M2860"/>
      <c r="N2860"/>
      <c r="O2860"/>
      <c r="P2860"/>
      <c r="Q2860"/>
      <c r="R2860"/>
      <c r="S2860"/>
    </row>
    <row r="2861" spans="1:19" ht="15" x14ac:dyDescent="0.2">
      <c r="A2861"/>
      <c r="B2861"/>
      <c r="C2861"/>
      <c r="D2861"/>
      <c r="E2861"/>
      <c r="F2861"/>
      <c r="G2861"/>
      <c r="H2861"/>
      <c r="I2861"/>
      <c r="J2861"/>
      <c r="K2861"/>
      <c r="L2861"/>
      <c r="M2861"/>
      <c r="N2861"/>
      <c r="O2861"/>
      <c r="P2861"/>
      <c r="Q2861"/>
      <c r="R2861"/>
      <c r="S2861"/>
    </row>
    <row r="2862" spans="1:19" ht="15" x14ac:dyDescent="0.2">
      <c r="A2862"/>
      <c r="B2862"/>
      <c r="C2862"/>
      <c r="D2862"/>
      <c r="E2862"/>
      <c r="F2862"/>
      <c r="G2862"/>
      <c r="H2862"/>
      <c r="I2862"/>
      <c r="J2862"/>
      <c r="K2862"/>
      <c r="L2862"/>
      <c r="M2862"/>
      <c r="N2862"/>
      <c r="O2862"/>
      <c r="P2862"/>
      <c r="Q2862"/>
      <c r="R2862"/>
      <c r="S2862"/>
    </row>
    <row r="2863" spans="1:19" ht="15" x14ac:dyDescent="0.2">
      <c r="A2863"/>
      <c r="B2863"/>
      <c r="C2863"/>
      <c r="D2863"/>
      <c r="E2863"/>
      <c r="F2863"/>
      <c r="G2863"/>
      <c r="H2863"/>
      <c r="I2863"/>
      <c r="J2863"/>
      <c r="K2863"/>
      <c r="L2863"/>
      <c r="M2863"/>
      <c r="N2863"/>
      <c r="O2863"/>
      <c r="P2863"/>
      <c r="Q2863"/>
      <c r="R2863"/>
      <c r="S2863"/>
    </row>
    <row r="2864" spans="1:19" ht="15" x14ac:dyDescent="0.2">
      <c r="A2864"/>
      <c r="B2864"/>
      <c r="C2864"/>
      <c r="D2864"/>
      <c r="E2864"/>
      <c r="F2864"/>
      <c r="G2864"/>
      <c r="H2864"/>
      <c r="I2864"/>
      <c r="J2864"/>
      <c r="K2864"/>
      <c r="L2864"/>
      <c r="M2864"/>
      <c r="N2864"/>
      <c r="O2864"/>
      <c r="P2864"/>
      <c r="Q2864"/>
      <c r="R2864"/>
      <c r="S2864"/>
    </row>
    <row r="2865" spans="1:19" ht="15" x14ac:dyDescent="0.2">
      <c r="A2865"/>
      <c r="B2865"/>
      <c r="C2865"/>
      <c r="D2865"/>
      <c r="E2865"/>
      <c r="F2865"/>
      <c r="G2865"/>
      <c r="H2865"/>
      <c r="I2865"/>
      <c r="J2865"/>
      <c r="K2865"/>
      <c r="L2865"/>
      <c r="M2865"/>
      <c r="N2865"/>
      <c r="O2865"/>
      <c r="P2865"/>
      <c r="Q2865"/>
      <c r="R2865"/>
      <c r="S2865"/>
    </row>
    <row r="2866" spans="1:19" ht="15" x14ac:dyDescent="0.2">
      <c r="A2866"/>
      <c r="B2866"/>
      <c r="C2866"/>
      <c r="D2866"/>
      <c r="E2866"/>
      <c r="F2866"/>
      <c r="G2866"/>
      <c r="H2866"/>
      <c r="I2866"/>
      <c r="J2866"/>
      <c r="K2866"/>
      <c r="L2866"/>
      <c r="M2866"/>
      <c r="N2866"/>
      <c r="O2866"/>
      <c r="P2866"/>
      <c r="Q2866"/>
      <c r="R2866"/>
      <c r="S2866"/>
    </row>
    <row r="2867" spans="1:19" ht="15" x14ac:dyDescent="0.2">
      <c r="A2867"/>
      <c r="B2867"/>
      <c r="C2867"/>
      <c r="D2867"/>
      <c r="E2867"/>
      <c r="F2867"/>
      <c r="G2867"/>
      <c r="H2867"/>
      <c r="I2867"/>
      <c r="J2867"/>
      <c r="K2867"/>
      <c r="L2867"/>
      <c r="M2867"/>
      <c r="N2867"/>
      <c r="O2867"/>
      <c r="P2867"/>
      <c r="Q2867"/>
      <c r="R2867"/>
      <c r="S2867"/>
    </row>
    <row r="2868" spans="1:19" ht="15" x14ac:dyDescent="0.2">
      <c r="A2868"/>
      <c r="B2868"/>
      <c r="C2868"/>
      <c r="D2868"/>
      <c r="E2868"/>
      <c r="F2868"/>
      <c r="G2868"/>
      <c r="H2868"/>
      <c r="I2868"/>
      <c r="J2868"/>
      <c r="K2868"/>
      <c r="L2868"/>
      <c r="M2868"/>
      <c r="N2868"/>
      <c r="O2868"/>
      <c r="P2868"/>
      <c r="Q2868"/>
      <c r="R2868"/>
      <c r="S2868"/>
    </row>
    <row r="2869" spans="1:19" ht="15" x14ac:dyDescent="0.2">
      <c r="A2869"/>
      <c r="B2869"/>
      <c r="C2869"/>
      <c r="D2869"/>
      <c r="E2869"/>
      <c r="F2869"/>
      <c r="G2869"/>
      <c r="H2869"/>
      <c r="I2869"/>
      <c r="J2869"/>
      <c r="K2869"/>
      <c r="L2869"/>
      <c r="M2869"/>
      <c r="N2869"/>
      <c r="O2869"/>
      <c r="P2869"/>
      <c r="Q2869"/>
      <c r="R2869"/>
      <c r="S2869"/>
    </row>
    <row r="2870" spans="1:19" ht="15" x14ac:dyDescent="0.2">
      <c r="A2870"/>
      <c r="B2870"/>
      <c r="C2870"/>
      <c r="D2870"/>
      <c r="E2870"/>
      <c r="F2870"/>
      <c r="G2870"/>
      <c r="H2870"/>
      <c r="I2870"/>
      <c r="J2870"/>
      <c r="K2870"/>
      <c r="L2870"/>
      <c r="M2870"/>
      <c r="N2870"/>
      <c r="O2870"/>
      <c r="P2870"/>
      <c r="Q2870"/>
      <c r="R2870"/>
      <c r="S2870"/>
    </row>
    <row r="2871" spans="1:19" ht="15" x14ac:dyDescent="0.2">
      <c r="A2871"/>
      <c r="B2871"/>
      <c r="C2871"/>
      <c r="D2871"/>
      <c r="E2871"/>
      <c r="F2871"/>
      <c r="G2871"/>
      <c r="H2871"/>
      <c r="I2871"/>
      <c r="J2871"/>
      <c r="K2871"/>
      <c r="L2871"/>
      <c r="M2871"/>
      <c r="N2871"/>
      <c r="O2871"/>
      <c r="P2871"/>
      <c r="Q2871"/>
      <c r="R2871"/>
      <c r="S2871"/>
    </row>
    <row r="2872" spans="1:19" ht="15" x14ac:dyDescent="0.2">
      <c r="A2872"/>
      <c r="B2872"/>
      <c r="C2872"/>
      <c r="D2872"/>
      <c r="E2872"/>
      <c r="F2872"/>
      <c r="G2872"/>
      <c r="H2872"/>
      <c r="I2872"/>
      <c r="J2872"/>
      <c r="K2872"/>
      <c r="L2872"/>
      <c r="M2872"/>
      <c r="N2872"/>
      <c r="O2872"/>
      <c r="P2872"/>
      <c r="Q2872"/>
      <c r="R2872"/>
      <c r="S2872"/>
    </row>
    <row r="2873" spans="1:19" ht="15" x14ac:dyDescent="0.2">
      <c r="A2873"/>
      <c r="B2873"/>
      <c r="C2873"/>
      <c r="D2873"/>
      <c r="E2873"/>
      <c r="F2873"/>
      <c r="G2873"/>
      <c r="H2873"/>
      <c r="I2873"/>
      <c r="J2873"/>
      <c r="K2873"/>
      <c r="L2873"/>
      <c r="M2873"/>
      <c r="N2873"/>
      <c r="O2873"/>
      <c r="P2873"/>
      <c r="Q2873"/>
      <c r="R2873"/>
      <c r="S2873"/>
    </row>
    <row r="2874" spans="1:19" ht="15" x14ac:dyDescent="0.2">
      <c r="A2874"/>
      <c r="B2874"/>
      <c r="C2874"/>
      <c r="D2874"/>
      <c r="E2874"/>
      <c r="F2874"/>
      <c r="G2874"/>
      <c r="H2874"/>
      <c r="I2874"/>
      <c r="J2874"/>
      <c r="K2874"/>
      <c r="L2874"/>
      <c r="M2874"/>
      <c r="N2874"/>
      <c r="O2874"/>
      <c r="P2874"/>
      <c r="Q2874"/>
      <c r="R2874"/>
      <c r="S2874"/>
    </row>
    <row r="2875" spans="1:19" ht="15" x14ac:dyDescent="0.2">
      <c r="A2875"/>
      <c r="B2875"/>
      <c r="C2875"/>
      <c r="D2875"/>
      <c r="E2875"/>
      <c r="F2875"/>
      <c r="G2875"/>
      <c r="H2875"/>
      <c r="I2875"/>
      <c r="J2875"/>
      <c r="K2875"/>
      <c r="L2875"/>
      <c r="M2875"/>
      <c r="N2875"/>
      <c r="O2875"/>
      <c r="P2875"/>
      <c r="Q2875"/>
      <c r="R2875"/>
      <c r="S2875"/>
    </row>
    <row r="2876" spans="1:19" ht="15" x14ac:dyDescent="0.2">
      <c r="A2876"/>
      <c r="B2876"/>
      <c r="C2876"/>
      <c r="D2876"/>
      <c r="E2876"/>
      <c r="F2876"/>
      <c r="G2876"/>
      <c r="H2876"/>
      <c r="I2876"/>
      <c r="J2876"/>
      <c r="K2876"/>
      <c r="L2876"/>
      <c r="M2876"/>
      <c r="N2876"/>
      <c r="O2876"/>
      <c r="P2876"/>
      <c r="Q2876"/>
      <c r="R2876"/>
      <c r="S2876"/>
    </row>
    <row r="2877" spans="1:19" ht="15" x14ac:dyDescent="0.2">
      <c r="A2877"/>
      <c r="B2877"/>
      <c r="C2877"/>
      <c r="D2877"/>
      <c r="E2877"/>
      <c r="F2877"/>
      <c r="G2877"/>
      <c r="H2877"/>
      <c r="I2877"/>
      <c r="J2877"/>
      <c r="K2877"/>
      <c r="L2877"/>
      <c r="M2877"/>
      <c r="N2877"/>
      <c r="O2877"/>
      <c r="P2877"/>
      <c r="Q2877"/>
      <c r="R2877"/>
      <c r="S2877"/>
    </row>
    <row r="2878" spans="1:19" ht="15" x14ac:dyDescent="0.2">
      <c r="A2878"/>
      <c r="B2878"/>
      <c r="C2878"/>
      <c r="D2878"/>
      <c r="E2878"/>
      <c r="F2878"/>
      <c r="G2878"/>
      <c r="H2878"/>
      <c r="I2878"/>
      <c r="J2878"/>
      <c r="K2878"/>
      <c r="L2878"/>
      <c r="M2878"/>
      <c r="N2878"/>
      <c r="O2878"/>
      <c r="P2878"/>
      <c r="Q2878"/>
      <c r="R2878"/>
      <c r="S2878"/>
    </row>
    <row r="2879" spans="1:19" ht="15" x14ac:dyDescent="0.2">
      <c r="A2879"/>
      <c r="B2879"/>
      <c r="C2879"/>
      <c r="D2879"/>
      <c r="E2879"/>
      <c r="F2879"/>
      <c r="G2879"/>
      <c r="H2879"/>
      <c r="I2879"/>
      <c r="J2879"/>
      <c r="K2879"/>
      <c r="L2879"/>
      <c r="M2879"/>
      <c r="N2879"/>
      <c r="O2879"/>
      <c r="P2879"/>
      <c r="Q2879"/>
      <c r="R2879"/>
      <c r="S2879"/>
    </row>
    <row r="2880" spans="1:19" ht="15" x14ac:dyDescent="0.2">
      <c r="A2880"/>
      <c r="B2880"/>
      <c r="C2880"/>
      <c r="D2880"/>
      <c r="E2880"/>
      <c r="F2880"/>
      <c r="G2880"/>
      <c r="H2880"/>
      <c r="I2880"/>
      <c r="J2880"/>
      <c r="K2880"/>
      <c r="L2880"/>
      <c r="M2880"/>
      <c r="N2880"/>
      <c r="O2880"/>
      <c r="P2880"/>
      <c r="Q2880"/>
      <c r="R2880"/>
      <c r="S2880"/>
    </row>
    <row r="2881" spans="1:19" ht="15" x14ac:dyDescent="0.2">
      <c r="A2881"/>
      <c r="B2881"/>
      <c r="C2881"/>
      <c r="D2881"/>
      <c r="E2881"/>
      <c r="F2881"/>
      <c r="G2881"/>
      <c r="H2881"/>
      <c r="I2881"/>
      <c r="J2881"/>
      <c r="K2881"/>
      <c r="L2881"/>
      <c r="M2881"/>
      <c r="N2881"/>
      <c r="O2881"/>
      <c r="P2881"/>
      <c r="Q2881"/>
      <c r="R2881"/>
      <c r="S2881"/>
    </row>
    <row r="2882" spans="1:19" ht="15" x14ac:dyDescent="0.2">
      <c r="A2882"/>
      <c r="B2882"/>
      <c r="C2882"/>
      <c r="D2882"/>
      <c r="E2882"/>
      <c r="F2882"/>
      <c r="G2882"/>
      <c r="H2882"/>
      <c r="I2882"/>
      <c r="J2882"/>
      <c r="K2882"/>
      <c r="L2882"/>
      <c r="M2882"/>
      <c r="N2882"/>
      <c r="O2882"/>
      <c r="P2882"/>
      <c r="Q2882"/>
      <c r="R2882"/>
      <c r="S2882"/>
    </row>
    <row r="2883" spans="1:19" ht="15" x14ac:dyDescent="0.2">
      <c r="A2883"/>
      <c r="B2883"/>
      <c r="C2883"/>
      <c r="D2883"/>
      <c r="E2883"/>
      <c r="F2883"/>
      <c r="G2883"/>
      <c r="H2883"/>
      <c r="I2883"/>
      <c r="J2883"/>
      <c r="K2883"/>
      <c r="L2883"/>
      <c r="M2883"/>
      <c r="N2883"/>
      <c r="O2883"/>
      <c r="P2883"/>
      <c r="Q2883"/>
      <c r="R2883"/>
      <c r="S2883"/>
    </row>
    <row r="2884" spans="1:19" ht="15" x14ac:dyDescent="0.2">
      <c r="A2884"/>
      <c r="B2884"/>
      <c r="C2884"/>
      <c r="D2884"/>
      <c r="E2884"/>
      <c r="F2884"/>
      <c r="G2884"/>
      <c r="H2884"/>
      <c r="I2884"/>
      <c r="J2884"/>
      <c r="K2884"/>
      <c r="L2884"/>
      <c r="M2884"/>
      <c r="N2884"/>
      <c r="O2884"/>
      <c r="P2884"/>
      <c r="Q2884"/>
      <c r="R2884"/>
      <c r="S2884"/>
    </row>
    <row r="2885" spans="1:19" ht="15" x14ac:dyDescent="0.2">
      <c r="A2885"/>
      <c r="B2885"/>
      <c r="C2885"/>
      <c r="D2885"/>
      <c r="E2885"/>
      <c r="F2885"/>
      <c r="G2885"/>
      <c r="H2885"/>
      <c r="I2885"/>
      <c r="J2885"/>
      <c r="K2885"/>
      <c r="L2885"/>
      <c r="M2885"/>
      <c r="N2885"/>
      <c r="O2885"/>
      <c r="P2885"/>
      <c r="Q2885"/>
      <c r="R2885"/>
      <c r="S2885"/>
    </row>
    <row r="2886" spans="1:19" ht="15" x14ac:dyDescent="0.2">
      <c r="A2886"/>
      <c r="B2886"/>
      <c r="C2886"/>
      <c r="D2886"/>
      <c r="E2886"/>
      <c r="F2886"/>
      <c r="G2886"/>
      <c r="H2886"/>
      <c r="I2886"/>
      <c r="J2886"/>
      <c r="K2886"/>
      <c r="L2886"/>
      <c r="M2886"/>
      <c r="N2886"/>
      <c r="O2886"/>
      <c r="P2886"/>
      <c r="Q2886"/>
      <c r="R2886"/>
      <c r="S2886"/>
    </row>
    <row r="2887" spans="1:19" ht="15" x14ac:dyDescent="0.2">
      <c r="A2887"/>
      <c r="B2887"/>
      <c r="C2887"/>
      <c r="D2887"/>
      <c r="E2887"/>
      <c r="F2887"/>
      <c r="G2887"/>
      <c r="H2887"/>
      <c r="I2887"/>
      <c r="J2887"/>
      <c r="K2887"/>
      <c r="L2887"/>
      <c r="M2887"/>
      <c r="N2887"/>
      <c r="O2887"/>
      <c r="P2887"/>
      <c r="Q2887"/>
      <c r="R2887"/>
      <c r="S2887"/>
    </row>
    <row r="2888" spans="1:19" ht="15" x14ac:dyDescent="0.2">
      <c r="A2888"/>
      <c r="B2888"/>
      <c r="C2888"/>
      <c r="D2888"/>
      <c r="E2888"/>
      <c r="F2888"/>
      <c r="G2888"/>
      <c r="H2888"/>
      <c r="I2888"/>
      <c r="J2888"/>
      <c r="K2888"/>
      <c r="L2888"/>
      <c r="M2888"/>
      <c r="N2888"/>
      <c r="O2888"/>
      <c r="P2888"/>
      <c r="Q2888"/>
      <c r="R2888"/>
      <c r="S2888"/>
    </row>
    <row r="2889" spans="1:19" ht="15" x14ac:dyDescent="0.2">
      <c r="A2889"/>
      <c r="B2889"/>
      <c r="C2889"/>
      <c r="D2889"/>
      <c r="E2889"/>
      <c r="F2889"/>
      <c r="G2889"/>
      <c r="H2889"/>
      <c r="I2889"/>
      <c r="J2889"/>
      <c r="K2889"/>
      <c r="L2889"/>
      <c r="M2889"/>
      <c r="N2889"/>
      <c r="O2889"/>
      <c r="P2889"/>
      <c r="Q2889"/>
      <c r="R2889"/>
      <c r="S2889"/>
    </row>
    <row r="2890" spans="1:19" ht="15" x14ac:dyDescent="0.2">
      <c r="A2890"/>
      <c r="B2890"/>
      <c r="C2890"/>
      <c r="D2890"/>
      <c r="E2890"/>
      <c r="F2890"/>
      <c r="G2890"/>
      <c r="H2890"/>
      <c r="I2890"/>
      <c r="J2890"/>
      <c r="K2890"/>
      <c r="L2890"/>
      <c r="M2890"/>
      <c r="N2890"/>
      <c r="O2890"/>
      <c r="P2890"/>
      <c r="Q2890"/>
      <c r="R2890"/>
      <c r="S2890"/>
    </row>
    <row r="2891" spans="1:19" ht="15" x14ac:dyDescent="0.2">
      <c r="A2891"/>
      <c r="B2891"/>
      <c r="C2891"/>
      <c r="D2891"/>
      <c r="E2891"/>
      <c r="F2891"/>
      <c r="G2891"/>
      <c r="H2891"/>
      <c r="I2891"/>
      <c r="J2891"/>
      <c r="K2891"/>
      <c r="L2891"/>
      <c r="M2891"/>
      <c r="N2891"/>
      <c r="O2891"/>
      <c r="P2891"/>
      <c r="Q2891"/>
      <c r="R2891"/>
      <c r="S2891"/>
    </row>
    <row r="2892" spans="1:19" ht="15" x14ac:dyDescent="0.2">
      <c r="A2892"/>
      <c r="B2892"/>
      <c r="C2892"/>
      <c r="D2892"/>
      <c r="E2892"/>
      <c r="F2892"/>
      <c r="G2892"/>
      <c r="H2892"/>
      <c r="I2892"/>
      <c r="J2892"/>
      <c r="K2892"/>
      <c r="L2892"/>
      <c r="M2892"/>
      <c r="N2892"/>
      <c r="O2892"/>
      <c r="P2892"/>
      <c r="Q2892"/>
      <c r="R2892"/>
      <c r="S2892"/>
    </row>
    <row r="2893" spans="1:19" ht="15" x14ac:dyDescent="0.2">
      <c r="A2893"/>
      <c r="B2893"/>
      <c r="C2893"/>
      <c r="D2893"/>
      <c r="E2893"/>
      <c r="F2893"/>
      <c r="G2893"/>
      <c r="H2893"/>
      <c r="I2893"/>
      <c r="J2893"/>
      <c r="K2893"/>
      <c r="L2893"/>
      <c r="M2893"/>
      <c r="N2893"/>
      <c r="O2893"/>
      <c r="P2893"/>
      <c r="Q2893"/>
      <c r="R2893"/>
      <c r="S2893"/>
    </row>
    <row r="2894" spans="1:19" ht="15" x14ac:dyDescent="0.2">
      <c r="A2894"/>
      <c r="B2894"/>
      <c r="C2894"/>
      <c r="D2894"/>
      <c r="E2894"/>
      <c r="F2894"/>
      <c r="G2894"/>
      <c r="H2894"/>
      <c r="I2894"/>
      <c r="J2894"/>
      <c r="K2894"/>
      <c r="L2894"/>
      <c r="M2894"/>
      <c r="N2894"/>
      <c r="O2894"/>
      <c r="P2894"/>
      <c r="Q2894"/>
      <c r="R2894"/>
      <c r="S2894"/>
    </row>
    <row r="2895" spans="1:19" ht="15" x14ac:dyDescent="0.2">
      <c r="A2895"/>
      <c r="B2895"/>
      <c r="C2895"/>
      <c r="D2895"/>
      <c r="E2895"/>
      <c r="F2895"/>
      <c r="G2895"/>
      <c r="H2895"/>
      <c r="I2895"/>
      <c r="J2895"/>
      <c r="K2895"/>
      <c r="L2895"/>
      <c r="M2895"/>
      <c r="N2895"/>
      <c r="O2895"/>
      <c r="P2895"/>
      <c r="Q2895"/>
      <c r="R2895"/>
      <c r="S2895"/>
    </row>
    <row r="2896" spans="1:19" ht="15" x14ac:dyDescent="0.2">
      <c r="A2896"/>
      <c r="B2896"/>
      <c r="C2896"/>
      <c r="D2896"/>
      <c r="E2896"/>
      <c r="F2896"/>
      <c r="G2896"/>
      <c r="H2896"/>
      <c r="I2896"/>
      <c r="J2896"/>
      <c r="K2896"/>
      <c r="L2896"/>
      <c r="M2896"/>
      <c r="N2896"/>
      <c r="O2896"/>
      <c r="P2896"/>
      <c r="Q2896"/>
      <c r="R2896"/>
      <c r="S2896"/>
    </row>
    <row r="2897" spans="1:19" ht="15" x14ac:dyDescent="0.2">
      <c r="A2897"/>
      <c r="B2897"/>
      <c r="C2897"/>
      <c r="D2897"/>
      <c r="E2897"/>
      <c r="F2897"/>
      <c r="G2897"/>
      <c r="H2897"/>
      <c r="I2897"/>
      <c r="J2897"/>
      <c r="K2897"/>
      <c r="L2897"/>
      <c r="M2897"/>
      <c r="N2897"/>
      <c r="O2897"/>
      <c r="P2897"/>
      <c r="Q2897"/>
      <c r="R2897"/>
      <c r="S2897"/>
    </row>
    <row r="2898" spans="1:19" ht="15" x14ac:dyDescent="0.2">
      <c r="A2898"/>
      <c r="B2898"/>
      <c r="C2898"/>
      <c r="D2898"/>
      <c r="E2898"/>
      <c r="F2898"/>
      <c r="G2898"/>
      <c r="H2898"/>
      <c r="I2898"/>
      <c r="J2898"/>
      <c r="K2898"/>
      <c r="L2898"/>
      <c r="M2898"/>
      <c r="N2898"/>
      <c r="O2898"/>
      <c r="P2898"/>
      <c r="Q2898"/>
      <c r="R2898"/>
      <c r="S2898"/>
    </row>
    <row r="2899" spans="1:19" ht="15" x14ac:dyDescent="0.2">
      <c r="A2899"/>
      <c r="B2899"/>
      <c r="C2899"/>
      <c r="D2899"/>
      <c r="E2899"/>
      <c r="F2899"/>
      <c r="G2899"/>
      <c r="H2899"/>
      <c r="I2899"/>
      <c r="J2899"/>
      <c r="K2899"/>
      <c r="L2899"/>
      <c r="M2899"/>
      <c r="N2899"/>
      <c r="O2899"/>
      <c r="P2899"/>
      <c r="Q2899"/>
      <c r="R2899"/>
      <c r="S2899"/>
    </row>
    <row r="2900" spans="1:19" ht="15" x14ac:dyDescent="0.2">
      <c r="A2900"/>
      <c r="B2900"/>
      <c r="C2900"/>
      <c r="D2900"/>
      <c r="E2900"/>
      <c r="F2900"/>
      <c r="G2900"/>
      <c r="H2900"/>
      <c r="I2900"/>
      <c r="J2900"/>
      <c r="K2900"/>
      <c r="L2900"/>
      <c r="M2900"/>
      <c r="N2900"/>
      <c r="O2900"/>
      <c r="P2900"/>
      <c r="Q2900"/>
      <c r="R2900"/>
      <c r="S2900"/>
    </row>
    <row r="2901" spans="1:19" ht="15" x14ac:dyDescent="0.2">
      <c r="A2901"/>
      <c r="B2901"/>
      <c r="C2901"/>
      <c r="D2901"/>
      <c r="E2901"/>
      <c r="F2901"/>
      <c r="G2901"/>
      <c r="H2901"/>
      <c r="I2901"/>
      <c r="J2901"/>
      <c r="K2901"/>
      <c r="L2901"/>
      <c r="M2901"/>
      <c r="N2901"/>
      <c r="O2901"/>
      <c r="P2901"/>
      <c r="Q2901"/>
      <c r="R2901"/>
      <c r="S2901"/>
    </row>
    <row r="2902" spans="1:19" ht="15" x14ac:dyDescent="0.2">
      <c r="A2902"/>
      <c r="B2902"/>
      <c r="C2902"/>
      <c r="D2902"/>
      <c r="E2902"/>
      <c r="F2902"/>
      <c r="G2902"/>
      <c r="H2902"/>
      <c r="I2902"/>
      <c r="J2902"/>
      <c r="K2902"/>
      <c r="L2902"/>
      <c r="M2902"/>
      <c r="N2902"/>
      <c r="O2902"/>
      <c r="P2902"/>
      <c r="Q2902"/>
      <c r="R2902"/>
      <c r="S2902"/>
    </row>
    <row r="2903" spans="1:19" ht="15" x14ac:dyDescent="0.2">
      <c r="A2903"/>
      <c r="B2903"/>
      <c r="C2903"/>
      <c r="D2903"/>
      <c r="E2903"/>
      <c r="F2903"/>
      <c r="G2903"/>
      <c r="H2903"/>
      <c r="I2903"/>
      <c r="J2903"/>
      <c r="K2903"/>
      <c r="L2903"/>
      <c r="M2903"/>
      <c r="N2903"/>
      <c r="O2903"/>
      <c r="P2903"/>
      <c r="Q2903"/>
      <c r="R2903"/>
      <c r="S2903"/>
    </row>
    <row r="2904" spans="1:19" ht="15" x14ac:dyDescent="0.2">
      <c r="A2904"/>
      <c r="B2904"/>
      <c r="C2904"/>
      <c r="D2904"/>
      <c r="E2904"/>
      <c r="F2904"/>
      <c r="G2904"/>
      <c r="H2904"/>
      <c r="I2904"/>
      <c r="J2904"/>
      <c r="K2904"/>
      <c r="L2904"/>
      <c r="M2904"/>
      <c r="N2904"/>
      <c r="O2904"/>
      <c r="P2904"/>
      <c r="Q2904"/>
      <c r="R2904"/>
      <c r="S2904"/>
    </row>
    <row r="2905" spans="1:19" ht="15" x14ac:dyDescent="0.2">
      <c r="A2905"/>
      <c r="B2905"/>
      <c r="C2905"/>
      <c r="D2905"/>
      <c r="E2905"/>
      <c r="F2905"/>
      <c r="G2905"/>
      <c r="H2905"/>
      <c r="I2905"/>
      <c r="J2905"/>
      <c r="K2905"/>
      <c r="L2905"/>
      <c r="M2905"/>
      <c r="N2905"/>
      <c r="O2905"/>
      <c r="P2905"/>
      <c r="Q2905"/>
      <c r="R2905"/>
      <c r="S2905"/>
    </row>
    <row r="2906" spans="1:19" ht="15" x14ac:dyDescent="0.2">
      <c r="A2906"/>
      <c r="B2906"/>
      <c r="C2906"/>
      <c r="D2906"/>
      <c r="E2906"/>
      <c r="F2906"/>
      <c r="G2906"/>
      <c r="H2906"/>
      <c r="I2906"/>
      <c r="J2906"/>
      <c r="K2906"/>
      <c r="L2906"/>
      <c r="M2906"/>
      <c r="N2906"/>
      <c r="O2906"/>
      <c r="P2906"/>
      <c r="Q2906"/>
      <c r="R2906"/>
      <c r="S2906"/>
    </row>
    <row r="2907" spans="1:19" ht="15" x14ac:dyDescent="0.2">
      <c r="A2907"/>
      <c r="B2907"/>
      <c r="C2907"/>
      <c r="D2907"/>
      <c r="E2907"/>
      <c r="F2907"/>
      <c r="G2907"/>
      <c r="H2907"/>
      <c r="I2907"/>
      <c r="J2907"/>
      <c r="K2907"/>
      <c r="L2907"/>
      <c r="M2907"/>
      <c r="N2907"/>
      <c r="O2907"/>
      <c r="P2907"/>
      <c r="Q2907"/>
      <c r="R2907"/>
      <c r="S2907"/>
    </row>
    <row r="2908" spans="1:19" ht="15" x14ac:dyDescent="0.2">
      <c r="A2908"/>
      <c r="B2908"/>
      <c r="C2908"/>
      <c r="D2908"/>
      <c r="E2908"/>
      <c r="F2908"/>
      <c r="G2908"/>
      <c r="H2908"/>
      <c r="I2908"/>
      <c r="J2908"/>
      <c r="K2908"/>
      <c r="L2908"/>
      <c r="M2908"/>
      <c r="N2908"/>
      <c r="O2908"/>
      <c r="P2908"/>
      <c r="Q2908"/>
      <c r="R2908"/>
      <c r="S2908"/>
    </row>
    <row r="2909" spans="1:19" ht="15" x14ac:dyDescent="0.2">
      <c r="A2909"/>
      <c r="B2909"/>
      <c r="C2909"/>
      <c r="D2909"/>
      <c r="E2909"/>
      <c r="F2909"/>
      <c r="G2909"/>
      <c r="H2909"/>
      <c r="I2909"/>
      <c r="J2909"/>
      <c r="K2909"/>
      <c r="L2909"/>
      <c r="M2909"/>
      <c r="N2909"/>
      <c r="O2909"/>
      <c r="P2909"/>
      <c r="Q2909"/>
      <c r="R2909"/>
      <c r="S2909"/>
    </row>
    <row r="2910" spans="1:19" ht="15" x14ac:dyDescent="0.2">
      <c r="A2910"/>
      <c r="B2910"/>
      <c r="C2910"/>
      <c r="D2910"/>
      <c r="E2910"/>
      <c r="F2910"/>
      <c r="G2910"/>
      <c r="H2910"/>
      <c r="I2910"/>
      <c r="J2910"/>
      <c r="K2910"/>
      <c r="L2910"/>
      <c r="M2910"/>
      <c r="N2910"/>
      <c r="O2910"/>
      <c r="P2910"/>
      <c r="Q2910"/>
      <c r="R2910"/>
      <c r="S2910"/>
    </row>
    <row r="2911" spans="1:19" ht="15" x14ac:dyDescent="0.2">
      <c r="A2911"/>
      <c r="B2911"/>
      <c r="C2911"/>
      <c r="D2911"/>
      <c r="E2911"/>
      <c r="F2911"/>
      <c r="G2911"/>
      <c r="H2911"/>
      <c r="I2911"/>
      <c r="J2911"/>
      <c r="K2911"/>
      <c r="L2911"/>
      <c r="M2911"/>
      <c r="N2911"/>
      <c r="O2911"/>
      <c r="P2911"/>
      <c r="Q2911"/>
      <c r="R2911"/>
      <c r="S2911"/>
    </row>
    <row r="2912" spans="1:19" ht="15" x14ac:dyDescent="0.2">
      <c r="A2912"/>
      <c r="B2912"/>
      <c r="C2912"/>
      <c r="D2912"/>
      <c r="E2912"/>
      <c r="F2912"/>
      <c r="G2912"/>
      <c r="H2912"/>
      <c r="I2912"/>
      <c r="J2912"/>
      <c r="K2912"/>
      <c r="L2912"/>
      <c r="M2912"/>
      <c r="N2912"/>
      <c r="O2912"/>
      <c r="P2912"/>
      <c r="Q2912"/>
      <c r="R2912"/>
      <c r="S2912"/>
    </row>
    <row r="2913" spans="1:19" ht="15" x14ac:dyDescent="0.2">
      <c r="A2913"/>
      <c r="B2913"/>
      <c r="C2913"/>
      <c r="D2913"/>
      <c r="E2913"/>
      <c r="F2913"/>
      <c r="G2913"/>
      <c r="H2913"/>
      <c r="I2913"/>
      <c r="J2913"/>
      <c r="K2913"/>
      <c r="L2913"/>
      <c r="M2913"/>
      <c r="N2913"/>
      <c r="O2913"/>
      <c r="P2913"/>
      <c r="Q2913"/>
      <c r="R2913"/>
      <c r="S2913"/>
    </row>
    <row r="2914" spans="1:19" ht="15" x14ac:dyDescent="0.2">
      <c r="A2914"/>
      <c r="B2914"/>
      <c r="C2914"/>
      <c r="D2914"/>
      <c r="E2914"/>
      <c r="F2914"/>
      <c r="G2914"/>
      <c r="H2914"/>
      <c r="I2914"/>
      <c r="J2914"/>
      <c r="K2914"/>
      <c r="L2914"/>
      <c r="M2914"/>
      <c r="N2914"/>
      <c r="O2914"/>
      <c r="P2914"/>
      <c r="Q2914"/>
      <c r="R2914"/>
      <c r="S2914"/>
    </row>
    <row r="2915" spans="1:19" ht="15" x14ac:dyDescent="0.2">
      <c r="A2915"/>
      <c r="B2915"/>
      <c r="C2915"/>
      <c r="D2915"/>
      <c r="E2915"/>
      <c r="F2915"/>
      <c r="G2915"/>
      <c r="H2915"/>
      <c r="I2915"/>
      <c r="J2915"/>
      <c r="K2915"/>
      <c r="L2915"/>
      <c r="M2915"/>
      <c r="N2915"/>
      <c r="O2915"/>
      <c r="P2915"/>
      <c r="Q2915"/>
      <c r="R2915"/>
      <c r="S2915"/>
    </row>
    <row r="2916" spans="1:19" ht="15" x14ac:dyDescent="0.2">
      <c r="A2916"/>
      <c r="B2916"/>
      <c r="C2916"/>
      <c r="D2916"/>
      <c r="E2916"/>
      <c r="F2916"/>
      <c r="G2916"/>
      <c r="H2916"/>
      <c r="I2916"/>
      <c r="J2916"/>
      <c r="K2916"/>
      <c r="L2916"/>
      <c r="M2916"/>
      <c r="N2916"/>
      <c r="O2916"/>
      <c r="P2916"/>
      <c r="Q2916"/>
      <c r="R2916"/>
      <c r="S2916"/>
    </row>
    <row r="2917" spans="1:19" ht="15" x14ac:dyDescent="0.2">
      <c r="A2917"/>
      <c r="B2917"/>
      <c r="C2917"/>
      <c r="D2917"/>
      <c r="E2917"/>
      <c r="F2917"/>
      <c r="G2917"/>
      <c r="H2917"/>
      <c r="I2917"/>
      <c r="J2917"/>
      <c r="K2917"/>
      <c r="L2917"/>
      <c r="M2917"/>
      <c r="N2917"/>
      <c r="O2917"/>
      <c r="P2917"/>
      <c r="Q2917"/>
      <c r="R2917"/>
      <c r="S2917"/>
    </row>
    <row r="2918" spans="1:19" ht="15" x14ac:dyDescent="0.2">
      <c r="A2918"/>
      <c r="B2918"/>
      <c r="C2918"/>
      <c r="D2918"/>
      <c r="E2918"/>
      <c r="F2918"/>
      <c r="G2918"/>
      <c r="H2918"/>
      <c r="I2918"/>
      <c r="J2918"/>
      <c r="K2918"/>
      <c r="L2918"/>
      <c r="M2918"/>
      <c r="N2918"/>
      <c r="O2918"/>
      <c r="P2918"/>
      <c r="Q2918"/>
      <c r="R2918"/>
      <c r="S2918"/>
    </row>
    <row r="2919" spans="1:19" ht="15" x14ac:dyDescent="0.2">
      <c r="A2919"/>
      <c r="B2919"/>
      <c r="C2919"/>
      <c r="D2919"/>
      <c r="E2919"/>
      <c r="F2919"/>
      <c r="G2919"/>
      <c r="H2919"/>
      <c r="I2919"/>
      <c r="J2919"/>
      <c r="K2919"/>
      <c r="L2919"/>
      <c r="M2919"/>
      <c r="N2919"/>
      <c r="O2919"/>
      <c r="P2919"/>
      <c r="Q2919"/>
      <c r="R2919"/>
      <c r="S2919"/>
    </row>
    <row r="2920" spans="1:19" ht="15" x14ac:dyDescent="0.2">
      <c r="A2920"/>
      <c r="B2920"/>
      <c r="C2920"/>
      <c r="D2920"/>
      <c r="E2920"/>
      <c r="F2920"/>
      <c r="G2920"/>
      <c r="H2920"/>
      <c r="I2920"/>
      <c r="J2920"/>
      <c r="K2920"/>
      <c r="L2920"/>
      <c r="M2920"/>
      <c r="N2920"/>
      <c r="O2920"/>
      <c r="P2920"/>
      <c r="Q2920"/>
      <c r="R2920"/>
      <c r="S2920"/>
    </row>
    <row r="2921" spans="1:19" ht="15" x14ac:dyDescent="0.2">
      <c r="A2921"/>
      <c r="B2921"/>
      <c r="C2921"/>
      <c r="D2921"/>
      <c r="E2921"/>
      <c r="F2921"/>
      <c r="G2921"/>
      <c r="H2921"/>
      <c r="I2921"/>
      <c r="J2921"/>
      <c r="K2921"/>
      <c r="L2921"/>
      <c r="M2921"/>
      <c r="N2921"/>
      <c r="O2921"/>
      <c r="P2921"/>
      <c r="Q2921"/>
      <c r="R2921"/>
      <c r="S2921"/>
    </row>
    <row r="2922" spans="1:19" ht="15" x14ac:dyDescent="0.2">
      <c r="A2922"/>
      <c r="B2922"/>
      <c r="C2922"/>
      <c r="D2922"/>
      <c r="E2922"/>
      <c r="F2922"/>
      <c r="G2922"/>
      <c r="H2922"/>
      <c r="I2922"/>
      <c r="J2922"/>
      <c r="K2922"/>
      <c r="L2922"/>
      <c r="M2922"/>
      <c r="N2922"/>
      <c r="O2922"/>
      <c r="P2922"/>
      <c r="Q2922"/>
      <c r="R2922"/>
      <c r="S2922"/>
    </row>
    <row r="2923" spans="1:19" ht="15" x14ac:dyDescent="0.2">
      <c r="A2923"/>
      <c r="B2923"/>
      <c r="C2923"/>
      <c r="D2923"/>
      <c r="E2923"/>
      <c r="F2923"/>
      <c r="G2923"/>
      <c r="H2923"/>
      <c r="I2923"/>
      <c r="J2923"/>
      <c r="K2923"/>
      <c r="L2923"/>
      <c r="M2923"/>
      <c r="N2923"/>
      <c r="O2923"/>
      <c r="P2923"/>
      <c r="Q2923"/>
      <c r="R2923"/>
      <c r="S2923"/>
    </row>
    <row r="2924" spans="1:19" ht="15" x14ac:dyDescent="0.2">
      <c r="A2924"/>
      <c r="B2924"/>
      <c r="C2924"/>
      <c r="D2924"/>
      <c r="E2924"/>
      <c r="F2924"/>
      <c r="G2924"/>
      <c r="H2924"/>
      <c r="I2924"/>
      <c r="J2924"/>
      <c r="K2924"/>
      <c r="L2924"/>
      <c r="M2924"/>
      <c r="N2924"/>
      <c r="O2924"/>
      <c r="P2924"/>
      <c r="Q2924"/>
      <c r="R2924"/>
      <c r="S2924"/>
    </row>
    <row r="2925" spans="1:19" ht="15" x14ac:dyDescent="0.2">
      <c r="A2925"/>
      <c r="B2925"/>
      <c r="C2925"/>
      <c r="D2925"/>
      <c r="E2925"/>
      <c r="F2925"/>
      <c r="G2925"/>
      <c r="H2925"/>
      <c r="I2925"/>
      <c r="J2925"/>
      <c r="K2925"/>
      <c r="L2925"/>
      <c r="M2925"/>
      <c r="N2925"/>
      <c r="O2925"/>
      <c r="P2925"/>
      <c r="Q2925"/>
      <c r="R2925"/>
      <c r="S2925"/>
    </row>
    <row r="2926" spans="1:19" ht="15" x14ac:dyDescent="0.2">
      <c r="A2926"/>
      <c r="B2926"/>
      <c r="C2926"/>
      <c r="D2926"/>
      <c r="E2926"/>
      <c r="F2926"/>
      <c r="G2926"/>
      <c r="H2926"/>
      <c r="I2926"/>
      <c r="J2926"/>
      <c r="K2926"/>
      <c r="L2926"/>
      <c r="M2926"/>
      <c r="N2926"/>
      <c r="O2926"/>
      <c r="P2926"/>
      <c r="Q2926"/>
      <c r="R2926"/>
      <c r="S2926"/>
    </row>
    <row r="2927" spans="1:19" ht="15" x14ac:dyDescent="0.2">
      <c r="A2927"/>
      <c r="B2927"/>
      <c r="C2927"/>
      <c r="D2927"/>
      <c r="E2927"/>
      <c r="F2927"/>
      <c r="G2927"/>
      <c r="H2927"/>
      <c r="I2927"/>
      <c r="J2927"/>
      <c r="K2927"/>
      <c r="L2927"/>
      <c r="M2927"/>
      <c r="N2927"/>
      <c r="O2927"/>
      <c r="P2927"/>
      <c r="Q2927"/>
      <c r="R2927"/>
      <c r="S2927"/>
    </row>
    <row r="2928" spans="1:19" ht="15" x14ac:dyDescent="0.2">
      <c r="A2928"/>
      <c r="B2928"/>
      <c r="C2928"/>
      <c r="D2928"/>
      <c r="E2928"/>
      <c r="F2928"/>
      <c r="G2928"/>
      <c r="H2928"/>
      <c r="I2928"/>
      <c r="J2928"/>
      <c r="K2928"/>
      <c r="L2928"/>
      <c r="M2928"/>
      <c r="N2928"/>
      <c r="O2928"/>
      <c r="P2928"/>
      <c r="Q2928"/>
      <c r="R2928"/>
      <c r="S2928"/>
    </row>
    <row r="2929" spans="1:19" ht="15" x14ac:dyDescent="0.2">
      <c r="A2929"/>
      <c r="B2929"/>
      <c r="C2929"/>
      <c r="D2929"/>
      <c r="E2929"/>
      <c r="F2929"/>
      <c r="G2929"/>
      <c r="H2929"/>
      <c r="I2929"/>
      <c r="J2929"/>
      <c r="K2929"/>
      <c r="L2929"/>
      <c r="M2929"/>
      <c r="N2929"/>
      <c r="O2929"/>
      <c r="P2929"/>
      <c r="Q2929"/>
      <c r="R2929"/>
      <c r="S2929"/>
    </row>
    <row r="2930" spans="1:19" ht="15" x14ac:dyDescent="0.2">
      <c r="A2930"/>
      <c r="B2930"/>
      <c r="C2930"/>
      <c r="D2930"/>
      <c r="E2930"/>
      <c r="F2930"/>
      <c r="G2930"/>
      <c r="H2930"/>
      <c r="I2930"/>
      <c r="J2930"/>
      <c r="K2930"/>
      <c r="L2930"/>
      <c r="M2930"/>
      <c r="N2930"/>
      <c r="O2930"/>
      <c r="P2930"/>
      <c r="Q2930"/>
      <c r="R2930"/>
      <c r="S2930"/>
    </row>
    <row r="2931" spans="1:19" ht="15" x14ac:dyDescent="0.2">
      <c r="A2931"/>
      <c r="B2931"/>
      <c r="C2931"/>
      <c r="D2931"/>
      <c r="E2931"/>
      <c r="F2931"/>
      <c r="G2931"/>
      <c r="H2931"/>
      <c r="I2931"/>
      <c r="J2931"/>
      <c r="K2931"/>
      <c r="L2931"/>
      <c r="M2931"/>
      <c r="N2931"/>
      <c r="O2931"/>
      <c r="P2931"/>
      <c r="Q2931"/>
      <c r="R2931"/>
      <c r="S2931"/>
    </row>
    <row r="2932" spans="1:19" ht="15" x14ac:dyDescent="0.2">
      <c r="A2932"/>
      <c r="B2932"/>
      <c r="C2932"/>
      <c r="D2932"/>
      <c r="E2932"/>
      <c r="F2932"/>
      <c r="G2932"/>
      <c r="H2932"/>
      <c r="I2932"/>
      <c r="J2932"/>
      <c r="K2932"/>
      <c r="L2932"/>
      <c r="M2932"/>
      <c r="N2932"/>
      <c r="O2932"/>
      <c r="P2932"/>
      <c r="Q2932"/>
      <c r="R2932"/>
      <c r="S2932"/>
    </row>
    <row r="2933" spans="1:19" ht="15" x14ac:dyDescent="0.2">
      <c r="A2933"/>
      <c r="B2933"/>
      <c r="C2933"/>
      <c r="D2933"/>
      <c r="E2933"/>
      <c r="F2933"/>
      <c r="G2933"/>
      <c r="H2933"/>
      <c r="I2933"/>
      <c r="J2933"/>
      <c r="K2933"/>
      <c r="L2933"/>
      <c r="M2933"/>
      <c r="N2933"/>
      <c r="O2933"/>
      <c r="P2933"/>
      <c r="Q2933"/>
      <c r="R2933"/>
      <c r="S2933"/>
    </row>
    <row r="2934" spans="1:19" ht="15" x14ac:dyDescent="0.2">
      <c r="A2934"/>
      <c r="B2934"/>
      <c r="C2934"/>
      <c r="D2934"/>
      <c r="E2934"/>
      <c r="F2934"/>
      <c r="G2934"/>
      <c r="H2934"/>
      <c r="I2934"/>
      <c r="J2934"/>
      <c r="K2934"/>
      <c r="L2934"/>
      <c r="M2934"/>
      <c r="N2934"/>
      <c r="O2934"/>
      <c r="P2934"/>
      <c r="Q2934"/>
      <c r="R2934"/>
      <c r="S2934"/>
    </row>
    <row r="2935" spans="1:19" ht="15" x14ac:dyDescent="0.2">
      <c r="A2935"/>
      <c r="B2935"/>
      <c r="C2935"/>
      <c r="D2935"/>
      <c r="E2935"/>
      <c r="F2935"/>
      <c r="G2935"/>
      <c r="H2935"/>
      <c r="I2935"/>
      <c r="J2935"/>
      <c r="K2935"/>
      <c r="L2935"/>
      <c r="M2935"/>
      <c r="N2935"/>
      <c r="O2935"/>
      <c r="P2935"/>
      <c r="Q2935"/>
      <c r="R2935"/>
      <c r="S2935"/>
    </row>
    <row r="2936" spans="1:19" ht="15" x14ac:dyDescent="0.2">
      <c r="A2936"/>
      <c r="B2936"/>
      <c r="C2936"/>
      <c r="D2936"/>
      <c r="E2936"/>
      <c r="F2936"/>
      <c r="G2936"/>
      <c r="H2936"/>
      <c r="I2936"/>
      <c r="J2936"/>
      <c r="K2936"/>
      <c r="L2936"/>
      <c r="M2936"/>
      <c r="N2936"/>
      <c r="O2936"/>
      <c r="P2936"/>
      <c r="Q2936"/>
      <c r="R2936"/>
      <c r="S2936"/>
    </row>
    <row r="2937" spans="1:19" ht="15" x14ac:dyDescent="0.2">
      <c r="A2937"/>
      <c r="B2937"/>
      <c r="C2937"/>
      <c r="D2937"/>
      <c r="E2937"/>
      <c r="F2937"/>
      <c r="G2937"/>
      <c r="H2937"/>
      <c r="I2937"/>
      <c r="J2937"/>
      <c r="K2937"/>
      <c r="L2937"/>
      <c r="M2937"/>
      <c r="N2937"/>
      <c r="O2937"/>
      <c r="P2937"/>
      <c r="Q2937"/>
      <c r="R2937"/>
      <c r="S2937"/>
    </row>
    <row r="2938" spans="1:19" ht="15" x14ac:dyDescent="0.2">
      <c r="A2938"/>
      <c r="B2938"/>
      <c r="C2938"/>
      <c r="D2938"/>
      <c r="E2938"/>
      <c r="F2938"/>
      <c r="G2938"/>
      <c r="H2938"/>
      <c r="I2938"/>
      <c r="J2938"/>
      <c r="K2938"/>
      <c r="L2938"/>
      <c r="M2938"/>
      <c r="N2938"/>
      <c r="O2938"/>
      <c r="P2938"/>
      <c r="Q2938"/>
      <c r="R2938"/>
      <c r="S2938"/>
    </row>
    <row r="2939" spans="1:19" ht="15" x14ac:dyDescent="0.2">
      <c r="A2939"/>
      <c r="B2939"/>
      <c r="C2939"/>
      <c r="D2939"/>
      <c r="E2939"/>
      <c r="F2939"/>
      <c r="G2939"/>
      <c r="H2939"/>
      <c r="I2939"/>
      <c r="J2939"/>
      <c r="K2939"/>
      <c r="L2939"/>
      <c r="M2939"/>
      <c r="N2939"/>
      <c r="O2939"/>
      <c r="P2939"/>
      <c r="Q2939"/>
      <c r="R2939"/>
      <c r="S2939"/>
    </row>
    <row r="2940" spans="1:19" ht="15" x14ac:dyDescent="0.2">
      <c r="A2940"/>
      <c r="B2940"/>
      <c r="C2940"/>
      <c r="D2940"/>
      <c r="E2940"/>
      <c r="F2940"/>
      <c r="G2940"/>
      <c r="H2940"/>
      <c r="I2940"/>
      <c r="J2940"/>
      <c r="K2940"/>
      <c r="L2940"/>
      <c r="M2940"/>
      <c r="N2940"/>
      <c r="O2940"/>
      <c r="P2940"/>
      <c r="Q2940"/>
      <c r="R2940"/>
      <c r="S2940"/>
    </row>
    <row r="2941" spans="1:19" ht="15" x14ac:dyDescent="0.2">
      <c r="A2941"/>
      <c r="B2941"/>
      <c r="C2941"/>
      <c r="D2941"/>
      <c r="E2941"/>
      <c r="F2941"/>
      <c r="G2941"/>
      <c r="H2941"/>
      <c r="I2941"/>
      <c r="J2941"/>
      <c r="K2941"/>
      <c r="L2941"/>
      <c r="M2941"/>
      <c r="N2941"/>
      <c r="O2941"/>
      <c r="P2941"/>
      <c r="Q2941"/>
      <c r="R2941"/>
      <c r="S2941"/>
    </row>
    <row r="2942" spans="1:19" ht="15" x14ac:dyDescent="0.2">
      <c r="A2942"/>
      <c r="B2942"/>
      <c r="C2942"/>
      <c r="D2942"/>
      <c r="E2942"/>
      <c r="F2942"/>
      <c r="G2942"/>
      <c r="H2942"/>
      <c r="I2942"/>
      <c r="J2942"/>
      <c r="K2942"/>
      <c r="L2942"/>
      <c r="M2942"/>
      <c r="N2942"/>
      <c r="O2942"/>
      <c r="P2942"/>
      <c r="Q2942"/>
      <c r="R2942"/>
      <c r="S2942"/>
    </row>
    <row r="2943" spans="1:19" ht="15" x14ac:dyDescent="0.2">
      <c r="A2943"/>
      <c r="B2943"/>
      <c r="C2943"/>
      <c r="D2943"/>
      <c r="E2943"/>
      <c r="F2943"/>
      <c r="G2943"/>
      <c r="H2943"/>
      <c r="I2943"/>
      <c r="J2943"/>
      <c r="K2943"/>
      <c r="L2943"/>
      <c r="M2943"/>
      <c r="N2943"/>
      <c r="O2943"/>
      <c r="P2943"/>
      <c r="Q2943"/>
      <c r="R2943"/>
      <c r="S2943"/>
    </row>
    <row r="2944" spans="1:19" ht="15" x14ac:dyDescent="0.2">
      <c r="A2944"/>
      <c r="B2944"/>
      <c r="C2944"/>
      <c r="D2944"/>
      <c r="E2944"/>
      <c r="F2944"/>
      <c r="G2944"/>
      <c r="H2944"/>
      <c r="I2944"/>
      <c r="J2944"/>
      <c r="K2944"/>
      <c r="L2944"/>
      <c r="M2944"/>
      <c r="N2944"/>
      <c r="O2944"/>
      <c r="P2944"/>
      <c r="Q2944"/>
      <c r="R2944"/>
      <c r="S2944"/>
    </row>
    <row r="2945" spans="1:19" ht="15" x14ac:dyDescent="0.2">
      <c r="A2945"/>
      <c r="B2945"/>
      <c r="C2945"/>
      <c r="D2945"/>
      <c r="E2945"/>
      <c r="F2945"/>
      <c r="G2945"/>
      <c r="H2945"/>
      <c r="I2945"/>
      <c r="J2945"/>
      <c r="K2945"/>
      <c r="L2945"/>
      <c r="M2945"/>
      <c r="N2945"/>
      <c r="O2945"/>
      <c r="P2945"/>
      <c r="Q2945"/>
      <c r="R2945"/>
      <c r="S2945"/>
    </row>
    <row r="2946" spans="1:19" ht="15" x14ac:dyDescent="0.2">
      <c r="A2946"/>
      <c r="B2946"/>
      <c r="C2946"/>
      <c r="D2946"/>
      <c r="E2946"/>
      <c r="F2946"/>
      <c r="G2946"/>
      <c r="H2946"/>
      <c r="I2946"/>
      <c r="J2946"/>
      <c r="K2946"/>
      <c r="L2946"/>
      <c r="M2946"/>
      <c r="N2946"/>
      <c r="O2946"/>
      <c r="P2946"/>
      <c r="Q2946"/>
      <c r="R2946"/>
      <c r="S2946"/>
    </row>
    <row r="2947" spans="1:19" ht="15" x14ac:dyDescent="0.2">
      <c r="A2947"/>
      <c r="B2947"/>
      <c r="C2947"/>
      <c r="D2947"/>
      <c r="E2947"/>
      <c r="F2947"/>
      <c r="G2947"/>
      <c r="H2947"/>
      <c r="I2947"/>
      <c r="J2947"/>
      <c r="K2947"/>
      <c r="L2947"/>
      <c r="M2947"/>
      <c r="N2947"/>
      <c r="O2947"/>
      <c r="P2947"/>
      <c r="Q2947"/>
      <c r="R2947"/>
      <c r="S2947"/>
    </row>
    <row r="2948" spans="1:19" ht="15" x14ac:dyDescent="0.2">
      <c r="A2948"/>
      <c r="B2948"/>
      <c r="C2948"/>
      <c r="D2948"/>
      <c r="E2948"/>
      <c r="F2948"/>
      <c r="G2948"/>
      <c r="H2948"/>
      <c r="I2948"/>
      <c r="J2948"/>
      <c r="K2948"/>
      <c r="L2948"/>
      <c r="M2948"/>
      <c r="N2948"/>
      <c r="O2948"/>
      <c r="P2948"/>
      <c r="Q2948"/>
      <c r="R2948"/>
      <c r="S2948"/>
    </row>
    <row r="2949" spans="1:19" ht="15" x14ac:dyDescent="0.2">
      <c r="A2949"/>
      <c r="B2949"/>
      <c r="C2949"/>
      <c r="D2949"/>
      <c r="E2949"/>
      <c r="F2949"/>
      <c r="G2949"/>
      <c r="H2949"/>
      <c r="I2949"/>
      <c r="J2949"/>
      <c r="K2949"/>
      <c r="L2949"/>
      <c r="M2949"/>
      <c r="N2949"/>
      <c r="O2949"/>
      <c r="P2949"/>
      <c r="Q2949"/>
      <c r="R2949"/>
      <c r="S2949"/>
    </row>
    <row r="2950" spans="1:19" ht="15" x14ac:dyDescent="0.2">
      <c r="A2950"/>
      <c r="B2950"/>
      <c r="C2950"/>
      <c r="D2950"/>
      <c r="E2950"/>
      <c r="F2950"/>
      <c r="G2950"/>
      <c r="H2950"/>
      <c r="I2950"/>
      <c r="J2950"/>
      <c r="K2950"/>
      <c r="L2950"/>
      <c r="M2950"/>
      <c r="N2950"/>
      <c r="O2950"/>
      <c r="P2950"/>
      <c r="Q2950"/>
      <c r="R2950"/>
      <c r="S2950"/>
    </row>
    <row r="2951" spans="1:19" ht="15" x14ac:dyDescent="0.2">
      <c r="A2951"/>
      <c r="B2951"/>
      <c r="C2951"/>
      <c r="D2951"/>
      <c r="E2951"/>
      <c r="F2951"/>
      <c r="G2951"/>
      <c r="H2951"/>
      <c r="I2951"/>
      <c r="J2951"/>
      <c r="K2951"/>
      <c r="L2951"/>
      <c r="M2951"/>
      <c r="N2951"/>
      <c r="O2951"/>
      <c r="P2951"/>
      <c r="Q2951"/>
      <c r="R2951"/>
      <c r="S2951"/>
    </row>
    <row r="2952" spans="1:19" ht="15" x14ac:dyDescent="0.2">
      <c r="A2952"/>
      <c r="B2952"/>
      <c r="C2952"/>
      <c r="D2952"/>
      <c r="E2952"/>
      <c r="F2952"/>
      <c r="G2952"/>
      <c r="H2952"/>
      <c r="I2952"/>
      <c r="J2952"/>
      <c r="K2952"/>
      <c r="L2952"/>
      <c r="M2952"/>
      <c r="N2952"/>
      <c r="O2952"/>
      <c r="P2952"/>
      <c r="Q2952"/>
      <c r="R2952"/>
      <c r="S2952"/>
    </row>
    <row r="2953" spans="1:19" ht="15" x14ac:dyDescent="0.2">
      <c r="A2953"/>
      <c r="B2953"/>
      <c r="C2953"/>
      <c r="D2953"/>
      <c r="E2953"/>
      <c r="F2953"/>
      <c r="G2953"/>
      <c r="H2953"/>
      <c r="I2953"/>
      <c r="J2953"/>
      <c r="K2953"/>
      <c r="L2953"/>
      <c r="M2953"/>
      <c r="N2953"/>
      <c r="O2953"/>
      <c r="P2953"/>
      <c r="Q2953"/>
      <c r="R2953"/>
      <c r="S2953"/>
    </row>
    <row r="2954" spans="1:19" ht="15" x14ac:dyDescent="0.2">
      <c r="A2954"/>
      <c r="B2954"/>
      <c r="C2954"/>
      <c r="D2954"/>
      <c r="E2954"/>
      <c r="F2954"/>
      <c r="G2954"/>
      <c r="H2954"/>
      <c r="I2954"/>
      <c r="J2954"/>
      <c r="K2954"/>
      <c r="L2954"/>
      <c r="M2954"/>
      <c r="N2954"/>
      <c r="O2954"/>
      <c r="P2954"/>
      <c r="Q2954"/>
      <c r="R2954"/>
      <c r="S2954"/>
    </row>
    <row r="2955" spans="1:19" ht="15" x14ac:dyDescent="0.2">
      <c r="A2955"/>
      <c r="B2955"/>
      <c r="C2955"/>
      <c r="D2955"/>
      <c r="E2955"/>
      <c r="F2955"/>
      <c r="G2955"/>
      <c r="H2955"/>
      <c r="I2955"/>
      <c r="J2955"/>
      <c r="K2955"/>
      <c r="L2955"/>
      <c r="M2955"/>
      <c r="N2955"/>
      <c r="O2955"/>
      <c r="P2955"/>
      <c r="Q2955"/>
      <c r="R2955"/>
      <c r="S2955"/>
    </row>
    <row r="2956" spans="1:19" ht="15" x14ac:dyDescent="0.2">
      <c r="A2956"/>
      <c r="B2956"/>
      <c r="C2956"/>
      <c r="D2956"/>
      <c r="E2956"/>
      <c r="F2956"/>
      <c r="G2956"/>
      <c r="H2956"/>
      <c r="I2956"/>
      <c r="J2956"/>
      <c r="K2956"/>
      <c r="L2956"/>
      <c r="M2956"/>
      <c r="N2956"/>
      <c r="O2956"/>
      <c r="P2956"/>
      <c r="Q2956"/>
      <c r="R2956"/>
      <c r="S2956"/>
    </row>
    <row r="2957" spans="1:19" ht="15" x14ac:dyDescent="0.2">
      <c r="A2957"/>
      <c r="B2957"/>
      <c r="C2957"/>
      <c r="D2957"/>
      <c r="E2957"/>
      <c r="F2957"/>
      <c r="G2957"/>
      <c r="H2957"/>
      <c r="I2957"/>
      <c r="J2957"/>
      <c r="K2957"/>
      <c r="L2957"/>
      <c r="M2957"/>
      <c r="N2957"/>
      <c r="O2957"/>
      <c r="P2957"/>
      <c r="Q2957"/>
      <c r="R2957"/>
      <c r="S2957"/>
    </row>
    <row r="2958" spans="1:19" ht="15" x14ac:dyDescent="0.2">
      <c r="A2958"/>
      <c r="B2958"/>
      <c r="C2958"/>
      <c r="D2958"/>
      <c r="E2958"/>
      <c r="F2958"/>
      <c r="G2958"/>
      <c r="H2958"/>
      <c r="I2958"/>
      <c r="J2958"/>
      <c r="K2958"/>
      <c r="L2958"/>
      <c r="M2958"/>
      <c r="N2958"/>
      <c r="O2958"/>
      <c r="P2958"/>
      <c r="Q2958"/>
      <c r="R2958"/>
      <c r="S2958"/>
    </row>
    <row r="2959" spans="1:19" ht="15" x14ac:dyDescent="0.2">
      <c r="A2959"/>
      <c r="B2959"/>
      <c r="C2959"/>
      <c r="D2959"/>
      <c r="E2959"/>
      <c r="F2959"/>
      <c r="G2959"/>
      <c r="H2959"/>
      <c r="I2959"/>
      <c r="J2959"/>
      <c r="K2959"/>
      <c r="L2959"/>
      <c r="M2959"/>
      <c r="N2959"/>
      <c r="O2959"/>
      <c r="P2959"/>
      <c r="Q2959"/>
      <c r="R2959"/>
      <c r="S2959"/>
    </row>
    <row r="2960" spans="1:19" ht="15" x14ac:dyDescent="0.2">
      <c r="A2960"/>
      <c r="B2960"/>
      <c r="C2960"/>
      <c r="D2960"/>
      <c r="E2960"/>
      <c r="F2960"/>
      <c r="G2960"/>
      <c r="H2960"/>
      <c r="I2960"/>
      <c r="J2960"/>
      <c r="K2960"/>
      <c r="L2960"/>
      <c r="M2960"/>
      <c r="N2960"/>
      <c r="O2960"/>
      <c r="P2960"/>
      <c r="Q2960"/>
      <c r="R2960"/>
      <c r="S2960"/>
    </row>
    <row r="2961" spans="1:19" ht="15" x14ac:dyDescent="0.2">
      <c r="A2961"/>
      <c r="B2961"/>
      <c r="C2961"/>
      <c r="D2961"/>
      <c r="E2961"/>
      <c r="F2961"/>
      <c r="G2961"/>
      <c r="H2961"/>
      <c r="I2961"/>
      <c r="J2961"/>
      <c r="K2961"/>
      <c r="L2961"/>
      <c r="M2961"/>
      <c r="N2961"/>
      <c r="O2961"/>
      <c r="P2961"/>
      <c r="Q2961"/>
      <c r="R2961"/>
      <c r="S2961"/>
    </row>
    <row r="2962" spans="1:19" ht="15" x14ac:dyDescent="0.2">
      <c r="A2962"/>
      <c r="B2962"/>
      <c r="C2962"/>
      <c r="D2962"/>
      <c r="E2962"/>
      <c r="F2962"/>
      <c r="G2962"/>
      <c r="H2962"/>
      <c r="I2962"/>
      <c r="J2962"/>
      <c r="K2962"/>
      <c r="L2962"/>
      <c r="M2962"/>
      <c r="N2962"/>
      <c r="O2962"/>
      <c r="P2962"/>
      <c r="Q2962"/>
      <c r="R2962"/>
      <c r="S2962"/>
    </row>
    <row r="2963" spans="1:19" ht="15" x14ac:dyDescent="0.2">
      <c r="A2963"/>
      <c r="B2963"/>
      <c r="C2963"/>
      <c r="D2963"/>
      <c r="E2963"/>
      <c r="F2963"/>
      <c r="G2963"/>
      <c r="H2963"/>
      <c r="I2963"/>
      <c r="J2963"/>
      <c r="K2963"/>
      <c r="L2963"/>
      <c r="M2963"/>
      <c r="N2963"/>
      <c r="O2963"/>
      <c r="P2963"/>
      <c r="Q2963"/>
      <c r="R2963"/>
      <c r="S2963"/>
    </row>
    <row r="2964" spans="1:19" ht="15" x14ac:dyDescent="0.2">
      <c r="A2964"/>
      <c r="B2964"/>
      <c r="C2964"/>
      <c r="D2964"/>
      <c r="E2964"/>
      <c r="F2964"/>
      <c r="G2964"/>
      <c r="H2964"/>
      <c r="I2964"/>
      <c r="J2964"/>
      <c r="K2964"/>
      <c r="L2964"/>
      <c r="M2964"/>
      <c r="N2964"/>
      <c r="O2964"/>
      <c r="P2964"/>
      <c r="Q2964"/>
      <c r="R2964"/>
      <c r="S2964"/>
    </row>
    <row r="2965" spans="1:19" ht="15" x14ac:dyDescent="0.2">
      <c r="A2965"/>
      <c r="B2965"/>
      <c r="C2965"/>
      <c r="D2965"/>
      <c r="E2965"/>
      <c r="F2965"/>
      <c r="G2965"/>
      <c r="H2965"/>
      <c r="I2965"/>
      <c r="J2965"/>
      <c r="K2965"/>
      <c r="L2965"/>
      <c r="M2965"/>
      <c r="N2965"/>
      <c r="O2965"/>
      <c r="P2965"/>
      <c r="Q2965"/>
      <c r="R2965"/>
      <c r="S2965"/>
    </row>
    <row r="2966" spans="1:19" ht="15" x14ac:dyDescent="0.2">
      <c r="A2966"/>
      <c r="B2966"/>
      <c r="C2966"/>
      <c r="D2966"/>
      <c r="E2966"/>
      <c r="F2966"/>
      <c r="G2966"/>
      <c r="H2966"/>
      <c r="I2966"/>
      <c r="J2966"/>
      <c r="K2966"/>
      <c r="L2966"/>
      <c r="M2966"/>
      <c r="N2966"/>
      <c r="O2966"/>
      <c r="P2966"/>
      <c r="Q2966"/>
      <c r="R2966"/>
      <c r="S2966"/>
    </row>
    <row r="2967" spans="1:19" ht="15" x14ac:dyDescent="0.2">
      <c r="A2967"/>
      <c r="B2967"/>
      <c r="C2967"/>
      <c r="D2967"/>
      <c r="E2967"/>
      <c r="F2967"/>
      <c r="G2967"/>
      <c r="H2967"/>
      <c r="I2967"/>
      <c r="J2967"/>
      <c r="K2967"/>
      <c r="L2967"/>
      <c r="M2967"/>
      <c r="N2967"/>
      <c r="O2967"/>
      <c r="P2967"/>
      <c r="Q2967"/>
      <c r="R2967"/>
      <c r="S2967"/>
    </row>
    <row r="2968" spans="1:19" ht="15" x14ac:dyDescent="0.2">
      <c r="A2968"/>
      <c r="B2968"/>
      <c r="C2968"/>
      <c r="D2968"/>
      <c r="E2968"/>
      <c r="F2968"/>
      <c r="G2968"/>
      <c r="H2968"/>
      <c r="I2968"/>
      <c r="J2968"/>
      <c r="K2968"/>
      <c r="L2968"/>
      <c r="M2968"/>
      <c r="N2968"/>
      <c r="O2968"/>
      <c r="P2968"/>
      <c r="Q2968"/>
      <c r="R2968"/>
      <c r="S2968"/>
    </row>
    <row r="2969" spans="1:19" ht="15" x14ac:dyDescent="0.2">
      <c r="A2969"/>
      <c r="B2969"/>
      <c r="C2969"/>
      <c r="D2969"/>
      <c r="E2969"/>
      <c r="F2969"/>
      <c r="G2969"/>
      <c r="H2969"/>
      <c r="I2969"/>
      <c r="J2969"/>
      <c r="K2969"/>
      <c r="L2969"/>
      <c r="M2969"/>
      <c r="N2969"/>
      <c r="O2969"/>
      <c r="P2969"/>
      <c r="Q2969"/>
      <c r="R2969"/>
      <c r="S2969"/>
    </row>
    <row r="2970" spans="1:19" ht="15" x14ac:dyDescent="0.2">
      <c r="A2970"/>
      <c r="B2970"/>
      <c r="C2970"/>
      <c r="D2970"/>
      <c r="E2970"/>
      <c r="F2970"/>
      <c r="G2970"/>
      <c r="H2970"/>
      <c r="I2970"/>
      <c r="J2970"/>
      <c r="K2970"/>
      <c r="L2970"/>
      <c r="M2970"/>
      <c r="N2970"/>
      <c r="O2970"/>
      <c r="P2970"/>
      <c r="Q2970"/>
      <c r="R2970"/>
      <c r="S2970"/>
    </row>
    <row r="2971" spans="1:19" ht="15" x14ac:dyDescent="0.2">
      <c r="A2971"/>
      <c r="B2971"/>
      <c r="C2971"/>
      <c r="D2971"/>
      <c r="E2971"/>
      <c r="F2971"/>
      <c r="G2971"/>
      <c r="H2971"/>
      <c r="I2971"/>
      <c r="J2971"/>
      <c r="K2971"/>
      <c r="L2971"/>
      <c r="M2971"/>
      <c r="N2971"/>
      <c r="O2971"/>
      <c r="P2971"/>
      <c r="Q2971"/>
      <c r="R2971"/>
      <c r="S2971"/>
    </row>
    <row r="2972" spans="1:19" ht="15" x14ac:dyDescent="0.2">
      <c r="A2972"/>
      <c r="B2972"/>
      <c r="C2972"/>
      <c r="D2972"/>
      <c r="E2972"/>
      <c r="F2972"/>
      <c r="G2972"/>
      <c r="H2972"/>
      <c r="I2972"/>
      <c r="J2972"/>
      <c r="K2972"/>
      <c r="L2972"/>
      <c r="M2972"/>
      <c r="N2972"/>
      <c r="O2972"/>
      <c r="P2972"/>
      <c r="Q2972"/>
      <c r="R2972"/>
      <c r="S2972"/>
    </row>
    <row r="2973" spans="1:19" ht="15" x14ac:dyDescent="0.2">
      <c r="A2973"/>
      <c r="B2973"/>
      <c r="C2973"/>
      <c r="D2973"/>
      <c r="E2973"/>
      <c r="F2973"/>
      <c r="G2973"/>
      <c r="H2973"/>
      <c r="I2973"/>
      <c r="J2973"/>
      <c r="K2973"/>
      <c r="L2973"/>
      <c r="M2973"/>
      <c r="N2973"/>
      <c r="O2973"/>
      <c r="P2973"/>
      <c r="Q2973"/>
      <c r="R2973"/>
      <c r="S2973"/>
    </row>
    <row r="2974" spans="1:19" ht="15" x14ac:dyDescent="0.2">
      <c r="A2974"/>
      <c r="B2974"/>
      <c r="C2974"/>
      <c r="D2974"/>
      <c r="E2974"/>
      <c r="F2974"/>
      <c r="G2974"/>
      <c r="H2974"/>
      <c r="I2974"/>
      <c r="J2974"/>
      <c r="K2974"/>
      <c r="L2974"/>
      <c r="M2974"/>
      <c r="N2974"/>
      <c r="O2974"/>
      <c r="P2974"/>
      <c r="Q2974"/>
      <c r="R2974"/>
      <c r="S2974"/>
    </row>
    <row r="2975" spans="1:19" ht="15" x14ac:dyDescent="0.2">
      <c r="A2975"/>
      <c r="B2975"/>
      <c r="C2975"/>
      <c r="D2975"/>
      <c r="E2975"/>
      <c r="F2975"/>
      <c r="G2975"/>
      <c r="H2975"/>
      <c r="I2975"/>
      <c r="J2975"/>
      <c r="K2975"/>
      <c r="L2975"/>
      <c r="M2975"/>
      <c r="N2975"/>
      <c r="O2975"/>
      <c r="P2975"/>
      <c r="Q2975"/>
      <c r="R2975"/>
      <c r="S2975"/>
    </row>
    <row r="2976" spans="1:19" ht="15" x14ac:dyDescent="0.2">
      <c r="A2976"/>
      <c r="B2976"/>
      <c r="C2976"/>
      <c r="D2976"/>
      <c r="E2976"/>
      <c r="F2976"/>
      <c r="G2976"/>
      <c r="H2976"/>
      <c r="I2976"/>
      <c r="J2976"/>
      <c r="K2976"/>
      <c r="L2976"/>
      <c r="M2976"/>
      <c r="N2976"/>
      <c r="O2976"/>
      <c r="P2976"/>
      <c r="Q2976"/>
      <c r="R2976"/>
      <c r="S2976"/>
    </row>
    <row r="2977" spans="1:19" ht="15" x14ac:dyDescent="0.2">
      <c r="A2977"/>
      <c r="B2977"/>
      <c r="C2977"/>
      <c r="D2977"/>
      <c r="E2977"/>
      <c r="F2977"/>
      <c r="G2977"/>
      <c r="H2977"/>
      <c r="I2977"/>
      <c r="J2977"/>
      <c r="K2977"/>
      <c r="L2977"/>
      <c r="M2977"/>
      <c r="N2977"/>
      <c r="O2977"/>
      <c r="P2977"/>
      <c r="Q2977"/>
      <c r="R2977"/>
      <c r="S2977"/>
    </row>
    <row r="2978" spans="1:19" ht="15" x14ac:dyDescent="0.2">
      <c r="A2978"/>
      <c r="B2978"/>
      <c r="C2978"/>
      <c r="D2978"/>
      <c r="E2978"/>
      <c r="F2978"/>
      <c r="G2978"/>
      <c r="H2978"/>
      <c r="I2978"/>
      <c r="J2978"/>
      <c r="K2978"/>
      <c r="L2978"/>
      <c r="M2978"/>
      <c r="N2978"/>
      <c r="O2978"/>
      <c r="P2978"/>
      <c r="Q2978"/>
      <c r="R2978"/>
      <c r="S2978"/>
    </row>
    <row r="2979" spans="1:19" ht="15" x14ac:dyDescent="0.2">
      <c r="A2979"/>
      <c r="B2979"/>
      <c r="C2979"/>
      <c r="D2979"/>
      <c r="E2979"/>
      <c r="F2979"/>
      <c r="G2979"/>
      <c r="H2979"/>
      <c r="I2979"/>
      <c r="J2979"/>
      <c r="K2979"/>
      <c r="L2979"/>
      <c r="M2979"/>
      <c r="N2979"/>
      <c r="O2979"/>
      <c r="P2979"/>
      <c r="Q2979"/>
      <c r="R2979"/>
      <c r="S2979"/>
    </row>
    <row r="2980" spans="1:19" ht="15" x14ac:dyDescent="0.2">
      <c r="A2980"/>
      <c r="B2980"/>
      <c r="C2980"/>
      <c r="D2980"/>
      <c r="E2980"/>
      <c r="F2980"/>
      <c r="G2980"/>
      <c r="H2980"/>
      <c r="I2980"/>
      <c r="J2980"/>
      <c r="K2980"/>
      <c r="L2980"/>
      <c r="M2980"/>
      <c r="N2980"/>
      <c r="O2980"/>
      <c r="P2980"/>
      <c r="Q2980"/>
      <c r="R2980"/>
      <c r="S2980"/>
    </row>
    <row r="2981" spans="1:19" ht="15" x14ac:dyDescent="0.2">
      <c r="A2981"/>
      <c r="B2981"/>
      <c r="C2981"/>
      <c r="D2981"/>
      <c r="E2981"/>
      <c r="F2981"/>
      <c r="G2981"/>
      <c r="H2981"/>
      <c r="I2981"/>
      <c r="J2981"/>
      <c r="K2981"/>
      <c r="L2981"/>
      <c r="M2981"/>
      <c r="N2981"/>
      <c r="O2981"/>
      <c r="P2981"/>
      <c r="Q2981"/>
      <c r="R2981"/>
      <c r="S2981"/>
    </row>
    <row r="2982" spans="1:19" ht="15" x14ac:dyDescent="0.2">
      <c r="A2982"/>
      <c r="B2982"/>
      <c r="C2982"/>
      <c r="D2982"/>
      <c r="E2982"/>
      <c r="F2982"/>
      <c r="G2982"/>
      <c r="H2982"/>
      <c r="I2982"/>
      <c r="J2982"/>
      <c r="K2982"/>
      <c r="L2982"/>
      <c r="M2982"/>
      <c r="N2982"/>
      <c r="O2982"/>
      <c r="P2982"/>
      <c r="Q2982"/>
      <c r="R2982"/>
      <c r="S2982"/>
    </row>
    <row r="2983" spans="1:19" ht="15" x14ac:dyDescent="0.2">
      <c r="A2983"/>
      <c r="B2983"/>
      <c r="C2983"/>
      <c r="D2983"/>
      <c r="E2983"/>
      <c r="F2983"/>
      <c r="G2983"/>
      <c r="H2983"/>
      <c r="I2983"/>
      <c r="J2983"/>
      <c r="K2983"/>
      <c r="L2983"/>
      <c r="M2983"/>
      <c r="N2983"/>
      <c r="O2983"/>
      <c r="P2983"/>
      <c r="Q2983"/>
      <c r="R2983"/>
      <c r="S2983"/>
    </row>
    <row r="2984" spans="1:19" ht="15" x14ac:dyDescent="0.2">
      <c r="A2984"/>
      <c r="B2984"/>
      <c r="C2984"/>
      <c r="D2984"/>
      <c r="E2984"/>
      <c r="F2984"/>
      <c r="G2984"/>
      <c r="H2984"/>
      <c r="I2984"/>
      <c r="J2984"/>
      <c r="K2984"/>
      <c r="L2984"/>
      <c r="M2984"/>
      <c r="N2984"/>
      <c r="O2984"/>
      <c r="P2984"/>
      <c r="Q2984"/>
      <c r="R2984"/>
      <c r="S2984"/>
    </row>
    <row r="2985" spans="1:19" ht="15" x14ac:dyDescent="0.2">
      <c r="A2985"/>
      <c r="B2985"/>
      <c r="C2985"/>
      <c r="D2985"/>
      <c r="E2985"/>
      <c r="F2985"/>
      <c r="G2985"/>
      <c r="H2985"/>
      <c r="I2985"/>
      <c r="J2985"/>
      <c r="K2985"/>
      <c r="L2985"/>
      <c r="M2985"/>
      <c r="N2985"/>
      <c r="O2985"/>
      <c r="P2985"/>
      <c r="Q2985"/>
      <c r="R2985"/>
      <c r="S2985"/>
    </row>
    <row r="2986" spans="1:19" ht="15" x14ac:dyDescent="0.2">
      <c r="A2986"/>
      <c r="B2986"/>
      <c r="C2986"/>
      <c r="D2986"/>
      <c r="E2986"/>
      <c r="F2986"/>
      <c r="G2986"/>
      <c r="H2986"/>
      <c r="I2986"/>
      <c r="J2986"/>
      <c r="K2986"/>
      <c r="L2986"/>
      <c r="M2986"/>
      <c r="N2986"/>
      <c r="O2986"/>
      <c r="P2986"/>
      <c r="Q2986"/>
      <c r="R2986"/>
      <c r="S2986"/>
    </row>
    <row r="2987" spans="1:19" ht="15" x14ac:dyDescent="0.2">
      <c r="A2987"/>
      <c r="B2987"/>
      <c r="C2987"/>
      <c r="D2987"/>
      <c r="E2987"/>
      <c r="F2987"/>
      <c r="G2987"/>
      <c r="H2987"/>
      <c r="I2987"/>
      <c r="J2987"/>
      <c r="K2987"/>
      <c r="L2987"/>
      <c r="M2987"/>
      <c r="N2987"/>
      <c r="O2987"/>
      <c r="P2987"/>
      <c r="Q2987"/>
      <c r="R2987"/>
      <c r="S2987"/>
    </row>
    <row r="2988" spans="1:19" ht="15" x14ac:dyDescent="0.2">
      <c r="A2988"/>
      <c r="B2988"/>
      <c r="C2988"/>
      <c r="D2988"/>
      <c r="E2988"/>
      <c r="F2988"/>
      <c r="G2988"/>
      <c r="H2988"/>
      <c r="I2988"/>
      <c r="J2988"/>
      <c r="K2988"/>
      <c r="L2988"/>
      <c r="M2988"/>
      <c r="N2988"/>
      <c r="O2988"/>
      <c r="P2988"/>
      <c r="Q2988"/>
      <c r="R2988"/>
      <c r="S2988"/>
    </row>
    <row r="2989" spans="1:19" ht="15" x14ac:dyDescent="0.2">
      <c r="A2989"/>
      <c r="B2989"/>
      <c r="C2989"/>
      <c r="D2989"/>
      <c r="E2989"/>
      <c r="F2989"/>
      <c r="G2989"/>
      <c r="H2989"/>
      <c r="I2989"/>
      <c r="J2989"/>
      <c r="K2989"/>
      <c r="L2989"/>
      <c r="M2989"/>
      <c r="N2989"/>
      <c r="O2989"/>
      <c r="P2989"/>
      <c r="Q2989"/>
      <c r="R2989"/>
      <c r="S2989"/>
    </row>
    <row r="2990" spans="1:19" ht="15" x14ac:dyDescent="0.2">
      <c r="A2990"/>
      <c r="B2990"/>
      <c r="C2990"/>
      <c r="D2990"/>
      <c r="E2990"/>
      <c r="F2990"/>
      <c r="G2990"/>
      <c r="H2990"/>
      <c r="I2990"/>
      <c r="J2990"/>
      <c r="K2990"/>
      <c r="L2990"/>
      <c r="M2990"/>
      <c r="N2990"/>
      <c r="O2990"/>
      <c r="P2990"/>
      <c r="Q2990"/>
      <c r="R2990"/>
      <c r="S2990"/>
    </row>
    <row r="2991" spans="1:19" ht="15" x14ac:dyDescent="0.2">
      <c r="A2991"/>
      <c r="B2991"/>
      <c r="C2991"/>
      <c r="D2991"/>
      <c r="E2991"/>
      <c r="F2991"/>
      <c r="G2991"/>
      <c r="H2991"/>
      <c r="I2991"/>
      <c r="J2991"/>
      <c r="K2991"/>
      <c r="L2991"/>
      <c r="M2991"/>
      <c r="N2991"/>
      <c r="O2991"/>
      <c r="P2991"/>
      <c r="Q2991"/>
      <c r="R2991"/>
      <c r="S2991"/>
    </row>
    <row r="2992" spans="1:19" ht="15" x14ac:dyDescent="0.2">
      <c r="A2992"/>
      <c r="B2992"/>
      <c r="C2992"/>
      <c r="D2992"/>
      <c r="E2992"/>
      <c r="F2992"/>
      <c r="G2992"/>
      <c r="H2992"/>
      <c r="I2992"/>
      <c r="J2992"/>
      <c r="K2992"/>
      <c r="L2992"/>
      <c r="M2992"/>
      <c r="N2992"/>
      <c r="O2992"/>
      <c r="P2992"/>
      <c r="Q2992"/>
      <c r="R2992"/>
      <c r="S2992"/>
    </row>
    <row r="2993" spans="1:19" ht="15" x14ac:dyDescent="0.2">
      <c r="A2993"/>
      <c r="B2993"/>
      <c r="C2993"/>
      <c r="D2993"/>
      <c r="E2993"/>
      <c r="F2993"/>
      <c r="G2993"/>
      <c r="H2993"/>
      <c r="I2993"/>
      <c r="J2993"/>
      <c r="K2993"/>
      <c r="L2993"/>
      <c r="M2993"/>
      <c r="N2993"/>
      <c r="O2993"/>
      <c r="P2993"/>
      <c r="Q2993"/>
      <c r="R2993"/>
      <c r="S2993"/>
    </row>
    <row r="2994" spans="1:19" ht="15" x14ac:dyDescent="0.2">
      <c r="A2994"/>
      <c r="B2994"/>
      <c r="C2994"/>
      <c r="D2994"/>
      <c r="E2994"/>
      <c r="F2994"/>
      <c r="G2994"/>
      <c r="H2994"/>
      <c r="I2994"/>
      <c r="J2994"/>
      <c r="K2994"/>
      <c r="L2994"/>
      <c r="M2994"/>
      <c r="N2994"/>
      <c r="O2994"/>
      <c r="P2994"/>
      <c r="Q2994"/>
      <c r="R2994"/>
      <c r="S2994"/>
    </row>
    <row r="2995" spans="1:19" ht="15" x14ac:dyDescent="0.2">
      <c r="A2995"/>
      <c r="B2995"/>
      <c r="C2995"/>
      <c r="D2995"/>
      <c r="E2995"/>
      <c r="F2995"/>
      <c r="G2995"/>
      <c r="H2995"/>
      <c r="I2995"/>
      <c r="J2995"/>
      <c r="K2995"/>
      <c r="L2995"/>
      <c r="M2995"/>
      <c r="N2995"/>
      <c r="O2995"/>
      <c r="P2995"/>
      <c r="Q2995"/>
      <c r="R2995"/>
      <c r="S2995"/>
    </row>
    <row r="2996" spans="1:19" ht="15" x14ac:dyDescent="0.2">
      <c r="A2996"/>
      <c r="B2996"/>
      <c r="C2996"/>
      <c r="D2996"/>
      <c r="E2996"/>
      <c r="F2996"/>
      <c r="G2996"/>
      <c r="H2996"/>
      <c r="I2996"/>
      <c r="J2996"/>
      <c r="K2996"/>
      <c r="L2996"/>
      <c r="M2996"/>
      <c r="N2996"/>
      <c r="O2996"/>
      <c r="P2996"/>
      <c r="Q2996"/>
      <c r="R2996"/>
      <c r="S2996"/>
    </row>
    <row r="2997" spans="1:19" ht="15" x14ac:dyDescent="0.2">
      <c r="A2997"/>
      <c r="B2997"/>
      <c r="C2997"/>
      <c r="D2997"/>
      <c r="E2997"/>
      <c r="F2997"/>
      <c r="G2997"/>
      <c r="H2997"/>
      <c r="I2997"/>
      <c r="J2997"/>
      <c r="K2997"/>
      <c r="L2997"/>
      <c r="M2997"/>
      <c r="N2997"/>
      <c r="O2997"/>
      <c r="P2997"/>
      <c r="Q2997"/>
      <c r="R2997"/>
      <c r="S2997"/>
    </row>
    <row r="2998" spans="1:19" ht="15" x14ac:dyDescent="0.2">
      <c r="A2998"/>
      <c r="B2998"/>
      <c r="C2998"/>
      <c r="D2998"/>
      <c r="E2998"/>
      <c r="F2998"/>
      <c r="G2998"/>
      <c r="H2998"/>
      <c r="I2998"/>
      <c r="J2998"/>
      <c r="K2998"/>
      <c r="L2998"/>
      <c r="M2998"/>
      <c r="N2998"/>
      <c r="O2998"/>
      <c r="P2998"/>
      <c r="Q2998"/>
      <c r="R2998"/>
      <c r="S2998"/>
    </row>
    <row r="2999" spans="1:19" ht="15" x14ac:dyDescent="0.2">
      <c r="A2999"/>
      <c r="B2999"/>
      <c r="C2999"/>
      <c r="D2999"/>
      <c r="E2999"/>
      <c r="F2999"/>
      <c r="G2999"/>
      <c r="H2999"/>
      <c r="I2999"/>
      <c r="J2999"/>
      <c r="K2999"/>
      <c r="L2999"/>
      <c r="M2999"/>
      <c r="N2999"/>
      <c r="O2999"/>
      <c r="P2999"/>
      <c r="Q2999"/>
      <c r="R2999"/>
      <c r="S2999"/>
    </row>
    <row r="3000" spans="1:19" ht="15" x14ac:dyDescent="0.2">
      <c r="A3000"/>
      <c r="B3000"/>
      <c r="C3000"/>
      <c r="D3000"/>
      <c r="E3000"/>
      <c r="F3000"/>
      <c r="G3000"/>
      <c r="H3000"/>
      <c r="I3000"/>
      <c r="J3000"/>
      <c r="K3000"/>
      <c r="L3000"/>
      <c r="M3000"/>
      <c r="N3000"/>
      <c r="O3000"/>
      <c r="P3000"/>
      <c r="Q3000"/>
      <c r="R3000"/>
      <c r="S3000"/>
    </row>
    <row r="3001" spans="1:19" ht="15" x14ac:dyDescent="0.2">
      <c r="A3001"/>
      <c r="B3001"/>
      <c r="C3001"/>
      <c r="D3001"/>
      <c r="E3001"/>
      <c r="F3001"/>
      <c r="G3001"/>
      <c r="H3001"/>
      <c r="I3001"/>
      <c r="J3001"/>
      <c r="K3001"/>
      <c r="L3001"/>
      <c r="M3001"/>
      <c r="N3001"/>
      <c r="O3001"/>
      <c r="P3001"/>
      <c r="Q3001"/>
      <c r="R3001"/>
      <c r="S3001"/>
    </row>
    <row r="3002" spans="1:19" ht="15" x14ac:dyDescent="0.2">
      <c r="A3002"/>
      <c r="B3002"/>
      <c r="C3002"/>
      <c r="D3002"/>
      <c r="E3002"/>
      <c r="F3002"/>
      <c r="G3002"/>
      <c r="H3002"/>
      <c r="I3002"/>
      <c r="J3002"/>
      <c r="K3002"/>
      <c r="L3002"/>
      <c r="M3002"/>
      <c r="N3002"/>
      <c r="O3002"/>
      <c r="P3002"/>
      <c r="Q3002"/>
      <c r="R3002"/>
      <c r="S3002"/>
    </row>
    <row r="3003" spans="1:19" ht="15" x14ac:dyDescent="0.2">
      <c r="A3003"/>
      <c r="B3003"/>
      <c r="C3003"/>
      <c r="D3003"/>
      <c r="E3003"/>
      <c r="F3003"/>
      <c r="G3003"/>
      <c r="H3003"/>
      <c r="I3003"/>
      <c r="J3003"/>
      <c r="K3003"/>
      <c r="L3003"/>
      <c r="M3003"/>
      <c r="N3003"/>
      <c r="O3003"/>
      <c r="P3003"/>
      <c r="Q3003"/>
      <c r="R3003"/>
      <c r="S3003"/>
    </row>
    <row r="3004" spans="1:19" ht="15" x14ac:dyDescent="0.2">
      <c r="A3004"/>
      <c r="B3004"/>
      <c r="C3004"/>
      <c r="D3004"/>
      <c r="E3004"/>
      <c r="F3004"/>
      <c r="G3004"/>
      <c r="H3004"/>
      <c r="I3004"/>
      <c r="J3004"/>
      <c r="K3004"/>
      <c r="L3004"/>
      <c r="M3004"/>
      <c r="N3004"/>
      <c r="O3004"/>
      <c r="P3004"/>
      <c r="Q3004"/>
      <c r="R3004"/>
      <c r="S3004"/>
    </row>
    <row r="3005" spans="1:19" ht="15" x14ac:dyDescent="0.2">
      <c r="A3005"/>
      <c r="B3005"/>
      <c r="C3005"/>
      <c r="D3005"/>
      <c r="E3005"/>
      <c r="F3005"/>
      <c r="G3005"/>
      <c r="H3005"/>
      <c r="I3005"/>
      <c r="J3005"/>
      <c r="K3005"/>
      <c r="L3005"/>
      <c r="M3005"/>
      <c r="N3005"/>
      <c r="O3005"/>
      <c r="P3005"/>
      <c r="Q3005"/>
      <c r="R3005"/>
      <c r="S3005"/>
    </row>
    <row r="3006" spans="1:19" ht="15" x14ac:dyDescent="0.2">
      <c r="A3006"/>
      <c r="B3006"/>
      <c r="C3006"/>
      <c r="D3006"/>
      <c r="E3006"/>
      <c r="F3006"/>
      <c r="G3006"/>
      <c r="H3006"/>
      <c r="I3006"/>
      <c r="J3006"/>
      <c r="K3006"/>
      <c r="L3006"/>
      <c r="M3006"/>
      <c r="N3006"/>
      <c r="O3006"/>
      <c r="P3006"/>
      <c r="Q3006"/>
      <c r="R3006"/>
      <c r="S3006"/>
    </row>
    <row r="3007" spans="1:19" ht="15" x14ac:dyDescent="0.2">
      <c r="A3007"/>
      <c r="B3007"/>
      <c r="C3007"/>
      <c r="D3007"/>
      <c r="E3007"/>
      <c r="F3007"/>
      <c r="G3007"/>
      <c r="H3007"/>
      <c r="I3007"/>
      <c r="J3007"/>
      <c r="K3007"/>
      <c r="L3007"/>
      <c r="M3007"/>
      <c r="N3007"/>
      <c r="O3007"/>
      <c r="P3007"/>
      <c r="Q3007"/>
      <c r="R3007"/>
      <c r="S3007"/>
    </row>
    <row r="3008" spans="1:19" ht="15" x14ac:dyDescent="0.2">
      <c r="A3008"/>
      <c r="B3008"/>
      <c r="C3008"/>
      <c r="D3008"/>
      <c r="E3008"/>
      <c r="F3008"/>
      <c r="G3008"/>
      <c r="H3008"/>
      <c r="I3008"/>
      <c r="J3008"/>
      <c r="K3008"/>
      <c r="L3008"/>
      <c r="M3008"/>
      <c r="N3008"/>
      <c r="O3008"/>
      <c r="P3008"/>
      <c r="Q3008"/>
      <c r="R3008"/>
      <c r="S3008"/>
    </row>
    <row r="3009" spans="1:19" ht="15" x14ac:dyDescent="0.2">
      <c r="A3009"/>
      <c r="B3009"/>
      <c r="C3009"/>
      <c r="D3009"/>
      <c r="E3009"/>
      <c r="F3009"/>
      <c r="G3009"/>
      <c r="H3009"/>
      <c r="I3009"/>
      <c r="J3009"/>
      <c r="K3009"/>
      <c r="L3009"/>
      <c r="M3009"/>
      <c r="N3009"/>
      <c r="O3009"/>
      <c r="P3009"/>
      <c r="Q3009"/>
      <c r="R3009"/>
      <c r="S3009"/>
    </row>
    <row r="3010" spans="1:19" ht="15" x14ac:dyDescent="0.2">
      <c r="A3010"/>
      <c r="B3010"/>
      <c r="C3010"/>
      <c r="D3010"/>
      <c r="E3010"/>
      <c r="F3010"/>
      <c r="G3010"/>
      <c r="H3010"/>
      <c r="I3010"/>
      <c r="J3010"/>
      <c r="K3010"/>
      <c r="L3010"/>
      <c r="M3010"/>
      <c r="N3010"/>
      <c r="O3010"/>
      <c r="P3010"/>
      <c r="Q3010"/>
      <c r="R3010"/>
      <c r="S3010"/>
    </row>
    <row r="3011" spans="1:19" ht="15" x14ac:dyDescent="0.2">
      <c r="A3011"/>
      <c r="B3011"/>
      <c r="C3011"/>
      <c r="D3011"/>
      <c r="E3011"/>
      <c r="F3011"/>
      <c r="G3011"/>
      <c r="H3011"/>
      <c r="I3011"/>
      <c r="J3011"/>
      <c r="K3011"/>
      <c r="L3011"/>
      <c r="M3011"/>
      <c r="N3011"/>
      <c r="O3011"/>
      <c r="P3011"/>
      <c r="Q3011"/>
      <c r="R3011"/>
      <c r="S3011"/>
    </row>
    <row r="3012" spans="1:19" ht="15" x14ac:dyDescent="0.2">
      <c r="A3012"/>
      <c r="B3012"/>
      <c r="C3012"/>
      <c r="D3012"/>
      <c r="E3012"/>
      <c r="F3012"/>
      <c r="G3012"/>
      <c r="H3012"/>
      <c r="I3012"/>
      <c r="J3012"/>
      <c r="K3012"/>
      <c r="L3012"/>
      <c r="M3012"/>
      <c r="N3012"/>
      <c r="O3012"/>
      <c r="P3012"/>
      <c r="Q3012"/>
      <c r="R3012"/>
      <c r="S3012"/>
    </row>
    <row r="3013" spans="1:19" ht="15" x14ac:dyDescent="0.2">
      <c r="A3013"/>
      <c r="B3013"/>
      <c r="C3013"/>
      <c r="D3013"/>
      <c r="E3013"/>
      <c r="F3013"/>
      <c r="G3013"/>
      <c r="H3013"/>
      <c r="I3013"/>
      <c r="J3013"/>
      <c r="K3013"/>
      <c r="L3013"/>
      <c r="M3013"/>
      <c r="N3013"/>
      <c r="O3013"/>
      <c r="P3013"/>
      <c r="Q3013"/>
      <c r="R3013"/>
      <c r="S3013"/>
    </row>
    <row r="3014" spans="1:19" ht="15" x14ac:dyDescent="0.2">
      <c r="A3014"/>
      <c r="B3014"/>
      <c r="C3014"/>
      <c r="D3014"/>
      <c r="E3014"/>
      <c r="F3014"/>
      <c r="G3014"/>
      <c r="H3014"/>
      <c r="I3014"/>
      <c r="J3014"/>
      <c r="K3014"/>
      <c r="L3014"/>
      <c r="M3014"/>
      <c r="N3014"/>
      <c r="O3014"/>
      <c r="P3014"/>
      <c r="Q3014"/>
      <c r="R3014"/>
      <c r="S3014"/>
    </row>
    <row r="3015" spans="1:19" ht="15" x14ac:dyDescent="0.2">
      <c r="A3015"/>
      <c r="B3015"/>
      <c r="C3015"/>
      <c r="D3015"/>
      <c r="E3015"/>
      <c r="F3015"/>
      <c r="G3015"/>
      <c r="H3015"/>
      <c r="I3015"/>
      <c r="J3015"/>
      <c r="K3015"/>
      <c r="L3015"/>
      <c r="M3015"/>
      <c r="N3015"/>
      <c r="O3015"/>
      <c r="P3015"/>
      <c r="Q3015"/>
      <c r="R3015"/>
      <c r="S3015"/>
    </row>
    <row r="3016" spans="1:19" ht="15" x14ac:dyDescent="0.2">
      <c r="A3016"/>
      <c r="B3016"/>
      <c r="C3016"/>
      <c r="D3016"/>
      <c r="E3016"/>
      <c r="F3016"/>
      <c r="G3016"/>
      <c r="H3016"/>
      <c r="I3016"/>
      <c r="J3016"/>
      <c r="K3016"/>
      <c r="L3016"/>
      <c r="M3016"/>
      <c r="N3016"/>
      <c r="O3016"/>
      <c r="P3016"/>
      <c r="Q3016"/>
      <c r="R3016"/>
      <c r="S3016"/>
    </row>
    <row r="3017" spans="1:19" ht="15" x14ac:dyDescent="0.2">
      <c r="A3017"/>
      <c r="B3017"/>
      <c r="C3017"/>
      <c r="D3017"/>
      <c r="E3017"/>
      <c r="F3017"/>
      <c r="G3017"/>
      <c r="H3017"/>
      <c r="I3017"/>
      <c r="J3017"/>
      <c r="K3017"/>
      <c r="L3017"/>
      <c r="M3017"/>
      <c r="N3017"/>
      <c r="O3017"/>
      <c r="P3017"/>
      <c r="Q3017"/>
      <c r="R3017"/>
      <c r="S3017"/>
    </row>
    <row r="3018" spans="1:19" ht="15" x14ac:dyDescent="0.2">
      <c r="A3018"/>
      <c r="B3018"/>
      <c r="C3018"/>
      <c r="D3018"/>
      <c r="E3018"/>
      <c r="F3018"/>
      <c r="G3018"/>
      <c r="H3018"/>
      <c r="I3018"/>
      <c r="J3018"/>
      <c r="K3018"/>
      <c r="L3018"/>
      <c r="M3018"/>
      <c r="N3018"/>
      <c r="O3018"/>
      <c r="P3018"/>
      <c r="Q3018"/>
      <c r="R3018"/>
      <c r="S3018"/>
    </row>
    <row r="3019" spans="1:19" ht="15" x14ac:dyDescent="0.2">
      <c r="A3019"/>
      <c r="B3019"/>
      <c r="C3019"/>
      <c r="D3019"/>
      <c r="E3019"/>
      <c r="F3019"/>
      <c r="G3019"/>
      <c r="H3019"/>
      <c r="I3019"/>
      <c r="J3019"/>
      <c r="K3019"/>
      <c r="L3019"/>
      <c r="M3019"/>
      <c r="N3019"/>
      <c r="O3019"/>
      <c r="P3019"/>
      <c r="Q3019"/>
      <c r="R3019"/>
      <c r="S3019"/>
    </row>
    <row r="3020" spans="1:19" ht="15" x14ac:dyDescent="0.2">
      <c r="A3020"/>
      <c r="B3020"/>
      <c r="C3020"/>
      <c r="D3020"/>
      <c r="E3020"/>
      <c r="F3020"/>
      <c r="G3020"/>
      <c r="H3020"/>
      <c r="I3020"/>
      <c r="J3020"/>
      <c r="K3020"/>
      <c r="L3020"/>
      <c r="M3020"/>
      <c r="N3020"/>
      <c r="O3020"/>
      <c r="P3020"/>
      <c r="Q3020"/>
      <c r="R3020"/>
      <c r="S3020"/>
    </row>
    <row r="3021" spans="1:19" ht="15" x14ac:dyDescent="0.2">
      <c r="A3021"/>
      <c r="B3021"/>
      <c r="C3021"/>
      <c r="D3021"/>
      <c r="E3021"/>
      <c r="F3021"/>
      <c r="G3021"/>
      <c r="H3021"/>
      <c r="I3021"/>
      <c r="J3021"/>
      <c r="K3021"/>
      <c r="L3021"/>
      <c r="M3021"/>
      <c r="N3021"/>
      <c r="O3021"/>
      <c r="P3021"/>
      <c r="Q3021"/>
      <c r="R3021"/>
      <c r="S3021"/>
    </row>
    <row r="3022" spans="1:19" ht="15" x14ac:dyDescent="0.2">
      <c r="A3022"/>
      <c r="B3022"/>
      <c r="C3022"/>
      <c r="D3022"/>
      <c r="E3022"/>
      <c r="F3022"/>
      <c r="G3022"/>
      <c r="H3022"/>
      <c r="I3022"/>
      <c r="J3022"/>
      <c r="K3022"/>
      <c r="L3022"/>
      <c r="M3022"/>
      <c r="N3022"/>
      <c r="O3022"/>
      <c r="P3022"/>
      <c r="Q3022"/>
      <c r="R3022"/>
      <c r="S3022"/>
    </row>
    <row r="3023" spans="1:19" ht="15" x14ac:dyDescent="0.2">
      <c r="A3023"/>
      <c r="B3023"/>
      <c r="C3023"/>
      <c r="D3023"/>
      <c r="E3023"/>
      <c r="F3023"/>
      <c r="G3023"/>
      <c r="H3023"/>
      <c r="I3023"/>
      <c r="J3023"/>
      <c r="K3023"/>
      <c r="L3023"/>
      <c r="M3023"/>
      <c r="N3023"/>
      <c r="O3023"/>
      <c r="P3023"/>
      <c r="Q3023"/>
      <c r="R3023"/>
      <c r="S3023"/>
    </row>
    <row r="3024" spans="1:19" ht="15" x14ac:dyDescent="0.2">
      <c r="A3024"/>
      <c r="B3024"/>
      <c r="C3024"/>
      <c r="D3024"/>
      <c r="E3024"/>
      <c r="F3024"/>
      <c r="G3024"/>
      <c r="H3024"/>
      <c r="I3024"/>
      <c r="J3024"/>
      <c r="K3024"/>
      <c r="L3024"/>
      <c r="M3024"/>
      <c r="N3024"/>
      <c r="O3024"/>
      <c r="P3024"/>
      <c r="Q3024"/>
      <c r="R3024"/>
      <c r="S3024"/>
    </row>
    <row r="3025" spans="1:19" ht="15" x14ac:dyDescent="0.2">
      <c r="A3025"/>
      <c r="B3025"/>
      <c r="C3025"/>
      <c r="D3025"/>
      <c r="E3025"/>
      <c r="F3025"/>
      <c r="G3025"/>
      <c r="H3025"/>
      <c r="I3025"/>
      <c r="J3025"/>
      <c r="K3025"/>
      <c r="L3025"/>
      <c r="M3025"/>
      <c r="N3025"/>
      <c r="O3025"/>
      <c r="P3025"/>
      <c r="Q3025"/>
      <c r="R3025"/>
      <c r="S3025"/>
    </row>
    <row r="3026" spans="1:19" ht="15" x14ac:dyDescent="0.2">
      <c r="A3026"/>
      <c r="B3026"/>
      <c r="C3026"/>
      <c r="D3026"/>
      <c r="E3026"/>
      <c r="F3026"/>
      <c r="G3026"/>
      <c r="H3026"/>
      <c r="I3026"/>
      <c r="J3026"/>
      <c r="K3026"/>
      <c r="L3026"/>
      <c r="M3026"/>
      <c r="N3026"/>
      <c r="O3026"/>
      <c r="P3026"/>
      <c r="Q3026"/>
      <c r="R3026"/>
      <c r="S3026"/>
    </row>
    <row r="3027" spans="1:19" ht="15" x14ac:dyDescent="0.2">
      <c r="A3027"/>
      <c r="B3027"/>
      <c r="C3027"/>
      <c r="D3027"/>
      <c r="E3027"/>
      <c r="F3027"/>
      <c r="G3027"/>
      <c r="H3027"/>
      <c r="I3027"/>
      <c r="J3027"/>
      <c r="K3027"/>
      <c r="L3027"/>
      <c r="M3027"/>
      <c r="N3027"/>
      <c r="O3027"/>
      <c r="P3027"/>
      <c r="Q3027"/>
      <c r="R3027"/>
      <c r="S3027"/>
    </row>
    <row r="3028" spans="1:19" ht="15" x14ac:dyDescent="0.2">
      <c r="A3028"/>
      <c r="B3028"/>
      <c r="C3028"/>
      <c r="D3028"/>
      <c r="E3028"/>
      <c r="F3028"/>
      <c r="G3028"/>
      <c r="H3028"/>
      <c r="I3028"/>
      <c r="J3028"/>
      <c r="K3028"/>
      <c r="L3028"/>
      <c r="M3028"/>
      <c r="N3028"/>
      <c r="O3028"/>
      <c r="P3028"/>
      <c r="Q3028"/>
      <c r="R3028"/>
      <c r="S3028"/>
    </row>
    <row r="3029" spans="1:19" ht="15" x14ac:dyDescent="0.2">
      <c r="A3029"/>
      <c r="B3029"/>
      <c r="C3029"/>
      <c r="D3029"/>
      <c r="E3029"/>
      <c r="F3029"/>
      <c r="G3029"/>
      <c r="H3029"/>
      <c r="I3029"/>
      <c r="J3029"/>
      <c r="K3029"/>
      <c r="L3029"/>
      <c r="M3029"/>
      <c r="N3029"/>
      <c r="O3029"/>
      <c r="P3029"/>
      <c r="Q3029"/>
      <c r="R3029"/>
      <c r="S3029"/>
    </row>
    <row r="3030" spans="1:19" ht="15" x14ac:dyDescent="0.2">
      <c r="A3030"/>
      <c r="B3030"/>
      <c r="C3030"/>
      <c r="D3030"/>
      <c r="E3030"/>
      <c r="F3030"/>
      <c r="G3030"/>
      <c r="H3030"/>
      <c r="I3030"/>
      <c r="J3030"/>
      <c r="K3030"/>
      <c r="L3030"/>
      <c r="M3030"/>
      <c r="N3030"/>
      <c r="O3030"/>
      <c r="P3030"/>
      <c r="Q3030"/>
      <c r="R3030"/>
      <c r="S3030"/>
    </row>
    <row r="3031" spans="1:19" ht="15" x14ac:dyDescent="0.2">
      <c r="A3031"/>
      <c r="B3031"/>
      <c r="C3031"/>
      <c r="D3031"/>
      <c r="E3031"/>
      <c r="F3031"/>
      <c r="G3031"/>
      <c r="H3031"/>
      <c r="I3031"/>
      <c r="J3031"/>
      <c r="K3031"/>
      <c r="L3031"/>
      <c r="M3031"/>
      <c r="N3031"/>
      <c r="O3031"/>
      <c r="P3031"/>
      <c r="Q3031"/>
      <c r="R3031"/>
      <c r="S3031"/>
    </row>
    <row r="3032" spans="1:19" ht="15" x14ac:dyDescent="0.2">
      <c r="A3032"/>
      <c r="B3032"/>
      <c r="C3032"/>
      <c r="D3032"/>
      <c r="E3032"/>
      <c r="F3032"/>
      <c r="G3032"/>
      <c r="H3032"/>
      <c r="I3032"/>
      <c r="J3032"/>
      <c r="K3032"/>
      <c r="L3032"/>
      <c r="M3032"/>
      <c r="N3032"/>
      <c r="O3032"/>
      <c r="P3032"/>
      <c r="Q3032"/>
      <c r="R3032"/>
      <c r="S3032"/>
    </row>
    <row r="3033" spans="1:19" ht="15" x14ac:dyDescent="0.2">
      <c r="A3033"/>
      <c r="B3033"/>
      <c r="C3033"/>
      <c r="D3033"/>
      <c r="E3033"/>
      <c r="F3033"/>
      <c r="G3033"/>
      <c r="H3033"/>
      <c r="I3033"/>
      <c r="J3033"/>
      <c r="K3033"/>
      <c r="L3033"/>
      <c r="M3033"/>
      <c r="N3033"/>
      <c r="O3033"/>
      <c r="P3033"/>
      <c r="Q3033"/>
      <c r="R3033"/>
      <c r="S3033"/>
    </row>
    <row r="3034" spans="1:19" ht="15" x14ac:dyDescent="0.2">
      <c r="A3034"/>
      <c r="B3034"/>
      <c r="C3034"/>
      <c r="D3034"/>
      <c r="E3034"/>
      <c r="F3034"/>
      <c r="G3034"/>
      <c r="H3034"/>
      <c r="I3034"/>
      <c r="J3034"/>
      <c r="K3034"/>
      <c r="L3034"/>
      <c r="M3034"/>
      <c r="N3034"/>
      <c r="O3034"/>
      <c r="P3034"/>
      <c r="Q3034"/>
      <c r="R3034"/>
      <c r="S3034"/>
    </row>
    <row r="3035" spans="1:19" ht="15" x14ac:dyDescent="0.2">
      <c r="A3035"/>
      <c r="B3035"/>
      <c r="C3035"/>
      <c r="D3035"/>
      <c r="E3035"/>
      <c r="F3035"/>
      <c r="G3035"/>
      <c r="H3035"/>
      <c r="I3035"/>
      <c r="J3035"/>
      <c r="K3035"/>
      <c r="L3035"/>
      <c r="M3035"/>
      <c r="N3035"/>
      <c r="O3035"/>
      <c r="P3035"/>
      <c r="Q3035"/>
      <c r="R3035"/>
      <c r="S3035"/>
    </row>
    <row r="3036" spans="1:19" ht="15" x14ac:dyDescent="0.2">
      <c r="A3036"/>
      <c r="B3036"/>
      <c r="C3036"/>
      <c r="D3036"/>
      <c r="E3036"/>
      <c r="F3036"/>
      <c r="G3036"/>
      <c r="H3036"/>
      <c r="I3036"/>
      <c r="J3036"/>
      <c r="K3036"/>
      <c r="L3036"/>
      <c r="M3036"/>
      <c r="N3036"/>
      <c r="O3036"/>
      <c r="P3036"/>
      <c r="Q3036"/>
      <c r="R3036"/>
      <c r="S3036"/>
    </row>
    <row r="3037" spans="1:19" ht="15" x14ac:dyDescent="0.2">
      <c r="A3037"/>
      <c r="B3037"/>
      <c r="C3037"/>
      <c r="D3037"/>
      <c r="E3037"/>
      <c r="F3037"/>
      <c r="G3037"/>
      <c r="H3037"/>
      <c r="I3037"/>
      <c r="J3037"/>
      <c r="K3037"/>
      <c r="L3037"/>
      <c r="M3037"/>
      <c r="N3037"/>
      <c r="O3037"/>
      <c r="P3037"/>
      <c r="Q3037"/>
      <c r="R3037"/>
      <c r="S3037"/>
    </row>
    <row r="3038" spans="1:19" ht="15" x14ac:dyDescent="0.2">
      <c r="A3038"/>
      <c r="B3038"/>
      <c r="C3038"/>
      <c r="D3038"/>
      <c r="E3038"/>
      <c r="F3038"/>
      <c r="G3038"/>
      <c r="H3038"/>
      <c r="I3038"/>
      <c r="J3038"/>
      <c r="K3038"/>
      <c r="L3038"/>
      <c r="M3038"/>
      <c r="N3038"/>
      <c r="O3038"/>
      <c r="P3038"/>
      <c r="Q3038"/>
      <c r="R3038"/>
      <c r="S3038"/>
    </row>
    <row r="3039" spans="1:19" ht="15" x14ac:dyDescent="0.2">
      <c r="A3039"/>
      <c r="B3039"/>
      <c r="C3039"/>
      <c r="D3039"/>
      <c r="E3039"/>
      <c r="F3039"/>
      <c r="G3039"/>
      <c r="H3039"/>
      <c r="I3039"/>
      <c r="J3039"/>
      <c r="K3039"/>
      <c r="L3039"/>
      <c r="M3039"/>
      <c r="N3039"/>
      <c r="O3039"/>
      <c r="P3039"/>
      <c r="Q3039"/>
      <c r="R3039"/>
      <c r="S3039"/>
    </row>
    <row r="3040" spans="1:19" ht="15" x14ac:dyDescent="0.2">
      <c r="A3040"/>
      <c r="B3040"/>
      <c r="C3040"/>
      <c r="D3040"/>
      <c r="E3040"/>
      <c r="F3040"/>
      <c r="G3040"/>
      <c r="H3040"/>
      <c r="I3040"/>
      <c r="J3040"/>
      <c r="K3040"/>
      <c r="L3040"/>
      <c r="M3040"/>
      <c r="N3040"/>
      <c r="O3040"/>
      <c r="P3040"/>
      <c r="Q3040"/>
      <c r="R3040"/>
      <c r="S3040"/>
    </row>
    <row r="3041" spans="1:19" ht="15" x14ac:dyDescent="0.2">
      <c r="A3041"/>
      <c r="B3041"/>
      <c r="C3041"/>
      <c r="D3041"/>
      <c r="E3041"/>
      <c r="F3041"/>
      <c r="G3041"/>
      <c r="H3041"/>
      <c r="I3041"/>
      <c r="J3041"/>
      <c r="K3041"/>
      <c r="L3041"/>
      <c r="M3041"/>
      <c r="N3041"/>
      <c r="O3041"/>
      <c r="P3041"/>
      <c r="Q3041"/>
      <c r="R3041"/>
      <c r="S3041"/>
    </row>
    <row r="3042" spans="1:19" ht="15" x14ac:dyDescent="0.2">
      <c r="A3042"/>
      <c r="B3042"/>
      <c r="C3042"/>
      <c r="D3042"/>
      <c r="E3042"/>
      <c r="F3042"/>
      <c r="G3042"/>
      <c r="H3042"/>
      <c r="I3042"/>
      <c r="J3042"/>
      <c r="K3042"/>
      <c r="L3042"/>
      <c r="M3042"/>
      <c r="N3042"/>
      <c r="O3042"/>
      <c r="P3042"/>
      <c r="Q3042"/>
      <c r="R3042"/>
      <c r="S3042"/>
    </row>
    <row r="3043" spans="1:19" ht="15" x14ac:dyDescent="0.2">
      <c r="A3043"/>
      <c r="B3043"/>
      <c r="C3043"/>
      <c r="D3043"/>
      <c r="E3043"/>
      <c r="F3043"/>
      <c r="G3043"/>
      <c r="H3043"/>
      <c r="I3043"/>
      <c r="J3043"/>
      <c r="K3043"/>
      <c r="L3043"/>
      <c r="M3043"/>
      <c r="N3043"/>
      <c r="O3043"/>
      <c r="P3043"/>
      <c r="Q3043"/>
      <c r="R3043"/>
      <c r="S3043"/>
    </row>
    <row r="3044" spans="1:19" ht="15" x14ac:dyDescent="0.2">
      <c r="A3044"/>
      <c r="B3044"/>
      <c r="C3044"/>
      <c r="D3044"/>
      <c r="E3044"/>
      <c r="F3044"/>
      <c r="G3044"/>
      <c r="H3044"/>
      <c r="I3044"/>
      <c r="J3044"/>
      <c r="K3044"/>
      <c r="L3044"/>
      <c r="M3044"/>
      <c r="N3044"/>
      <c r="O3044"/>
      <c r="P3044"/>
      <c r="Q3044"/>
      <c r="R3044"/>
      <c r="S3044"/>
    </row>
    <row r="3045" spans="1:19" ht="15" x14ac:dyDescent="0.2">
      <c r="A3045"/>
      <c r="B3045"/>
      <c r="C3045"/>
      <c r="D3045"/>
      <c r="E3045"/>
      <c r="F3045"/>
      <c r="G3045"/>
      <c r="H3045"/>
      <c r="I3045"/>
      <c r="J3045"/>
      <c r="K3045"/>
      <c r="L3045"/>
      <c r="M3045"/>
      <c r="N3045"/>
      <c r="O3045"/>
      <c r="P3045"/>
      <c r="Q3045"/>
      <c r="R3045"/>
      <c r="S3045"/>
    </row>
    <row r="3046" spans="1:19" ht="15" x14ac:dyDescent="0.2">
      <c r="A3046"/>
      <c r="B3046"/>
      <c r="C3046"/>
      <c r="D3046"/>
      <c r="E3046"/>
      <c r="F3046"/>
      <c r="G3046"/>
      <c r="H3046"/>
      <c r="I3046"/>
      <c r="J3046"/>
      <c r="K3046"/>
      <c r="L3046"/>
      <c r="M3046"/>
      <c r="N3046"/>
      <c r="O3046"/>
      <c r="P3046"/>
      <c r="Q3046"/>
      <c r="R3046"/>
      <c r="S3046"/>
    </row>
    <row r="3047" spans="1:19" ht="15" x14ac:dyDescent="0.2">
      <c r="A3047"/>
      <c r="B3047"/>
      <c r="C3047"/>
      <c r="D3047"/>
      <c r="E3047"/>
      <c r="F3047"/>
      <c r="G3047"/>
      <c r="H3047"/>
      <c r="I3047"/>
      <c r="J3047"/>
      <c r="K3047"/>
      <c r="L3047"/>
      <c r="M3047"/>
      <c r="N3047"/>
      <c r="O3047"/>
      <c r="P3047"/>
      <c r="Q3047"/>
      <c r="R3047"/>
      <c r="S3047"/>
    </row>
    <row r="3048" spans="1:19" ht="15" x14ac:dyDescent="0.2">
      <c r="A3048"/>
      <c r="B3048"/>
      <c r="C3048"/>
      <c r="D3048"/>
      <c r="E3048"/>
      <c r="F3048"/>
      <c r="G3048"/>
      <c r="H3048"/>
      <c r="I3048"/>
      <c r="J3048"/>
      <c r="K3048"/>
      <c r="L3048"/>
      <c r="M3048"/>
      <c r="N3048"/>
      <c r="O3048"/>
      <c r="P3048"/>
      <c r="Q3048"/>
      <c r="R3048"/>
      <c r="S3048"/>
    </row>
    <row r="3049" spans="1:19" ht="15" x14ac:dyDescent="0.2">
      <c r="A3049"/>
      <c r="B3049"/>
      <c r="C3049"/>
      <c r="D3049"/>
      <c r="E3049"/>
      <c r="F3049"/>
      <c r="G3049"/>
      <c r="H3049"/>
      <c r="I3049"/>
      <c r="J3049"/>
      <c r="K3049"/>
      <c r="L3049"/>
      <c r="M3049"/>
      <c r="N3049"/>
      <c r="O3049"/>
      <c r="P3049"/>
      <c r="Q3049"/>
      <c r="R3049"/>
      <c r="S3049"/>
    </row>
    <row r="3050" spans="1:19" ht="15" x14ac:dyDescent="0.2">
      <c r="A3050"/>
      <c r="B3050"/>
      <c r="C3050"/>
      <c r="D3050"/>
      <c r="E3050"/>
      <c r="F3050"/>
      <c r="G3050"/>
      <c r="H3050"/>
      <c r="I3050"/>
      <c r="J3050"/>
      <c r="K3050"/>
      <c r="L3050"/>
      <c r="M3050"/>
      <c r="N3050"/>
      <c r="O3050"/>
      <c r="P3050"/>
      <c r="Q3050"/>
      <c r="R3050"/>
      <c r="S3050"/>
    </row>
    <row r="3051" spans="1:19" ht="15" x14ac:dyDescent="0.2">
      <c r="A3051"/>
      <c r="B3051"/>
      <c r="C3051"/>
      <c r="D3051"/>
      <c r="E3051"/>
      <c r="F3051"/>
      <c r="G3051"/>
      <c r="H3051"/>
      <c r="I3051"/>
      <c r="J3051"/>
      <c r="K3051"/>
      <c r="L3051"/>
      <c r="M3051"/>
      <c r="N3051"/>
      <c r="O3051"/>
      <c r="P3051"/>
      <c r="Q3051"/>
      <c r="R3051"/>
      <c r="S3051"/>
    </row>
    <row r="3052" spans="1:19" ht="15" x14ac:dyDescent="0.2">
      <c r="A3052"/>
      <c r="B3052"/>
      <c r="C3052"/>
      <c r="D3052"/>
      <c r="E3052"/>
      <c r="F3052"/>
      <c r="G3052"/>
      <c r="H3052"/>
      <c r="I3052"/>
      <c r="J3052"/>
      <c r="K3052"/>
      <c r="L3052"/>
      <c r="M3052"/>
      <c r="N3052"/>
      <c r="O3052"/>
      <c r="P3052"/>
      <c r="Q3052"/>
      <c r="R3052"/>
      <c r="S3052"/>
    </row>
    <row r="3053" spans="1:19" ht="15" x14ac:dyDescent="0.2">
      <c r="A3053"/>
      <c r="B3053"/>
      <c r="C3053"/>
      <c r="D3053"/>
      <c r="E3053"/>
      <c r="F3053"/>
      <c r="G3053"/>
      <c r="H3053"/>
      <c r="I3053"/>
      <c r="J3053"/>
      <c r="K3053"/>
      <c r="L3053"/>
      <c r="M3053"/>
      <c r="N3053"/>
      <c r="O3053"/>
      <c r="P3053"/>
      <c r="Q3053"/>
      <c r="R3053"/>
      <c r="S3053"/>
    </row>
    <row r="3054" spans="1:19" ht="15" x14ac:dyDescent="0.2">
      <c r="A3054"/>
      <c r="B3054"/>
      <c r="C3054"/>
      <c r="D3054"/>
      <c r="E3054"/>
      <c r="F3054"/>
      <c r="G3054"/>
      <c r="H3054"/>
      <c r="I3054"/>
      <c r="J3054"/>
      <c r="K3054"/>
      <c r="L3054"/>
      <c r="M3054"/>
      <c r="N3054"/>
      <c r="O3054"/>
      <c r="P3054"/>
      <c r="Q3054"/>
      <c r="R3054"/>
      <c r="S3054"/>
    </row>
    <row r="3055" spans="1:19" ht="15" x14ac:dyDescent="0.2">
      <c r="A3055"/>
      <c r="B3055"/>
      <c r="C3055"/>
      <c r="D3055"/>
      <c r="E3055"/>
      <c r="F3055"/>
      <c r="G3055"/>
      <c r="H3055"/>
      <c r="I3055"/>
      <c r="J3055"/>
      <c r="K3055"/>
      <c r="L3055"/>
      <c r="M3055"/>
      <c r="N3055"/>
      <c r="O3055"/>
      <c r="P3055"/>
      <c r="Q3055"/>
      <c r="R3055"/>
      <c r="S3055"/>
    </row>
    <row r="3056" spans="1:19" ht="15" x14ac:dyDescent="0.2">
      <c r="A3056"/>
      <c r="B3056"/>
      <c r="C3056"/>
      <c r="D3056"/>
      <c r="E3056"/>
      <c r="F3056"/>
      <c r="G3056"/>
      <c r="H3056"/>
      <c r="I3056"/>
      <c r="J3056"/>
      <c r="K3056"/>
      <c r="L3056"/>
      <c r="M3056"/>
      <c r="N3056"/>
      <c r="O3056"/>
      <c r="P3056"/>
      <c r="Q3056"/>
      <c r="R3056"/>
      <c r="S3056"/>
    </row>
    <row r="3057" spans="1:19" ht="15" x14ac:dyDescent="0.2">
      <c r="A3057"/>
      <c r="B3057"/>
      <c r="C3057"/>
      <c r="D3057"/>
      <c r="E3057"/>
      <c r="F3057"/>
      <c r="G3057"/>
      <c r="H3057"/>
      <c r="I3057"/>
      <c r="J3057"/>
      <c r="K3057"/>
      <c r="L3057"/>
      <c r="M3057"/>
      <c r="N3057"/>
      <c r="O3057"/>
      <c r="P3057"/>
      <c r="Q3057"/>
      <c r="R3057"/>
      <c r="S3057"/>
    </row>
    <row r="3058" spans="1:19" ht="15" x14ac:dyDescent="0.2">
      <c r="A3058"/>
      <c r="B3058"/>
      <c r="C3058"/>
      <c r="D3058"/>
      <c r="E3058"/>
      <c r="F3058"/>
      <c r="G3058"/>
      <c r="H3058"/>
      <c r="I3058"/>
      <c r="J3058"/>
      <c r="K3058"/>
      <c r="L3058"/>
      <c r="M3058"/>
      <c r="N3058"/>
      <c r="O3058"/>
      <c r="P3058"/>
      <c r="Q3058"/>
      <c r="R3058"/>
      <c r="S3058"/>
    </row>
    <row r="3059" spans="1:19" ht="15" x14ac:dyDescent="0.2">
      <c r="A3059"/>
      <c r="B3059"/>
      <c r="C3059"/>
      <c r="D3059"/>
      <c r="E3059"/>
      <c r="F3059"/>
      <c r="G3059"/>
      <c r="H3059"/>
      <c r="I3059"/>
      <c r="J3059"/>
      <c r="K3059"/>
      <c r="L3059"/>
      <c r="M3059"/>
      <c r="N3059"/>
      <c r="O3059"/>
      <c r="P3059"/>
      <c r="Q3059"/>
      <c r="R3059"/>
      <c r="S3059"/>
    </row>
    <row r="3060" spans="1:19" ht="15" x14ac:dyDescent="0.2">
      <c r="A3060"/>
      <c r="B3060"/>
      <c r="C3060"/>
      <c r="D3060"/>
      <c r="E3060"/>
      <c r="F3060"/>
      <c r="G3060"/>
      <c r="H3060"/>
      <c r="I3060"/>
      <c r="J3060"/>
      <c r="K3060"/>
      <c r="L3060"/>
      <c r="M3060"/>
      <c r="N3060"/>
      <c r="O3060"/>
      <c r="P3060"/>
      <c r="Q3060"/>
      <c r="R3060"/>
      <c r="S3060"/>
    </row>
    <row r="3061" spans="1:19" ht="15" x14ac:dyDescent="0.2">
      <c r="A3061"/>
      <c r="B3061"/>
      <c r="C3061"/>
      <c r="D3061"/>
      <c r="E3061"/>
      <c r="F3061"/>
      <c r="G3061"/>
      <c r="H3061"/>
      <c r="I3061"/>
      <c r="J3061"/>
      <c r="K3061"/>
      <c r="L3061"/>
      <c r="M3061"/>
      <c r="N3061"/>
      <c r="O3061"/>
      <c r="P3061"/>
      <c r="Q3061"/>
      <c r="R3061"/>
      <c r="S3061"/>
    </row>
    <row r="3062" spans="1:19" ht="15" x14ac:dyDescent="0.2">
      <c r="A3062"/>
      <c r="B3062"/>
      <c r="C3062"/>
      <c r="D3062"/>
      <c r="E3062"/>
      <c r="F3062"/>
      <c r="G3062"/>
      <c r="H3062"/>
      <c r="I3062"/>
      <c r="J3062"/>
      <c r="K3062"/>
      <c r="L3062"/>
      <c r="M3062"/>
      <c r="N3062"/>
      <c r="O3062"/>
      <c r="P3062"/>
      <c r="Q3062"/>
      <c r="R3062"/>
      <c r="S3062"/>
    </row>
    <row r="3063" spans="1:19" ht="15" x14ac:dyDescent="0.2">
      <c r="A3063"/>
      <c r="B3063"/>
      <c r="C3063"/>
      <c r="D3063"/>
      <c r="E3063"/>
      <c r="F3063"/>
      <c r="G3063"/>
      <c r="H3063"/>
      <c r="I3063"/>
      <c r="J3063"/>
      <c r="K3063"/>
      <c r="L3063"/>
      <c r="M3063"/>
      <c r="N3063"/>
      <c r="O3063"/>
      <c r="P3063"/>
      <c r="Q3063"/>
      <c r="R3063"/>
      <c r="S3063"/>
    </row>
    <row r="3064" spans="1:19" ht="15" x14ac:dyDescent="0.2">
      <c r="A3064"/>
      <c r="B3064"/>
      <c r="C3064"/>
      <c r="D3064"/>
      <c r="E3064"/>
      <c r="F3064"/>
      <c r="G3064"/>
      <c r="H3064"/>
      <c r="I3064"/>
      <c r="J3064"/>
      <c r="K3064"/>
      <c r="L3064"/>
      <c r="M3064"/>
      <c r="N3064"/>
      <c r="O3064"/>
      <c r="P3064"/>
      <c r="Q3064"/>
      <c r="R3064"/>
      <c r="S3064"/>
    </row>
    <row r="3065" spans="1:19" ht="15" x14ac:dyDescent="0.2">
      <c r="A3065"/>
      <c r="B3065"/>
      <c r="C3065"/>
      <c r="D3065"/>
      <c r="E3065"/>
      <c r="F3065"/>
      <c r="G3065"/>
      <c r="H3065"/>
      <c r="I3065"/>
      <c r="J3065"/>
      <c r="K3065"/>
      <c r="L3065"/>
      <c r="M3065"/>
      <c r="N3065"/>
      <c r="O3065"/>
      <c r="P3065"/>
      <c r="Q3065"/>
      <c r="R3065"/>
      <c r="S3065"/>
    </row>
    <row r="3066" spans="1:19" ht="15" x14ac:dyDescent="0.2">
      <c r="A3066"/>
      <c r="B3066"/>
      <c r="C3066"/>
      <c r="D3066"/>
      <c r="E3066"/>
      <c r="F3066"/>
      <c r="G3066"/>
      <c r="H3066"/>
      <c r="I3066"/>
      <c r="J3066"/>
      <c r="K3066"/>
      <c r="L3066"/>
      <c r="M3066"/>
      <c r="N3066"/>
      <c r="O3066"/>
      <c r="P3066"/>
      <c r="Q3066"/>
      <c r="R3066"/>
      <c r="S3066"/>
    </row>
    <row r="3067" spans="1:19" ht="15" x14ac:dyDescent="0.2">
      <c r="A3067"/>
      <c r="B3067"/>
      <c r="C3067"/>
      <c r="D3067"/>
      <c r="E3067"/>
      <c r="F3067"/>
      <c r="G3067"/>
      <c r="H3067"/>
      <c r="I3067"/>
      <c r="J3067"/>
      <c r="K3067"/>
      <c r="L3067"/>
      <c r="M3067"/>
      <c r="N3067"/>
      <c r="O3067"/>
      <c r="P3067"/>
      <c r="Q3067"/>
      <c r="R3067"/>
      <c r="S3067"/>
    </row>
    <row r="3068" spans="1:19" ht="15" x14ac:dyDescent="0.2">
      <c r="A3068"/>
      <c r="B3068"/>
      <c r="C3068"/>
      <c r="D3068"/>
      <c r="E3068"/>
      <c r="F3068"/>
      <c r="G3068"/>
      <c r="H3068"/>
      <c r="I3068"/>
      <c r="J3068"/>
      <c r="K3068"/>
      <c r="L3068"/>
      <c r="M3068"/>
      <c r="N3068"/>
      <c r="O3068"/>
      <c r="P3068"/>
      <c r="Q3068"/>
      <c r="R3068"/>
      <c r="S3068"/>
    </row>
    <row r="3069" spans="1:19" ht="15" x14ac:dyDescent="0.2">
      <c r="A3069"/>
      <c r="B3069"/>
      <c r="C3069"/>
      <c r="D3069"/>
      <c r="E3069"/>
      <c r="F3069"/>
      <c r="G3069"/>
      <c r="H3069"/>
      <c r="I3069"/>
      <c r="J3069"/>
      <c r="K3069"/>
      <c r="L3069"/>
      <c r="M3069"/>
      <c r="N3069"/>
      <c r="O3069"/>
      <c r="P3069"/>
      <c r="Q3069"/>
      <c r="R3069"/>
      <c r="S3069"/>
    </row>
    <row r="3070" spans="1:19" ht="15" x14ac:dyDescent="0.2">
      <c r="A3070"/>
      <c r="B3070"/>
      <c r="C3070"/>
      <c r="D3070"/>
      <c r="E3070"/>
      <c r="F3070"/>
      <c r="G3070"/>
      <c r="H3070"/>
      <c r="I3070"/>
      <c r="J3070"/>
      <c r="K3070"/>
      <c r="L3070"/>
      <c r="M3070"/>
      <c r="N3070"/>
      <c r="O3070"/>
      <c r="P3070"/>
      <c r="Q3070"/>
      <c r="R3070"/>
      <c r="S3070"/>
    </row>
    <row r="3071" spans="1:19" ht="15" x14ac:dyDescent="0.2">
      <c r="A3071"/>
      <c r="B3071"/>
      <c r="C3071"/>
      <c r="D3071"/>
      <c r="E3071"/>
      <c r="F3071"/>
      <c r="G3071"/>
      <c r="H3071"/>
      <c r="I3071"/>
      <c r="J3071"/>
      <c r="K3071"/>
      <c r="L3071"/>
      <c r="M3071"/>
      <c r="N3071"/>
      <c r="O3071"/>
      <c r="P3071"/>
      <c r="Q3071"/>
      <c r="R3071"/>
      <c r="S3071"/>
    </row>
    <row r="3072" spans="1:19" ht="15" x14ac:dyDescent="0.2">
      <c r="A3072"/>
      <c r="B3072"/>
      <c r="C3072"/>
      <c r="D3072"/>
      <c r="E3072"/>
      <c r="F3072"/>
      <c r="G3072"/>
      <c r="H3072"/>
      <c r="I3072"/>
      <c r="J3072"/>
      <c r="K3072"/>
      <c r="L3072"/>
      <c r="M3072"/>
      <c r="N3072"/>
      <c r="O3072"/>
      <c r="P3072"/>
      <c r="Q3072"/>
      <c r="R3072"/>
      <c r="S3072"/>
    </row>
    <row r="3073" spans="1:19" ht="15" x14ac:dyDescent="0.2">
      <c r="A3073"/>
      <c r="B3073"/>
      <c r="C3073"/>
      <c r="D3073"/>
      <c r="E3073"/>
      <c r="F3073"/>
      <c r="G3073"/>
      <c r="H3073"/>
      <c r="I3073"/>
      <c r="J3073"/>
      <c r="K3073"/>
      <c r="L3073"/>
      <c r="M3073"/>
      <c r="N3073"/>
      <c r="O3073"/>
      <c r="P3073"/>
      <c r="Q3073"/>
      <c r="R3073"/>
      <c r="S3073"/>
    </row>
    <row r="3074" spans="1:19" ht="15" x14ac:dyDescent="0.2">
      <c r="A3074"/>
      <c r="B3074"/>
      <c r="C3074"/>
      <c r="D3074"/>
      <c r="E3074"/>
      <c r="F3074"/>
      <c r="G3074"/>
      <c r="H3074"/>
      <c r="I3074"/>
      <c r="J3074"/>
      <c r="K3074"/>
      <c r="L3074"/>
      <c r="M3074"/>
      <c r="N3074"/>
      <c r="O3074"/>
      <c r="P3074"/>
      <c r="Q3074"/>
      <c r="R3074"/>
      <c r="S3074"/>
    </row>
    <row r="3075" spans="1:19" ht="15" x14ac:dyDescent="0.2">
      <c r="A3075"/>
      <c r="B3075"/>
      <c r="C3075"/>
      <c r="D3075"/>
      <c r="E3075"/>
      <c r="F3075"/>
      <c r="G3075"/>
      <c r="H3075"/>
      <c r="I3075"/>
      <c r="J3075"/>
      <c r="K3075"/>
      <c r="L3075"/>
      <c r="M3075"/>
      <c r="N3075"/>
      <c r="O3075"/>
      <c r="P3075"/>
      <c r="Q3075"/>
      <c r="R3075"/>
      <c r="S3075"/>
    </row>
    <row r="3076" spans="1:19" ht="15" x14ac:dyDescent="0.2">
      <c r="A3076"/>
      <c r="B3076"/>
      <c r="C3076"/>
      <c r="D3076"/>
      <c r="E3076"/>
      <c r="F3076"/>
      <c r="G3076"/>
      <c r="H3076"/>
      <c r="I3076"/>
      <c r="J3076"/>
      <c r="K3076"/>
      <c r="L3076"/>
      <c r="M3076"/>
      <c r="N3076"/>
      <c r="O3076"/>
      <c r="P3076"/>
      <c r="Q3076"/>
      <c r="R3076"/>
      <c r="S3076"/>
    </row>
    <row r="3077" spans="1:19" ht="15" x14ac:dyDescent="0.2">
      <c r="A3077"/>
      <c r="B3077"/>
      <c r="C3077"/>
      <c r="D3077"/>
      <c r="E3077"/>
      <c r="F3077"/>
      <c r="G3077"/>
      <c r="H3077"/>
      <c r="I3077"/>
      <c r="J3077"/>
      <c r="K3077"/>
      <c r="L3077"/>
      <c r="M3077"/>
      <c r="N3077"/>
      <c r="O3077"/>
      <c r="P3077"/>
      <c r="Q3077"/>
      <c r="R3077"/>
      <c r="S3077"/>
    </row>
    <row r="3078" spans="1:19" ht="15" x14ac:dyDescent="0.2">
      <c r="A3078"/>
      <c r="B3078"/>
      <c r="C3078"/>
      <c r="D3078"/>
      <c r="E3078"/>
      <c r="F3078"/>
      <c r="G3078"/>
      <c r="H3078"/>
      <c r="I3078"/>
      <c r="J3078"/>
      <c r="K3078"/>
      <c r="L3078"/>
      <c r="M3078"/>
      <c r="N3078"/>
      <c r="O3078"/>
      <c r="P3078"/>
      <c r="Q3078"/>
      <c r="R3078"/>
      <c r="S3078"/>
    </row>
    <row r="3079" spans="1:19" ht="15" x14ac:dyDescent="0.2">
      <c r="A3079"/>
      <c r="B3079"/>
      <c r="C3079"/>
      <c r="D3079"/>
      <c r="E3079"/>
      <c r="F3079"/>
      <c r="G3079"/>
      <c r="H3079"/>
      <c r="I3079"/>
      <c r="J3079"/>
      <c r="K3079"/>
      <c r="L3079"/>
      <c r="M3079"/>
      <c r="N3079"/>
      <c r="O3079"/>
      <c r="P3079"/>
      <c r="Q3079"/>
      <c r="R3079"/>
      <c r="S3079"/>
    </row>
    <row r="3080" spans="1:19" ht="15" x14ac:dyDescent="0.2">
      <c r="A3080"/>
      <c r="B3080"/>
      <c r="C3080"/>
      <c r="D3080"/>
      <c r="E3080"/>
      <c r="F3080"/>
      <c r="G3080"/>
      <c r="H3080"/>
      <c r="I3080"/>
      <c r="J3080"/>
      <c r="K3080"/>
      <c r="L3080"/>
      <c r="M3080"/>
      <c r="N3080"/>
      <c r="O3080"/>
      <c r="P3080"/>
      <c r="Q3080"/>
      <c r="R3080"/>
      <c r="S3080"/>
    </row>
    <row r="3081" spans="1:19" ht="15" x14ac:dyDescent="0.2">
      <c r="A3081"/>
      <c r="B3081"/>
      <c r="C3081"/>
      <c r="D3081"/>
      <c r="E3081"/>
      <c r="F3081"/>
      <c r="G3081"/>
      <c r="H3081"/>
      <c r="I3081"/>
      <c r="J3081"/>
      <c r="K3081"/>
      <c r="L3081"/>
      <c r="M3081"/>
      <c r="N3081"/>
      <c r="O3081"/>
      <c r="P3081"/>
      <c r="Q3081"/>
      <c r="R3081"/>
      <c r="S3081"/>
    </row>
    <row r="3082" spans="1:19" ht="15" x14ac:dyDescent="0.2">
      <c r="A3082"/>
      <c r="B3082"/>
      <c r="C3082"/>
      <c r="D3082"/>
      <c r="E3082"/>
      <c r="F3082"/>
      <c r="G3082"/>
      <c r="H3082"/>
      <c r="I3082"/>
      <c r="J3082"/>
      <c r="K3082"/>
      <c r="L3082"/>
      <c r="M3082"/>
      <c r="N3082"/>
      <c r="O3082"/>
      <c r="P3082"/>
      <c r="Q3082"/>
      <c r="R3082"/>
      <c r="S3082"/>
    </row>
    <row r="3083" spans="1:19" ht="15" x14ac:dyDescent="0.2">
      <c r="A3083"/>
      <c r="B3083"/>
      <c r="C3083"/>
      <c r="D3083"/>
      <c r="E3083"/>
      <c r="F3083"/>
      <c r="G3083"/>
      <c r="H3083"/>
      <c r="I3083"/>
      <c r="J3083"/>
      <c r="K3083"/>
      <c r="L3083"/>
      <c r="M3083"/>
      <c r="N3083"/>
      <c r="O3083"/>
      <c r="P3083"/>
      <c r="Q3083"/>
      <c r="R3083"/>
      <c r="S3083"/>
    </row>
    <row r="3084" spans="1:19" ht="15" x14ac:dyDescent="0.2">
      <c r="A3084"/>
      <c r="B3084"/>
      <c r="C3084"/>
      <c r="D3084"/>
      <c r="E3084"/>
      <c r="F3084"/>
      <c r="G3084"/>
      <c r="H3084"/>
      <c r="I3084"/>
      <c r="J3084"/>
      <c r="K3084"/>
      <c r="L3084"/>
      <c r="M3084"/>
      <c r="N3084"/>
      <c r="O3084"/>
      <c r="P3084"/>
      <c r="Q3084"/>
      <c r="R3084"/>
      <c r="S3084"/>
    </row>
    <row r="3085" spans="1:19" ht="15" x14ac:dyDescent="0.2">
      <c r="A3085"/>
      <c r="B3085"/>
      <c r="C3085"/>
      <c r="D3085"/>
      <c r="E3085"/>
      <c r="F3085"/>
      <c r="G3085"/>
      <c r="H3085"/>
      <c r="I3085"/>
      <c r="J3085"/>
      <c r="K3085"/>
      <c r="L3085"/>
      <c r="M3085"/>
      <c r="N3085"/>
      <c r="O3085"/>
      <c r="P3085"/>
      <c r="Q3085"/>
      <c r="R3085"/>
      <c r="S3085"/>
    </row>
    <row r="3086" spans="1:19" ht="15" x14ac:dyDescent="0.2">
      <c r="A3086"/>
      <c r="B3086"/>
      <c r="C3086"/>
      <c r="D3086"/>
      <c r="E3086"/>
      <c r="F3086"/>
      <c r="G3086"/>
      <c r="H3086"/>
      <c r="I3086"/>
      <c r="J3086"/>
      <c r="K3086"/>
      <c r="L3086"/>
      <c r="M3086"/>
      <c r="N3086"/>
      <c r="O3086"/>
      <c r="P3086"/>
      <c r="Q3086"/>
      <c r="R3086"/>
      <c r="S3086"/>
    </row>
    <row r="3087" spans="1:19" ht="15" x14ac:dyDescent="0.2">
      <c r="A3087"/>
      <c r="B3087"/>
      <c r="C3087"/>
      <c r="D3087"/>
      <c r="E3087"/>
      <c r="F3087"/>
      <c r="G3087"/>
      <c r="H3087"/>
      <c r="I3087"/>
      <c r="J3087"/>
      <c r="K3087"/>
      <c r="L3087"/>
      <c r="M3087"/>
      <c r="N3087"/>
      <c r="O3087"/>
      <c r="P3087"/>
      <c r="Q3087"/>
      <c r="R3087"/>
      <c r="S3087"/>
    </row>
    <row r="3088" spans="1:19" ht="15" x14ac:dyDescent="0.2">
      <c r="A3088"/>
      <c r="B3088"/>
      <c r="C3088"/>
      <c r="D3088"/>
      <c r="E3088"/>
      <c r="F3088"/>
      <c r="G3088"/>
      <c r="H3088"/>
      <c r="I3088"/>
      <c r="J3088"/>
      <c r="K3088"/>
      <c r="L3088"/>
      <c r="M3088"/>
      <c r="N3088"/>
      <c r="O3088"/>
      <c r="P3088"/>
      <c r="Q3088"/>
      <c r="R3088"/>
      <c r="S3088"/>
    </row>
    <row r="3089" spans="1:19" ht="15" x14ac:dyDescent="0.2">
      <c r="A3089"/>
      <c r="B3089"/>
      <c r="C3089"/>
      <c r="D3089"/>
      <c r="E3089"/>
      <c r="F3089"/>
      <c r="G3089"/>
      <c r="H3089"/>
      <c r="I3089"/>
      <c r="J3089"/>
      <c r="K3089"/>
      <c r="L3089"/>
      <c r="M3089"/>
      <c r="N3089"/>
      <c r="O3089"/>
      <c r="P3089"/>
      <c r="Q3089"/>
      <c r="R3089"/>
      <c r="S3089"/>
    </row>
    <row r="3090" spans="1:19" ht="15" x14ac:dyDescent="0.2">
      <c r="A3090"/>
      <c r="B3090"/>
      <c r="C3090"/>
      <c r="D3090"/>
      <c r="E3090"/>
      <c r="F3090"/>
      <c r="G3090"/>
      <c r="H3090"/>
      <c r="I3090"/>
      <c r="J3090"/>
      <c r="K3090"/>
      <c r="L3090"/>
      <c r="M3090"/>
      <c r="N3090"/>
      <c r="O3090"/>
      <c r="P3090"/>
      <c r="Q3090"/>
      <c r="R3090"/>
      <c r="S3090"/>
    </row>
    <row r="3091" spans="1:19" ht="15" x14ac:dyDescent="0.2">
      <c r="A3091"/>
      <c r="B3091"/>
      <c r="C3091"/>
      <c r="D3091"/>
      <c r="E3091"/>
      <c r="F3091"/>
      <c r="G3091"/>
      <c r="H3091"/>
      <c r="I3091"/>
      <c r="J3091"/>
      <c r="K3091"/>
      <c r="L3091"/>
      <c r="M3091"/>
      <c r="N3091"/>
      <c r="O3091"/>
      <c r="P3091"/>
      <c r="Q3091"/>
      <c r="R3091"/>
      <c r="S3091"/>
    </row>
    <row r="3092" spans="1:19" ht="15" x14ac:dyDescent="0.2">
      <c r="A3092"/>
      <c r="B3092"/>
      <c r="C3092"/>
      <c r="D3092"/>
      <c r="E3092"/>
      <c r="F3092"/>
      <c r="G3092"/>
      <c r="H3092"/>
      <c r="I3092"/>
      <c r="J3092"/>
      <c r="K3092"/>
      <c r="L3092"/>
      <c r="M3092"/>
      <c r="N3092"/>
      <c r="O3092"/>
      <c r="P3092"/>
      <c r="Q3092"/>
      <c r="R3092"/>
      <c r="S3092"/>
    </row>
    <row r="3093" spans="1:19" ht="15" x14ac:dyDescent="0.2">
      <c r="A3093"/>
      <c r="B3093"/>
      <c r="C3093"/>
      <c r="D3093"/>
      <c r="E3093"/>
      <c r="F3093"/>
      <c r="G3093"/>
      <c r="H3093"/>
      <c r="I3093"/>
      <c r="J3093"/>
      <c r="K3093"/>
      <c r="L3093"/>
      <c r="M3093"/>
      <c r="N3093"/>
      <c r="O3093"/>
      <c r="P3093"/>
      <c r="Q3093"/>
      <c r="R3093"/>
      <c r="S3093"/>
    </row>
    <row r="3094" spans="1:19" ht="15" x14ac:dyDescent="0.2">
      <c r="A3094"/>
      <c r="B3094"/>
      <c r="C3094"/>
      <c r="D3094"/>
      <c r="E3094"/>
      <c r="F3094"/>
      <c r="G3094"/>
      <c r="H3094"/>
      <c r="I3094"/>
      <c r="J3094"/>
      <c r="K3094"/>
      <c r="L3094"/>
      <c r="M3094"/>
      <c r="N3094"/>
      <c r="O3094"/>
      <c r="P3094"/>
      <c r="Q3094"/>
      <c r="R3094"/>
      <c r="S3094"/>
    </row>
    <row r="3095" spans="1:19" ht="15" x14ac:dyDescent="0.2">
      <c r="A3095"/>
      <c r="B3095"/>
      <c r="C3095"/>
      <c r="D3095"/>
      <c r="E3095"/>
      <c r="F3095"/>
      <c r="G3095"/>
      <c r="H3095"/>
      <c r="I3095"/>
      <c r="J3095"/>
      <c r="K3095"/>
      <c r="L3095"/>
      <c r="M3095"/>
      <c r="N3095"/>
      <c r="O3095"/>
      <c r="P3095"/>
      <c r="Q3095"/>
      <c r="R3095"/>
      <c r="S3095"/>
    </row>
    <row r="3096" spans="1:19" ht="15" x14ac:dyDescent="0.2">
      <c r="A3096"/>
      <c r="B3096"/>
      <c r="C3096"/>
      <c r="D3096"/>
      <c r="E3096"/>
      <c r="F3096"/>
      <c r="G3096"/>
      <c r="H3096"/>
      <c r="I3096"/>
      <c r="J3096"/>
      <c r="K3096"/>
      <c r="L3096"/>
      <c r="M3096"/>
      <c r="N3096"/>
      <c r="O3096"/>
      <c r="P3096"/>
      <c r="Q3096"/>
      <c r="R3096"/>
      <c r="S3096"/>
    </row>
    <row r="3097" spans="1:19" ht="15" x14ac:dyDescent="0.2">
      <c r="A3097"/>
      <c r="B3097"/>
      <c r="C3097"/>
      <c r="D3097"/>
      <c r="E3097"/>
      <c r="F3097"/>
      <c r="G3097"/>
      <c r="H3097"/>
      <c r="I3097"/>
      <c r="J3097"/>
      <c r="K3097"/>
      <c r="L3097"/>
      <c r="M3097"/>
      <c r="N3097"/>
      <c r="O3097"/>
      <c r="P3097"/>
      <c r="Q3097"/>
      <c r="R3097"/>
      <c r="S3097"/>
    </row>
    <row r="3098" spans="1:19" ht="15" x14ac:dyDescent="0.2">
      <c r="A3098"/>
      <c r="B3098"/>
      <c r="C3098"/>
      <c r="D3098"/>
      <c r="E3098"/>
      <c r="F3098"/>
      <c r="G3098"/>
      <c r="H3098"/>
      <c r="I3098"/>
      <c r="J3098"/>
      <c r="K3098"/>
      <c r="L3098"/>
      <c r="M3098"/>
      <c r="N3098"/>
      <c r="O3098"/>
      <c r="P3098"/>
      <c r="Q3098"/>
      <c r="R3098"/>
      <c r="S3098"/>
    </row>
    <row r="3099" spans="1:19" ht="15" x14ac:dyDescent="0.2">
      <c r="A3099"/>
      <c r="B3099"/>
      <c r="C3099"/>
      <c r="D3099"/>
      <c r="E3099"/>
      <c r="F3099"/>
      <c r="G3099"/>
      <c r="H3099"/>
      <c r="I3099"/>
      <c r="J3099"/>
      <c r="K3099"/>
      <c r="L3099"/>
      <c r="M3099"/>
      <c r="N3099"/>
      <c r="O3099"/>
      <c r="P3099"/>
      <c r="Q3099"/>
      <c r="R3099"/>
      <c r="S3099"/>
    </row>
    <row r="3100" spans="1:19" ht="15" x14ac:dyDescent="0.2">
      <c r="A3100"/>
      <c r="B3100"/>
      <c r="C3100"/>
      <c r="D3100"/>
      <c r="E3100"/>
      <c r="F3100"/>
      <c r="G3100"/>
      <c r="H3100"/>
      <c r="I3100"/>
      <c r="J3100"/>
      <c r="K3100"/>
      <c r="L3100"/>
      <c r="M3100"/>
      <c r="N3100"/>
      <c r="O3100"/>
      <c r="P3100"/>
      <c r="Q3100"/>
      <c r="R3100"/>
      <c r="S3100"/>
    </row>
    <row r="3101" spans="1:19" ht="15" x14ac:dyDescent="0.2">
      <c r="A3101"/>
      <c r="B3101"/>
      <c r="C3101"/>
      <c r="D3101"/>
      <c r="E3101"/>
      <c r="F3101"/>
      <c r="G3101"/>
      <c r="H3101"/>
      <c r="I3101"/>
      <c r="J3101"/>
      <c r="K3101"/>
      <c r="L3101"/>
      <c r="M3101"/>
      <c r="N3101"/>
      <c r="O3101"/>
      <c r="P3101"/>
      <c r="Q3101"/>
      <c r="R3101"/>
      <c r="S3101"/>
    </row>
    <row r="3102" spans="1:19" ht="15" x14ac:dyDescent="0.2">
      <c r="A3102"/>
      <c r="B3102"/>
      <c r="C3102"/>
      <c r="D3102"/>
      <c r="E3102"/>
      <c r="F3102"/>
      <c r="G3102"/>
      <c r="H3102"/>
      <c r="I3102"/>
      <c r="J3102"/>
      <c r="K3102"/>
      <c r="L3102"/>
      <c r="M3102"/>
      <c r="N3102"/>
      <c r="O3102"/>
      <c r="P3102"/>
      <c r="Q3102"/>
      <c r="R3102"/>
      <c r="S3102"/>
    </row>
    <row r="3103" spans="1:19" ht="15" x14ac:dyDescent="0.2">
      <c r="A3103"/>
      <c r="B3103"/>
      <c r="C3103"/>
      <c r="D3103"/>
      <c r="E3103"/>
      <c r="F3103"/>
      <c r="G3103"/>
      <c r="H3103"/>
      <c r="I3103"/>
      <c r="J3103"/>
      <c r="K3103"/>
      <c r="L3103"/>
      <c r="M3103"/>
      <c r="N3103"/>
      <c r="O3103"/>
      <c r="P3103"/>
      <c r="Q3103"/>
      <c r="R3103"/>
      <c r="S3103"/>
    </row>
    <row r="3104" spans="1:19" ht="15" x14ac:dyDescent="0.2">
      <c r="A3104"/>
      <c r="B3104"/>
      <c r="C3104"/>
      <c r="D3104"/>
      <c r="E3104"/>
      <c r="F3104"/>
      <c r="G3104"/>
      <c r="H3104"/>
      <c r="I3104"/>
      <c r="J3104"/>
      <c r="K3104"/>
      <c r="L3104"/>
      <c r="M3104"/>
      <c r="N3104"/>
      <c r="O3104"/>
      <c r="P3104"/>
      <c r="Q3104"/>
      <c r="R3104"/>
      <c r="S3104"/>
    </row>
    <row r="3105" spans="1:19" ht="15" x14ac:dyDescent="0.2">
      <c r="A3105"/>
      <c r="B3105"/>
      <c r="C3105"/>
      <c r="D3105"/>
      <c r="E3105"/>
      <c r="F3105"/>
      <c r="G3105"/>
      <c r="H3105"/>
      <c r="I3105"/>
      <c r="J3105"/>
      <c r="K3105"/>
      <c r="L3105"/>
      <c r="M3105"/>
      <c r="N3105"/>
      <c r="O3105"/>
      <c r="P3105"/>
      <c r="Q3105"/>
      <c r="R3105"/>
      <c r="S3105"/>
    </row>
    <row r="3106" spans="1:19" ht="15" x14ac:dyDescent="0.2">
      <c r="A3106"/>
      <c r="B3106"/>
      <c r="C3106"/>
      <c r="D3106"/>
      <c r="E3106"/>
      <c r="F3106"/>
      <c r="G3106"/>
      <c r="H3106"/>
      <c r="I3106"/>
      <c r="J3106"/>
      <c r="K3106"/>
      <c r="L3106"/>
      <c r="M3106"/>
      <c r="N3106"/>
      <c r="O3106"/>
      <c r="P3106"/>
      <c r="Q3106"/>
      <c r="R3106"/>
      <c r="S3106"/>
    </row>
    <row r="3107" spans="1:19" ht="15" x14ac:dyDescent="0.2">
      <c r="A3107"/>
      <c r="B3107"/>
      <c r="C3107"/>
      <c r="D3107"/>
      <c r="E3107"/>
      <c r="F3107"/>
      <c r="G3107"/>
      <c r="H3107"/>
      <c r="I3107"/>
      <c r="J3107"/>
      <c r="K3107"/>
      <c r="L3107"/>
      <c r="M3107"/>
      <c r="N3107"/>
      <c r="O3107"/>
      <c r="P3107"/>
      <c r="Q3107"/>
      <c r="R3107"/>
      <c r="S3107"/>
    </row>
    <row r="3108" spans="1:19" ht="15" x14ac:dyDescent="0.2">
      <c r="A3108"/>
      <c r="B3108"/>
      <c r="C3108"/>
      <c r="D3108"/>
      <c r="E3108"/>
      <c r="F3108"/>
      <c r="G3108"/>
      <c r="H3108"/>
      <c r="I3108"/>
      <c r="J3108"/>
      <c r="K3108"/>
      <c r="L3108"/>
      <c r="M3108"/>
      <c r="N3108"/>
      <c r="O3108"/>
      <c r="P3108"/>
      <c r="Q3108"/>
      <c r="R3108"/>
      <c r="S3108"/>
    </row>
    <row r="3109" spans="1:19" ht="15" x14ac:dyDescent="0.2">
      <c r="A3109"/>
      <c r="B3109"/>
      <c r="C3109"/>
      <c r="D3109"/>
      <c r="E3109"/>
      <c r="F3109"/>
      <c r="G3109"/>
      <c r="H3109"/>
      <c r="I3109"/>
      <c r="J3109"/>
      <c r="K3109"/>
      <c r="L3109"/>
      <c r="M3109"/>
      <c r="N3109"/>
      <c r="O3109"/>
      <c r="P3109"/>
      <c r="Q3109"/>
      <c r="R3109"/>
      <c r="S3109"/>
    </row>
    <row r="3110" spans="1:19" ht="15" x14ac:dyDescent="0.2">
      <c r="A3110"/>
      <c r="B3110"/>
      <c r="C3110"/>
      <c r="D3110"/>
      <c r="E3110"/>
      <c r="F3110"/>
      <c r="G3110"/>
      <c r="H3110"/>
      <c r="I3110"/>
      <c r="J3110"/>
      <c r="K3110"/>
      <c r="L3110"/>
      <c r="M3110"/>
      <c r="N3110"/>
      <c r="O3110"/>
      <c r="P3110"/>
      <c r="Q3110"/>
      <c r="R3110"/>
      <c r="S3110"/>
    </row>
    <row r="3111" spans="1:19" ht="15" x14ac:dyDescent="0.2">
      <c r="A3111"/>
      <c r="B3111"/>
      <c r="C3111"/>
      <c r="D3111"/>
      <c r="E3111"/>
      <c r="F3111"/>
      <c r="G3111"/>
      <c r="H3111"/>
      <c r="I3111"/>
      <c r="J3111"/>
      <c r="K3111"/>
      <c r="L3111"/>
      <c r="M3111"/>
      <c r="N3111"/>
      <c r="O3111"/>
      <c r="P3111"/>
      <c r="Q3111"/>
      <c r="R3111"/>
      <c r="S3111"/>
    </row>
    <row r="3112" spans="1:19" ht="15" x14ac:dyDescent="0.2">
      <c r="A3112"/>
      <c r="B3112"/>
      <c r="C3112"/>
      <c r="D3112"/>
      <c r="E3112"/>
      <c r="F3112"/>
      <c r="G3112"/>
      <c r="H3112"/>
      <c r="I3112"/>
      <c r="J3112"/>
      <c r="K3112"/>
      <c r="L3112"/>
      <c r="M3112"/>
      <c r="N3112"/>
      <c r="O3112"/>
      <c r="P3112"/>
      <c r="Q3112"/>
      <c r="R3112"/>
      <c r="S3112"/>
    </row>
    <row r="3113" spans="1:19" ht="15" x14ac:dyDescent="0.2">
      <c r="A3113"/>
      <c r="B3113"/>
      <c r="C3113"/>
      <c r="D3113"/>
      <c r="E3113"/>
      <c r="F3113"/>
      <c r="G3113"/>
      <c r="H3113"/>
      <c r="I3113"/>
      <c r="J3113"/>
      <c r="K3113"/>
      <c r="L3113"/>
      <c r="M3113"/>
      <c r="N3113"/>
      <c r="O3113"/>
      <c r="P3113"/>
      <c r="Q3113"/>
      <c r="R3113"/>
      <c r="S3113"/>
    </row>
    <row r="3114" spans="1:19" ht="15" x14ac:dyDescent="0.2">
      <c r="A3114"/>
      <c r="B3114"/>
      <c r="C3114"/>
      <c r="D3114"/>
      <c r="E3114"/>
      <c r="F3114"/>
      <c r="G3114"/>
      <c r="H3114"/>
      <c r="I3114"/>
      <c r="J3114"/>
      <c r="K3114"/>
      <c r="L3114"/>
      <c r="M3114"/>
      <c r="N3114"/>
      <c r="O3114"/>
      <c r="P3114"/>
      <c r="Q3114"/>
      <c r="R3114"/>
      <c r="S3114"/>
    </row>
    <row r="3115" spans="1:19" ht="15" x14ac:dyDescent="0.2">
      <c r="A3115"/>
      <c r="B3115"/>
      <c r="C3115"/>
      <c r="D3115"/>
      <c r="E3115"/>
      <c r="F3115"/>
      <c r="G3115"/>
      <c r="H3115"/>
      <c r="I3115"/>
      <c r="J3115"/>
      <c r="K3115"/>
      <c r="L3115"/>
      <c r="M3115"/>
      <c r="N3115"/>
      <c r="O3115"/>
      <c r="P3115"/>
      <c r="Q3115"/>
      <c r="R3115"/>
      <c r="S3115"/>
    </row>
    <row r="3116" spans="1:19" ht="15" x14ac:dyDescent="0.2">
      <c r="A3116"/>
      <c r="B3116"/>
      <c r="C3116"/>
      <c r="D3116"/>
      <c r="E3116"/>
      <c r="F3116"/>
      <c r="G3116"/>
      <c r="H3116"/>
      <c r="I3116"/>
      <c r="J3116"/>
      <c r="K3116"/>
      <c r="L3116"/>
      <c r="M3116"/>
      <c r="N3116"/>
      <c r="O3116"/>
      <c r="P3116"/>
      <c r="Q3116"/>
      <c r="R3116"/>
      <c r="S3116"/>
    </row>
    <row r="3117" spans="1:19" ht="15" x14ac:dyDescent="0.2">
      <c r="A3117"/>
      <c r="B3117"/>
      <c r="C3117"/>
      <c r="D3117"/>
      <c r="E3117"/>
      <c r="F3117"/>
      <c r="G3117"/>
      <c r="H3117"/>
      <c r="I3117"/>
      <c r="J3117"/>
      <c r="K3117"/>
      <c r="L3117"/>
      <c r="M3117"/>
      <c r="N3117"/>
      <c r="O3117"/>
      <c r="P3117"/>
      <c r="Q3117"/>
      <c r="R3117"/>
      <c r="S3117"/>
    </row>
    <row r="3118" spans="1:19" ht="15" x14ac:dyDescent="0.2">
      <c r="A3118"/>
      <c r="B3118"/>
      <c r="C3118"/>
      <c r="D3118"/>
      <c r="E3118"/>
      <c r="F3118"/>
      <c r="G3118"/>
      <c r="H3118"/>
      <c r="I3118"/>
      <c r="J3118"/>
      <c r="K3118"/>
      <c r="L3118"/>
      <c r="M3118"/>
      <c r="N3118"/>
      <c r="O3118"/>
      <c r="P3118"/>
      <c r="Q3118"/>
      <c r="R3118"/>
      <c r="S3118"/>
    </row>
    <row r="3119" spans="1:19" ht="15" x14ac:dyDescent="0.2">
      <c r="A3119"/>
      <c r="B3119"/>
      <c r="C3119"/>
      <c r="D3119"/>
      <c r="E3119"/>
      <c r="F3119"/>
      <c r="G3119"/>
      <c r="H3119"/>
      <c r="I3119"/>
      <c r="J3119"/>
      <c r="K3119"/>
      <c r="L3119"/>
      <c r="M3119"/>
      <c r="N3119"/>
      <c r="O3119"/>
      <c r="P3119"/>
      <c r="Q3119"/>
      <c r="R3119"/>
      <c r="S3119"/>
    </row>
    <row r="3120" spans="1:19" ht="15" x14ac:dyDescent="0.2">
      <c r="A3120"/>
      <c r="B3120"/>
      <c r="C3120"/>
      <c r="D3120"/>
      <c r="E3120"/>
      <c r="F3120"/>
      <c r="G3120"/>
      <c r="H3120"/>
      <c r="I3120"/>
      <c r="J3120"/>
      <c r="K3120"/>
      <c r="L3120"/>
      <c r="M3120"/>
      <c r="N3120"/>
      <c r="O3120"/>
      <c r="P3120"/>
      <c r="Q3120"/>
      <c r="R3120"/>
      <c r="S3120"/>
    </row>
    <row r="3121" spans="1:19" ht="15" x14ac:dyDescent="0.2">
      <c r="A3121"/>
      <c r="B3121"/>
      <c r="C3121"/>
      <c r="D3121"/>
      <c r="E3121"/>
      <c r="F3121"/>
      <c r="G3121"/>
      <c r="H3121"/>
      <c r="I3121"/>
      <c r="J3121"/>
      <c r="K3121"/>
      <c r="L3121"/>
      <c r="M3121"/>
      <c r="N3121"/>
      <c r="O3121"/>
      <c r="P3121"/>
      <c r="Q3121"/>
      <c r="R3121"/>
      <c r="S3121"/>
    </row>
    <row r="3122" spans="1:19" ht="15" x14ac:dyDescent="0.2">
      <c r="A3122"/>
      <c r="B3122"/>
      <c r="C3122"/>
      <c r="D3122"/>
      <c r="E3122"/>
      <c r="F3122"/>
      <c r="G3122"/>
      <c r="H3122"/>
      <c r="I3122"/>
      <c r="J3122"/>
      <c r="K3122"/>
      <c r="L3122"/>
      <c r="M3122"/>
      <c r="N3122"/>
      <c r="O3122"/>
      <c r="P3122"/>
      <c r="Q3122"/>
      <c r="R3122"/>
      <c r="S3122"/>
    </row>
    <row r="3123" spans="1:19" ht="15" x14ac:dyDescent="0.2">
      <c r="A3123"/>
      <c r="B3123"/>
      <c r="C3123"/>
      <c r="D3123"/>
      <c r="E3123"/>
      <c r="F3123"/>
      <c r="G3123"/>
      <c r="H3123"/>
      <c r="I3123"/>
      <c r="J3123"/>
      <c r="K3123"/>
      <c r="L3123"/>
      <c r="M3123"/>
      <c r="N3123"/>
      <c r="O3123"/>
      <c r="P3123"/>
      <c r="Q3123"/>
      <c r="R3123"/>
      <c r="S3123"/>
    </row>
    <row r="3124" spans="1:19" ht="15" x14ac:dyDescent="0.2">
      <c r="A3124"/>
      <c r="B3124"/>
      <c r="C3124"/>
      <c r="D3124"/>
      <c r="E3124"/>
      <c r="F3124"/>
      <c r="G3124"/>
      <c r="H3124"/>
      <c r="I3124"/>
      <c r="J3124"/>
      <c r="K3124"/>
      <c r="L3124"/>
      <c r="M3124"/>
      <c r="N3124"/>
      <c r="O3124"/>
      <c r="P3124"/>
      <c r="Q3124"/>
      <c r="R3124"/>
      <c r="S3124"/>
    </row>
    <row r="3125" spans="1:19" ht="15" x14ac:dyDescent="0.2">
      <c r="A3125"/>
      <c r="B3125"/>
      <c r="C3125"/>
      <c r="D3125"/>
      <c r="E3125"/>
      <c r="F3125"/>
      <c r="G3125"/>
      <c r="H3125"/>
      <c r="I3125"/>
      <c r="J3125"/>
      <c r="K3125"/>
      <c r="L3125"/>
      <c r="M3125"/>
      <c r="N3125"/>
      <c r="O3125"/>
      <c r="P3125"/>
      <c r="Q3125"/>
      <c r="R3125"/>
      <c r="S3125"/>
    </row>
    <row r="3126" spans="1:19" ht="15" x14ac:dyDescent="0.2">
      <c r="A3126"/>
      <c r="B3126"/>
      <c r="C3126"/>
      <c r="D3126"/>
      <c r="E3126"/>
      <c r="F3126"/>
      <c r="G3126"/>
      <c r="H3126"/>
      <c r="I3126"/>
      <c r="J3126"/>
      <c r="K3126"/>
      <c r="L3126"/>
      <c r="M3126"/>
      <c r="N3126"/>
      <c r="O3126"/>
      <c r="P3126"/>
      <c r="Q3126"/>
      <c r="R3126"/>
      <c r="S3126"/>
    </row>
    <row r="3127" spans="1:19" ht="15" x14ac:dyDescent="0.2">
      <c r="A3127"/>
      <c r="B3127"/>
      <c r="C3127"/>
      <c r="D3127"/>
      <c r="E3127"/>
      <c r="F3127"/>
      <c r="G3127"/>
      <c r="H3127"/>
      <c r="I3127"/>
      <c r="J3127"/>
      <c r="K3127"/>
      <c r="L3127"/>
      <c r="M3127"/>
      <c r="N3127"/>
      <c r="O3127"/>
      <c r="P3127"/>
      <c r="Q3127"/>
      <c r="R3127"/>
      <c r="S3127"/>
    </row>
    <row r="3128" spans="1:19" ht="15" x14ac:dyDescent="0.2">
      <c r="A3128"/>
      <c r="B3128"/>
      <c r="C3128"/>
      <c r="D3128"/>
      <c r="E3128"/>
      <c r="F3128"/>
      <c r="G3128"/>
      <c r="H3128"/>
      <c r="I3128"/>
      <c r="J3128"/>
      <c r="K3128"/>
      <c r="L3128"/>
      <c r="M3128"/>
      <c r="N3128"/>
      <c r="O3128"/>
      <c r="P3128"/>
      <c r="Q3128"/>
      <c r="R3128"/>
      <c r="S3128"/>
    </row>
    <row r="3129" spans="1:19" ht="15" x14ac:dyDescent="0.2">
      <c r="A3129"/>
      <c r="B3129"/>
      <c r="C3129"/>
      <c r="D3129"/>
      <c r="E3129"/>
      <c r="F3129"/>
      <c r="G3129"/>
      <c r="H3129"/>
      <c r="I3129"/>
      <c r="J3129"/>
      <c r="K3129"/>
      <c r="L3129"/>
      <c r="M3129"/>
      <c r="N3129"/>
      <c r="O3129"/>
      <c r="P3129"/>
      <c r="Q3129"/>
      <c r="R3129"/>
      <c r="S3129"/>
    </row>
    <row r="3130" spans="1:19" ht="15" x14ac:dyDescent="0.2">
      <c r="A3130"/>
      <c r="B3130"/>
      <c r="C3130"/>
      <c r="D3130"/>
      <c r="E3130"/>
      <c r="F3130"/>
      <c r="G3130"/>
      <c r="H3130"/>
      <c r="I3130"/>
      <c r="J3130"/>
      <c r="K3130"/>
      <c r="L3130"/>
      <c r="M3130"/>
      <c r="N3130"/>
      <c r="O3130"/>
      <c r="P3130"/>
      <c r="Q3130"/>
      <c r="R3130"/>
      <c r="S3130"/>
    </row>
    <row r="3131" spans="1:19" ht="15" x14ac:dyDescent="0.2">
      <c r="A3131"/>
      <c r="B3131"/>
      <c r="C3131"/>
      <c r="D3131"/>
      <c r="E3131"/>
      <c r="F3131"/>
      <c r="G3131"/>
      <c r="H3131"/>
      <c r="I3131"/>
      <c r="J3131"/>
      <c r="K3131"/>
      <c r="L3131"/>
      <c r="M3131"/>
      <c r="N3131"/>
      <c r="O3131"/>
      <c r="P3131"/>
      <c r="Q3131"/>
      <c r="R3131"/>
      <c r="S3131"/>
    </row>
    <row r="3132" spans="1:19" ht="15" x14ac:dyDescent="0.2">
      <c r="A3132"/>
      <c r="B3132"/>
      <c r="C3132"/>
      <c r="D3132"/>
      <c r="E3132"/>
      <c r="F3132"/>
      <c r="G3132"/>
      <c r="H3132"/>
      <c r="I3132"/>
      <c r="J3132"/>
      <c r="K3132"/>
      <c r="L3132"/>
      <c r="M3132"/>
      <c r="N3132"/>
      <c r="O3132"/>
      <c r="P3132"/>
      <c r="Q3132"/>
      <c r="R3132"/>
      <c r="S3132"/>
    </row>
    <row r="3133" spans="1:19" ht="15" x14ac:dyDescent="0.2">
      <c r="A3133"/>
      <c r="B3133"/>
      <c r="C3133"/>
      <c r="D3133"/>
      <c r="E3133"/>
      <c r="F3133"/>
      <c r="G3133"/>
      <c r="H3133"/>
      <c r="I3133"/>
      <c r="J3133"/>
      <c r="K3133"/>
      <c r="L3133"/>
      <c r="M3133"/>
      <c r="N3133"/>
      <c r="O3133"/>
      <c r="P3133"/>
      <c r="Q3133"/>
      <c r="R3133"/>
      <c r="S3133"/>
    </row>
    <row r="3134" spans="1:19" ht="15" x14ac:dyDescent="0.2">
      <c r="A3134"/>
      <c r="B3134"/>
      <c r="C3134"/>
      <c r="D3134"/>
      <c r="E3134"/>
      <c r="F3134"/>
      <c r="G3134"/>
      <c r="H3134"/>
      <c r="I3134"/>
      <c r="J3134"/>
      <c r="K3134"/>
      <c r="L3134"/>
      <c r="M3134"/>
      <c r="N3134"/>
      <c r="O3134"/>
      <c r="P3134"/>
      <c r="Q3134"/>
      <c r="R3134"/>
      <c r="S3134"/>
    </row>
    <row r="3135" spans="1:19" ht="15" x14ac:dyDescent="0.2">
      <c r="A3135"/>
      <c r="B3135"/>
      <c r="C3135"/>
      <c r="D3135"/>
      <c r="E3135"/>
      <c r="F3135"/>
      <c r="G3135"/>
      <c r="H3135"/>
      <c r="I3135"/>
      <c r="J3135"/>
      <c r="K3135"/>
      <c r="L3135"/>
      <c r="M3135"/>
      <c r="N3135"/>
      <c r="O3135"/>
      <c r="P3135"/>
      <c r="Q3135"/>
      <c r="R3135"/>
      <c r="S3135"/>
    </row>
    <row r="3136" spans="1:19" ht="15" x14ac:dyDescent="0.2">
      <c r="A3136"/>
      <c r="B3136"/>
      <c r="C3136"/>
      <c r="D3136"/>
      <c r="E3136"/>
      <c r="F3136"/>
      <c r="G3136"/>
      <c r="H3136"/>
      <c r="I3136"/>
      <c r="J3136"/>
      <c r="K3136"/>
      <c r="L3136"/>
      <c r="M3136"/>
      <c r="N3136"/>
      <c r="O3136"/>
      <c r="P3136"/>
      <c r="Q3136"/>
      <c r="R3136"/>
      <c r="S3136"/>
    </row>
    <row r="3137" spans="1:19" ht="15" x14ac:dyDescent="0.2">
      <c r="A3137"/>
      <c r="B3137"/>
      <c r="C3137"/>
      <c r="D3137"/>
      <c r="E3137"/>
      <c r="F3137"/>
      <c r="G3137"/>
      <c r="H3137"/>
      <c r="I3137"/>
      <c r="J3137"/>
      <c r="K3137"/>
      <c r="L3137"/>
      <c r="M3137"/>
      <c r="N3137"/>
      <c r="O3137"/>
      <c r="P3137"/>
      <c r="Q3137"/>
      <c r="R3137"/>
      <c r="S3137"/>
    </row>
    <row r="3138" spans="1:19" ht="15" x14ac:dyDescent="0.2">
      <c r="A3138"/>
      <c r="B3138"/>
      <c r="C3138"/>
      <c r="D3138"/>
      <c r="E3138"/>
      <c r="F3138"/>
      <c r="G3138"/>
      <c r="H3138"/>
      <c r="I3138"/>
      <c r="J3138"/>
      <c r="K3138"/>
      <c r="L3138"/>
      <c r="M3138"/>
      <c r="N3138"/>
      <c r="O3138"/>
      <c r="P3138"/>
      <c r="Q3138"/>
      <c r="R3138"/>
      <c r="S3138"/>
    </row>
    <row r="3139" spans="1:19" ht="15" x14ac:dyDescent="0.2">
      <c r="A3139"/>
      <c r="B3139"/>
      <c r="C3139"/>
      <c r="D3139"/>
      <c r="E3139"/>
      <c r="F3139"/>
      <c r="G3139"/>
      <c r="H3139"/>
      <c r="I3139"/>
      <c r="J3139"/>
      <c r="K3139"/>
      <c r="L3139"/>
      <c r="M3139"/>
      <c r="N3139"/>
      <c r="O3139"/>
      <c r="P3139"/>
      <c r="Q3139"/>
      <c r="R3139"/>
      <c r="S3139"/>
    </row>
    <row r="3140" spans="1:19" ht="15" x14ac:dyDescent="0.2">
      <c r="A3140"/>
      <c r="B3140"/>
      <c r="C3140"/>
      <c r="D3140"/>
      <c r="E3140"/>
      <c r="F3140"/>
      <c r="G3140"/>
      <c r="H3140"/>
      <c r="I3140"/>
      <c r="J3140"/>
      <c r="K3140"/>
      <c r="L3140"/>
      <c r="M3140"/>
      <c r="N3140"/>
      <c r="O3140"/>
      <c r="P3140"/>
      <c r="Q3140"/>
      <c r="R3140"/>
      <c r="S3140"/>
    </row>
    <row r="3141" spans="1:19" ht="15" x14ac:dyDescent="0.2">
      <c r="A3141"/>
      <c r="B3141"/>
      <c r="C3141"/>
      <c r="D3141"/>
      <c r="E3141"/>
      <c r="F3141"/>
      <c r="G3141"/>
      <c r="H3141"/>
      <c r="I3141"/>
      <c r="J3141"/>
      <c r="K3141"/>
      <c r="L3141"/>
      <c r="M3141"/>
      <c r="N3141"/>
      <c r="O3141"/>
      <c r="P3141"/>
      <c r="Q3141"/>
      <c r="R3141"/>
      <c r="S3141"/>
    </row>
    <row r="3142" spans="1:19" ht="15" x14ac:dyDescent="0.2">
      <c r="A3142"/>
      <c r="B3142"/>
      <c r="C3142"/>
      <c r="D3142"/>
      <c r="E3142"/>
      <c r="F3142"/>
      <c r="G3142"/>
      <c r="H3142"/>
      <c r="I3142"/>
      <c r="J3142"/>
      <c r="K3142"/>
      <c r="L3142"/>
      <c r="M3142"/>
      <c r="N3142"/>
      <c r="O3142"/>
      <c r="P3142"/>
      <c r="Q3142"/>
      <c r="R3142"/>
      <c r="S3142"/>
    </row>
    <row r="3143" spans="1:19" ht="15" x14ac:dyDescent="0.2">
      <c r="A3143"/>
      <c r="B3143"/>
      <c r="C3143"/>
      <c r="D3143"/>
      <c r="E3143"/>
      <c r="F3143"/>
      <c r="G3143"/>
      <c r="H3143"/>
      <c r="I3143"/>
      <c r="J3143"/>
      <c r="K3143"/>
      <c r="L3143"/>
      <c r="M3143"/>
      <c r="N3143"/>
      <c r="O3143"/>
      <c r="P3143"/>
      <c r="Q3143"/>
      <c r="R3143"/>
      <c r="S3143"/>
    </row>
    <row r="3144" spans="1:19" ht="15" x14ac:dyDescent="0.2">
      <c r="A3144"/>
      <c r="B3144"/>
      <c r="C3144"/>
      <c r="D3144"/>
      <c r="E3144"/>
      <c r="F3144"/>
      <c r="G3144"/>
      <c r="H3144"/>
      <c r="I3144"/>
      <c r="J3144"/>
      <c r="K3144"/>
      <c r="L3144"/>
      <c r="M3144"/>
      <c r="N3144"/>
      <c r="O3144"/>
      <c r="P3144"/>
      <c r="Q3144"/>
      <c r="R3144"/>
      <c r="S3144"/>
    </row>
    <row r="3145" spans="1:19" ht="15" x14ac:dyDescent="0.2">
      <c r="A3145"/>
      <c r="B3145"/>
      <c r="C3145"/>
      <c r="D3145"/>
      <c r="E3145"/>
      <c r="F3145"/>
      <c r="G3145"/>
      <c r="H3145"/>
      <c r="I3145"/>
      <c r="J3145"/>
      <c r="K3145"/>
      <c r="L3145"/>
      <c r="M3145"/>
      <c r="N3145"/>
      <c r="O3145"/>
      <c r="P3145"/>
      <c r="Q3145"/>
      <c r="R3145"/>
      <c r="S3145"/>
    </row>
    <row r="3146" spans="1:19" ht="15" x14ac:dyDescent="0.2">
      <c r="A3146"/>
      <c r="B3146"/>
      <c r="C3146"/>
      <c r="D3146"/>
      <c r="E3146"/>
      <c r="F3146"/>
      <c r="G3146"/>
      <c r="H3146"/>
      <c r="I3146"/>
      <c r="J3146"/>
      <c r="K3146"/>
      <c r="L3146"/>
      <c r="M3146"/>
      <c r="N3146"/>
      <c r="O3146"/>
      <c r="P3146"/>
      <c r="Q3146"/>
      <c r="R3146"/>
      <c r="S3146"/>
    </row>
    <row r="3147" spans="1:19" ht="15" x14ac:dyDescent="0.2">
      <c r="A3147"/>
      <c r="B3147"/>
      <c r="C3147"/>
      <c r="D3147"/>
      <c r="E3147"/>
      <c r="F3147"/>
      <c r="G3147"/>
      <c r="H3147"/>
      <c r="I3147"/>
      <c r="J3147"/>
      <c r="K3147"/>
      <c r="L3147"/>
      <c r="M3147"/>
      <c r="N3147"/>
      <c r="O3147"/>
      <c r="P3147"/>
      <c r="Q3147"/>
      <c r="R3147"/>
      <c r="S3147"/>
    </row>
    <row r="3148" spans="1:19" ht="15" x14ac:dyDescent="0.2">
      <c r="A3148"/>
      <c r="B3148"/>
      <c r="C3148"/>
      <c r="D3148"/>
      <c r="E3148"/>
      <c r="F3148"/>
      <c r="G3148"/>
      <c r="H3148"/>
      <c r="I3148"/>
      <c r="J3148"/>
      <c r="K3148"/>
      <c r="L3148"/>
      <c r="M3148"/>
      <c r="N3148"/>
      <c r="O3148"/>
      <c r="P3148"/>
      <c r="Q3148"/>
      <c r="R3148"/>
      <c r="S3148"/>
    </row>
    <row r="3149" spans="1:19" ht="15" x14ac:dyDescent="0.2">
      <c r="A3149"/>
      <c r="B3149"/>
      <c r="C3149"/>
      <c r="D3149"/>
      <c r="E3149"/>
      <c r="F3149"/>
      <c r="G3149"/>
      <c r="H3149"/>
      <c r="I3149"/>
      <c r="J3149"/>
      <c r="K3149"/>
      <c r="L3149"/>
      <c r="M3149"/>
      <c r="N3149"/>
      <c r="O3149"/>
      <c r="P3149"/>
      <c r="Q3149"/>
      <c r="R3149"/>
      <c r="S3149"/>
    </row>
    <row r="3150" spans="1:19" ht="15" x14ac:dyDescent="0.2">
      <c r="A3150"/>
      <c r="B3150"/>
      <c r="C3150"/>
      <c r="D3150"/>
      <c r="E3150"/>
      <c r="F3150"/>
      <c r="G3150"/>
      <c r="H3150"/>
      <c r="I3150"/>
      <c r="J3150"/>
      <c r="K3150"/>
      <c r="L3150"/>
      <c r="M3150"/>
      <c r="N3150"/>
      <c r="O3150"/>
      <c r="P3150"/>
      <c r="Q3150"/>
      <c r="R3150"/>
      <c r="S3150"/>
    </row>
    <row r="3151" spans="1:19" ht="15" x14ac:dyDescent="0.2">
      <c r="A3151"/>
      <c r="B3151"/>
      <c r="C3151"/>
      <c r="D3151"/>
      <c r="E3151"/>
      <c r="F3151"/>
      <c r="G3151"/>
      <c r="H3151"/>
      <c r="I3151"/>
      <c r="J3151"/>
      <c r="K3151"/>
      <c r="L3151"/>
      <c r="M3151"/>
      <c r="N3151"/>
      <c r="O3151"/>
      <c r="P3151"/>
      <c r="Q3151"/>
      <c r="R3151"/>
      <c r="S3151"/>
    </row>
    <row r="3152" spans="1:19" ht="15" x14ac:dyDescent="0.2">
      <c r="A3152"/>
      <c r="B3152"/>
      <c r="C3152"/>
      <c r="D3152"/>
      <c r="E3152"/>
      <c r="F3152"/>
      <c r="G3152"/>
      <c r="H3152"/>
      <c r="I3152"/>
      <c r="J3152"/>
      <c r="K3152"/>
      <c r="L3152"/>
      <c r="M3152"/>
      <c r="N3152"/>
      <c r="O3152"/>
      <c r="P3152"/>
      <c r="Q3152"/>
      <c r="R3152"/>
      <c r="S3152"/>
    </row>
    <row r="3153" spans="1:19" ht="15" x14ac:dyDescent="0.2">
      <c r="A3153"/>
      <c r="B3153"/>
      <c r="C3153"/>
      <c r="D3153"/>
      <c r="E3153"/>
      <c r="F3153"/>
      <c r="G3153"/>
      <c r="H3153"/>
      <c r="I3153"/>
      <c r="J3153"/>
      <c r="K3153"/>
      <c r="L3153"/>
      <c r="M3153"/>
      <c r="N3153"/>
      <c r="O3153"/>
      <c r="P3153"/>
      <c r="Q3153"/>
      <c r="R3153"/>
      <c r="S3153"/>
    </row>
    <row r="3154" spans="1:19" ht="15" x14ac:dyDescent="0.2">
      <c r="A3154"/>
      <c r="B3154"/>
      <c r="C3154"/>
      <c r="D3154"/>
      <c r="E3154"/>
      <c r="F3154"/>
      <c r="G3154"/>
      <c r="H3154"/>
      <c r="I3154"/>
      <c r="J3154"/>
      <c r="K3154"/>
      <c r="L3154"/>
      <c r="M3154"/>
      <c r="N3154"/>
      <c r="O3154"/>
      <c r="P3154"/>
      <c r="Q3154"/>
      <c r="R3154"/>
      <c r="S3154"/>
    </row>
    <row r="3155" spans="1:19" ht="15" x14ac:dyDescent="0.2">
      <c r="A3155"/>
      <c r="B3155"/>
      <c r="C3155"/>
      <c r="D3155"/>
      <c r="E3155"/>
      <c r="F3155"/>
      <c r="G3155"/>
      <c r="H3155"/>
      <c r="I3155"/>
      <c r="J3155"/>
      <c r="K3155"/>
      <c r="L3155"/>
      <c r="M3155"/>
      <c r="N3155"/>
      <c r="O3155"/>
      <c r="P3155"/>
      <c r="Q3155"/>
      <c r="R3155"/>
      <c r="S3155"/>
    </row>
    <row r="3156" spans="1:19" ht="15" x14ac:dyDescent="0.2">
      <c r="A3156"/>
      <c r="B3156"/>
      <c r="C3156"/>
      <c r="D3156"/>
      <c r="E3156"/>
      <c r="F3156"/>
      <c r="G3156"/>
      <c r="H3156"/>
      <c r="I3156"/>
      <c r="J3156"/>
      <c r="K3156"/>
      <c r="L3156"/>
      <c r="M3156"/>
      <c r="N3156"/>
      <c r="O3156"/>
      <c r="P3156"/>
      <c r="Q3156"/>
      <c r="R3156"/>
      <c r="S3156"/>
    </row>
    <row r="3157" spans="1:19" ht="15" x14ac:dyDescent="0.2">
      <c r="A3157"/>
      <c r="B3157"/>
      <c r="C3157"/>
      <c r="D3157"/>
      <c r="E3157"/>
      <c r="F3157"/>
      <c r="G3157"/>
      <c r="H3157"/>
      <c r="I3157"/>
      <c r="J3157"/>
      <c r="K3157"/>
      <c r="L3157"/>
      <c r="M3157"/>
      <c r="N3157"/>
      <c r="O3157"/>
      <c r="P3157"/>
      <c r="Q3157"/>
      <c r="R3157"/>
      <c r="S3157"/>
    </row>
    <row r="3158" spans="1:19" ht="15" x14ac:dyDescent="0.2">
      <c r="A3158"/>
      <c r="B3158"/>
      <c r="C3158"/>
      <c r="D3158"/>
      <c r="E3158"/>
      <c r="F3158"/>
      <c r="G3158"/>
      <c r="H3158"/>
      <c r="I3158"/>
      <c r="J3158"/>
      <c r="K3158"/>
      <c r="L3158"/>
      <c r="M3158"/>
      <c r="N3158"/>
      <c r="O3158"/>
      <c r="P3158"/>
      <c r="Q3158"/>
      <c r="R3158"/>
      <c r="S3158"/>
    </row>
    <row r="3159" spans="1:19" ht="15" x14ac:dyDescent="0.2">
      <c r="A3159"/>
      <c r="B3159"/>
      <c r="C3159"/>
      <c r="D3159"/>
      <c r="E3159"/>
      <c r="F3159"/>
      <c r="G3159"/>
      <c r="H3159"/>
      <c r="I3159"/>
      <c r="J3159"/>
      <c r="K3159"/>
      <c r="L3159"/>
      <c r="M3159"/>
      <c r="N3159"/>
      <c r="O3159"/>
      <c r="P3159"/>
      <c r="Q3159"/>
      <c r="R3159"/>
      <c r="S3159"/>
    </row>
    <row r="3160" spans="1:19" ht="15" x14ac:dyDescent="0.2">
      <c r="A3160"/>
      <c r="B3160"/>
      <c r="C3160"/>
      <c r="D3160"/>
      <c r="E3160"/>
      <c r="F3160"/>
      <c r="G3160"/>
      <c r="H3160"/>
      <c r="I3160"/>
      <c r="J3160"/>
      <c r="K3160"/>
      <c r="L3160"/>
      <c r="M3160"/>
      <c r="N3160"/>
      <c r="O3160"/>
      <c r="P3160"/>
      <c r="Q3160"/>
      <c r="R3160"/>
      <c r="S3160"/>
    </row>
    <row r="3161" spans="1:19" ht="15" x14ac:dyDescent="0.2">
      <c r="A3161"/>
      <c r="B3161"/>
      <c r="C3161"/>
      <c r="D3161"/>
      <c r="E3161"/>
      <c r="F3161"/>
      <c r="G3161"/>
      <c r="H3161"/>
      <c r="I3161"/>
      <c r="J3161"/>
      <c r="K3161"/>
      <c r="L3161"/>
      <c r="M3161"/>
      <c r="N3161"/>
      <c r="O3161"/>
      <c r="P3161"/>
      <c r="Q3161"/>
      <c r="R3161"/>
      <c r="S3161"/>
    </row>
    <row r="3162" spans="1:19" ht="15" x14ac:dyDescent="0.2">
      <c r="A3162"/>
      <c r="B3162"/>
      <c r="C3162"/>
      <c r="D3162"/>
      <c r="E3162"/>
      <c r="F3162"/>
      <c r="G3162"/>
      <c r="H3162"/>
      <c r="I3162"/>
      <c r="J3162"/>
      <c r="K3162"/>
      <c r="L3162"/>
      <c r="M3162"/>
      <c r="N3162"/>
      <c r="O3162"/>
      <c r="P3162"/>
      <c r="Q3162"/>
      <c r="R3162"/>
      <c r="S3162"/>
    </row>
    <row r="3163" spans="1:19" ht="15" x14ac:dyDescent="0.2">
      <c r="A3163"/>
      <c r="B3163"/>
      <c r="C3163"/>
      <c r="D3163"/>
      <c r="E3163"/>
      <c r="F3163"/>
      <c r="G3163"/>
      <c r="H3163"/>
      <c r="I3163"/>
      <c r="J3163"/>
      <c r="K3163"/>
      <c r="L3163"/>
      <c r="M3163"/>
      <c r="N3163"/>
      <c r="O3163"/>
      <c r="P3163"/>
      <c r="Q3163"/>
      <c r="R3163"/>
      <c r="S3163"/>
    </row>
    <row r="3164" spans="1:19" ht="15" x14ac:dyDescent="0.2">
      <c r="A3164"/>
      <c r="B3164"/>
      <c r="C3164"/>
      <c r="D3164"/>
      <c r="E3164"/>
      <c r="F3164"/>
      <c r="G3164"/>
      <c r="H3164"/>
      <c r="I3164"/>
      <c r="J3164"/>
      <c r="K3164"/>
      <c r="L3164"/>
      <c r="M3164"/>
      <c r="N3164"/>
      <c r="O3164"/>
      <c r="P3164"/>
      <c r="Q3164"/>
      <c r="R3164"/>
      <c r="S3164"/>
    </row>
    <row r="3165" spans="1:19" ht="15" x14ac:dyDescent="0.2">
      <c r="A3165"/>
      <c r="B3165"/>
      <c r="C3165"/>
      <c r="D3165"/>
      <c r="E3165"/>
      <c r="F3165"/>
      <c r="G3165"/>
      <c r="H3165"/>
      <c r="I3165"/>
      <c r="J3165"/>
      <c r="K3165"/>
      <c r="L3165"/>
      <c r="M3165"/>
      <c r="N3165"/>
      <c r="O3165"/>
      <c r="P3165"/>
      <c r="Q3165"/>
      <c r="R3165"/>
      <c r="S3165"/>
    </row>
    <row r="3166" spans="1:19" ht="15" x14ac:dyDescent="0.2">
      <c r="A3166"/>
      <c r="B3166"/>
      <c r="C3166"/>
      <c r="D3166"/>
      <c r="E3166"/>
      <c r="F3166"/>
      <c r="G3166"/>
      <c r="H3166"/>
      <c r="I3166"/>
      <c r="J3166"/>
      <c r="K3166"/>
      <c r="L3166"/>
      <c r="M3166"/>
      <c r="N3166"/>
      <c r="O3166"/>
      <c r="P3166"/>
      <c r="Q3166"/>
      <c r="R3166"/>
      <c r="S3166"/>
    </row>
    <row r="3167" spans="1:19" ht="15" x14ac:dyDescent="0.2">
      <c r="A3167"/>
      <c r="B3167"/>
      <c r="C3167"/>
      <c r="D3167"/>
      <c r="E3167"/>
      <c r="F3167"/>
      <c r="G3167"/>
      <c r="H3167"/>
      <c r="I3167"/>
      <c r="J3167"/>
      <c r="K3167"/>
      <c r="L3167"/>
      <c r="M3167"/>
      <c r="N3167"/>
      <c r="O3167"/>
      <c r="P3167"/>
      <c r="Q3167"/>
      <c r="R3167"/>
      <c r="S3167"/>
    </row>
    <row r="3168" spans="1:19" ht="15" x14ac:dyDescent="0.2">
      <c r="A3168"/>
      <c r="B3168"/>
      <c r="C3168"/>
      <c r="D3168"/>
      <c r="E3168"/>
      <c r="F3168"/>
      <c r="G3168"/>
      <c r="H3168"/>
      <c r="I3168"/>
      <c r="J3168"/>
      <c r="K3168"/>
      <c r="L3168"/>
      <c r="M3168"/>
      <c r="N3168"/>
      <c r="O3168"/>
      <c r="P3168"/>
      <c r="Q3168"/>
      <c r="R3168"/>
      <c r="S3168"/>
    </row>
    <row r="3169" spans="1:19" ht="15" x14ac:dyDescent="0.2">
      <c r="A3169"/>
      <c r="B3169"/>
      <c r="C3169"/>
      <c r="D3169"/>
      <c r="E3169"/>
      <c r="F3169"/>
      <c r="G3169"/>
      <c r="H3169"/>
      <c r="I3169"/>
      <c r="J3169"/>
      <c r="K3169"/>
      <c r="L3169"/>
      <c r="M3169"/>
      <c r="N3169"/>
      <c r="O3169"/>
      <c r="P3169"/>
      <c r="Q3169"/>
      <c r="R3169"/>
      <c r="S3169"/>
    </row>
    <row r="3170" spans="1:19" ht="15" x14ac:dyDescent="0.2">
      <c r="A3170"/>
      <c r="B3170"/>
      <c r="C3170"/>
      <c r="D3170"/>
      <c r="E3170"/>
      <c r="F3170"/>
      <c r="G3170"/>
      <c r="H3170"/>
      <c r="I3170"/>
      <c r="J3170"/>
      <c r="K3170"/>
      <c r="L3170"/>
      <c r="M3170"/>
      <c r="N3170"/>
      <c r="O3170"/>
      <c r="P3170"/>
      <c r="Q3170"/>
      <c r="R3170"/>
      <c r="S3170"/>
    </row>
    <row r="3171" spans="1:19" ht="15" x14ac:dyDescent="0.2">
      <c r="A3171"/>
      <c r="B3171"/>
      <c r="C3171"/>
      <c r="D3171"/>
      <c r="E3171"/>
      <c r="F3171"/>
      <c r="G3171"/>
      <c r="H3171"/>
      <c r="I3171"/>
      <c r="J3171"/>
      <c r="K3171"/>
      <c r="L3171"/>
      <c r="M3171"/>
      <c r="N3171"/>
      <c r="O3171"/>
      <c r="P3171"/>
      <c r="Q3171"/>
      <c r="R3171"/>
      <c r="S3171"/>
    </row>
    <row r="3172" spans="1:19" ht="15" x14ac:dyDescent="0.2">
      <c r="A3172"/>
      <c r="B3172"/>
      <c r="C3172"/>
      <c r="D3172"/>
      <c r="E3172"/>
      <c r="F3172"/>
      <c r="G3172"/>
      <c r="H3172"/>
      <c r="I3172"/>
      <c r="J3172"/>
      <c r="K3172"/>
      <c r="L3172"/>
      <c r="M3172"/>
      <c r="N3172"/>
      <c r="O3172"/>
      <c r="P3172"/>
      <c r="Q3172"/>
      <c r="R3172"/>
      <c r="S3172"/>
    </row>
    <row r="3173" spans="1:19" ht="15" x14ac:dyDescent="0.2">
      <c r="A3173"/>
      <c r="B3173"/>
      <c r="C3173"/>
      <c r="D3173"/>
      <c r="E3173"/>
      <c r="F3173"/>
      <c r="G3173"/>
      <c r="H3173"/>
      <c r="I3173"/>
      <c r="J3173"/>
      <c r="K3173"/>
      <c r="L3173"/>
      <c r="M3173"/>
      <c r="N3173"/>
      <c r="O3173"/>
      <c r="P3173"/>
      <c r="Q3173"/>
      <c r="R3173"/>
      <c r="S3173"/>
    </row>
    <row r="3174" spans="1:19" ht="15" x14ac:dyDescent="0.2">
      <c r="A3174"/>
      <c r="B3174"/>
      <c r="C3174"/>
      <c r="D3174"/>
      <c r="E3174"/>
      <c r="F3174"/>
      <c r="G3174"/>
      <c r="H3174"/>
      <c r="I3174"/>
      <c r="J3174"/>
      <c r="K3174"/>
      <c r="L3174"/>
      <c r="M3174"/>
      <c r="N3174"/>
      <c r="O3174"/>
      <c r="P3174"/>
      <c r="Q3174"/>
      <c r="R3174"/>
      <c r="S3174"/>
    </row>
    <row r="3175" spans="1:19" ht="15" x14ac:dyDescent="0.2">
      <c r="A3175"/>
      <c r="B3175"/>
      <c r="C3175"/>
      <c r="D3175"/>
      <c r="E3175"/>
      <c r="F3175"/>
      <c r="G3175"/>
      <c r="H3175"/>
      <c r="I3175"/>
      <c r="J3175"/>
      <c r="K3175"/>
      <c r="L3175"/>
      <c r="M3175"/>
      <c r="N3175"/>
      <c r="O3175"/>
      <c r="P3175"/>
      <c r="Q3175"/>
      <c r="R3175"/>
      <c r="S3175"/>
    </row>
    <row r="3176" spans="1:19" ht="15" x14ac:dyDescent="0.2">
      <c r="A3176"/>
      <c r="B3176"/>
      <c r="C3176"/>
      <c r="D3176"/>
      <c r="E3176"/>
      <c r="F3176"/>
      <c r="G3176"/>
      <c r="H3176"/>
      <c r="I3176"/>
      <c r="J3176"/>
      <c r="K3176"/>
      <c r="L3176"/>
      <c r="M3176"/>
      <c r="N3176"/>
      <c r="O3176"/>
      <c r="P3176"/>
      <c r="Q3176"/>
      <c r="R3176"/>
      <c r="S3176"/>
    </row>
    <row r="3177" spans="1:19" ht="15" x14ac:dyDescent="0.2">
      <c r="A3177"/>
      <c r="B3177"/>
      <c r="C3177"/>
      <c r="D3177"/>
      <c r="E3177"/>
      <c r="F3177"/>
      <c r="G3177"/>
      <c r="H3177"/>
      <c r="I3177"/>
      <c r="J3177"/>
      <c r="K3177"/>
      <c r="L3177"/>
      <c r="M3177"/>
      <c r="N3177"/>
      <c r="O3177"/>
      <c r="P3177"/>
      <c r="Q3177"/>
      <c r="R3177"/>
      <c r="S3177"/>
    </row>
    <row r="3178" spans="1:19" ht="15" x14ac:dyDescent="0.2">
      <c r="A3178"/>
      <c r="B3178"/>
      <c r="C3178"/>
      <c r="D3178"/>
      <c r="E3178"/>
      <c r="F3178"/>
      <c r="G3178"/>
      <c r="H3178"/>
      <c r="I3178"/>
      <c r="J3178"/>
      <c r="K3178"/>
      <c r="L3178"/>
      <c r="M3178"/>
      <c r="N3178"/>
      <c r="O3178"/>
      <c r="P3178"/>
      <c r="Q3178"/>
      <c r="R3178"/>
      <c r="S3178"/>
    </row>
    <row r="3179" spans="1:19" ht="15" x14ac:dyDescent="0.2">
      <c r="A3179"/>
      <c r="B3179"/>
      <c r="C3179"/>
      <c r="D3179"/>
      <c r="E3179"/>
      <c r="F3179"/>
      <c r="G3179"/>
      <c r="H3179"/>
      <c r="I3179"/>
      <c r="J3179"/>
      <c r="K3179"/>
      <c r="L3179"/>
      <c r="M3179"/>
      <c r="N3179"/>
      <c r="O3179"/>
      <c r="P3179"/>
      <c r="Q3179"/>
      <c r="R3179"/>
      <c r="S3179"/>
    </row>
    <row r="3180" spans="1:19" ht="15" x14ac:dyDescent="0.2">
      <c r="A3180"/>
      <c r="B3180"/>
      <c r="C3180"/>
      <c r="D3180"/>
      <c r="E3180"/>
      <c r="F3180"/>
      <c r="G3180"/>
      <c r="H3180"/>
      <c r="I3180"/>
      <c r="J3180"/>
      <c r="K3180"/>
      <c r="L3180"/>
      <c r="M3180"/>
      <c r="N3180"/>
      <c r="O3180"/>
      <c r="P3180"/>
      <c r="Q3180"/>
      <c r="R3180"/>
      <c r="S3180"/>
    </row>
    <row r="3181" spans="1:19" ht="15" x14ac:dyDescent="0.2">
      <c r="A3181"/>
      <c r="B3181"/>
      <c r="C3181"/>
      <c r="D3181"/>
      <c r="E3181"/>
      <c r="F3181"/>
      <c r="G3181"/>
      <c r="H3181"/>
      <c r="I3181"/>
      <c r="J3181"/>
      <c r="K3181"/>
      <c r="L3181"/>
      <c r="M3181"/>
      <c r="N3181"/>
      <c r="O3181"/>
      <c r="P3181"/>
      <c r="Q3181"/>
      <c r="R3181"/>
      <c r="S3181"/>
    </row>
    <row r="3182" spans="1:19" ht="15" x14ac:dyDescent="0.2">
      <c r="A3182"/>
      <c r="B3182"/>
      <c r="C3182"/>
      <c r="D3182"/>
      <c r="E3182"/>
      <c r="F3182"/>
      <c r="G3182"/>
      <c r="H3182"/>
      <c r="I3182"/>
      <c r="J3182"/>
      <c r="K3182"/>
      <c r="L3182"/>
      <c r="M3182"/>
      <c r="N3182"/>
      <c r="O3182"/>
      <c r="P3182"/>
      <c r="Q3182"/>
      <c r="R3182"/>
      <c r="S3182"/>
    </row>
    <row r="3183" spans="1:19" ht="15" x14ac:dyDescent="0.2">
      <c r="A3183"/>
      <c r="B3183"/>
      <c r="C3183"/>
      <c r="D3183"/>
      <c r="E3183"/>
      <c r="F3183"/>
      <c r="G3183"/>
      <c r="H3183"/>
      <c r="I3183"/>
      <c r="J3183"/>
      <c r="K3183"/>
      <c r="L3183"/>
      <c r="M3183"/>
      <c r="N3183"/>
      <c r="O3183"/>
      <c r="P3183"/>
      <c r="Q3183"/>
      <c r="R3183"/>
      <c r="S3183"/>
    </row>
    <row r="3184" spans="1:19" ht="15" x14ac:dyDescent="0.2">
      <c r="A3184"/>
      <c r="B3184"/>
      <c r="C3184"/>
      <c r="D3184"/>
      <c r="E3184"/>
      <c r="F3184"/>
      <c r="G3184"/>
      <c r="H3184"/>
      <c r="I3184"/>
      <c r="J3184"/>
      <c r="K3184"/>
      <c r="L3184"/>
      <c r="M3184"/>
      <c r="N3184"/>
      <c r="O3184"/>
      <c r="P3184"/>
      <c r="Q3184"/>
      <c r="R3184"/>
      <c r="S3184"/>
    </row>
    <row r="3185" spans="1:19" ht="15" x14ac:dyDescent="0.2">
      <c r="A3185"/>
      <c r="B3185"/>
      <c r="C3185"/>
      <c r="D3185"/>
      <c r="E3185"/>
      <c r="F3185"/>
      <c r="G3185"/>
      <c r="H3185"/>
      <c r="I3185"/>
      <c r="J3185"/>
      <c r="K3185"/>
      <c r="L3185"/>
      <c r="M3185"/>
      <c r="N3185"/>
      <c r="O3185"/>
      <c r="P3185"/>
      <c r="Q3185"/>
      <c r="R3185"/>
      <c r="S3185"/>
    </row>
    <row r="3186" spans="1:19" ht="15" x14ac:dyDescent="0.2">
      <c r="A3186"/>
      <c r="B3186"/>
      <c r="C3186"/>
      <c r="D3186"/>
      <c r="E3186"/>
      <c r="F3186"/>
      <c r="G3186"/>
      <c r="H3186"/>
      <c r="I3186"/>
      <c r="J3186"/>
      <c r="K3186"/>
      <c r="L3186"/>
      <c r="M3186"/>
      <c r="N3186"/>
      <c r="O3186"/>
      <c r="P3186"/>
      <c r="Q3186"/>
      <c r="R3186"/>
      <c r="S3186"/>
    </row>
    <row r="3187" spans="1:19" ht="15" x14ac:dyDescent="0.2">
      <c r="A3187"/>
      <c r="B3187"/>
      <c r="C3187"/>
      <c r="D3187"/>
      <c r="E3187"/>
      <c r="F3187"/>
      <c r="G3187"/>
      <c r="H3187"/>
      <c r="I3187"/>
      <c r="J3187"/>
      <c r="K3187"/>
      <c r="L3187"/>
      <c r="M3187"/>
      <c r="N3187"/>
      <c r="O3187"/>
      <c r="P3187"/>
      <c r="Q3187"/>
      <c r="R3187"/>
      <c r="S3187"/>
    </row>
    <row r="3188" spans="1:19" ht="15" x14ac:dyDescent="0.2">
      <c r="A3188"/>
      <c r="B3188"/>
      <c r="C3188"/>
      <c r="D3188"/>
      <c r="E3188"/>
      <c r="F3188"/>
      <c r="G3188"/>
      <c r="H3188"/>
      <c r="I3188"/>
      <c r="J3188"/>
      <c r="K3188"/>
      <c r="L3188"/>
      <c r="M3188"/>
      <c r="N3188"/>
      <c r="O3188"/>
      <c r="P3188"/>
      <c r="Q3188"/>
      <c r="R3188"/>
      <c r="S3188"/>
    </row>
    <row r="3189" spans="1:19" ht="15" x14ac:dyDescent="0.2">
      <c r="A3189"/>
      <c r="B3189"/>
      <c r="C3189"/>
      <c r="D3189"/>
      <c r="E3189"/>
      <c r="F3189"/>
      <c r="G3189"/>
      <c r="H3189"/>
      <c r="I3189"/>
      <c r="J3189"/>
      <c r="K3189"/>
      <c r="L3189"/>
      <c r="M3189"/>
      <c r="N3189"/>
      <c r="O3189"/>
      <c r="P3189"/>
      <c r="Q3189"/>
      <c r="R3189"/>
      <c r="S3189"/>
    </row>
    <row r="3190" spans="1:19" ht="15" x14ac:dyDescent="0.2">
      <c r="A3190"/>
      <c r="B3190"/>
      <c r="C3190"/>
      <c r="D3190"/>
      <c r="E3190"/>
      <c r="F3190"/>
      <c r="G3190"/>
      <c r="H3190"/>
      <c r="I3190"/>
      <c r="J3190"/>
      <c r="K3190"/>
      <c r="L3190"/>
      <c r="M3190"/>
      <c r="N3190"/>
      <c r="O3190"/>
      <c r="P3190"/>
      <c r="Q3190"/>
      <c r="R3190"/>
      <c r="S3190"/>
    </row>
    <row r="3191" spans="1:19" ht="15" x14ac:dyDescent="0.2">
      <c r="A3191"/>
      <c r="B3191"/>
      <c r="C3191"/>
      <c r="D3191"/>
      <c r="E3191"/>
      <c r="F3191"/>
      <c r="G3191"/>
      <c r="H3191"/>
      <c r="I3191"/>
      <c r="J3191"/>
      <c r="K3191"/>
      <c r="L3191"/>
      <c r="M3191"/>
      <c r="N3191"/>
      <c r="O3191"/>
      <c r="P3191"/>
      <c r="Q3191"/>
      <c r="R3191"/>
      <c r="S3191"/>
    </row>
    <row r="3192" spans="1:19" ht="15" x14ac:dyDescent="0.2">
      <c r="A3192"/>
      <c r="B3192"/>
      <c r="C3192"/>
      <c r="D3192"/>
      <c r="E3192"/>
      <c r="F3192"/>
      <c r="G3192"/>
      <c r="H3192"/>
      <c r="I3192"/>
      <c r="J3192"/>
      <c r="K3192"/>
      <c r="L3192"/>
      <c r="M3192"/>
      <c r="N3192"/>
      <c r="O3192"/>
      <c r="P3192"/>
      <c r="Q3192"/>
      <c r="R3192"/>
      <c r="S3192"/>
    </row>
    <row r="3193" spans="1:19" ht="15" x14ac:dyDescent="0.2">
      <c r="A3193"/>
      <c r="B3193"/>
      <c r="C3193"/>
      <c r="D3193"/>
      <c r="E3193"/>
      <c r="F3193"/>
      <c r="G3193"/>
      <c r="H3193"/>
      <c r="I3193"/>
      <c r="J3193"/>
      <c r="K3193"/>
      <c r="L3193"/>
      <c r="M3193"/>
      <c r="N3193"/>
      <c r="O3193"/>
      <c r="P3193"/>
      <c r="Q3193"/>
      <c r="R3193"/>
      <c r="S3193"/>
    </row>
    <row r="3194" spans="1:19" ht="15" x14ac:dyDescent="0.2">
      <c r="A3194"/>
      <c r="B3194"/>
      <c r="C3194"/>
      <c r="D3194"/>
      <c r="E3194"/>
      <c r="F3194"/>
      <c r="G3194"/>
      <c r="H3194"/>
      <c r="I3194"/>
      <c r="J3194"/>
      <c r="K3194"/>
      <c r="L3194"/>
      <c r="M3194"/>
      <c r="N3194"/>
      <c r="O3194"/>
      <c r="P3194"/>
      <c r="Q3194"/>
      <c r="R3194"/>
      <c r="S3194"/>
    </row>
    <row r="3195" spans="1:19" ht="15" x14ac:dyDescent="0.2">
      <c r="A3195"/>
      <c r="B3195"/>
      <c r="C3195"/>
      <c r="D3195"/>
      <c r="E3195"/>
      <c r="F3195"/>
      <c r="G3195"/>
      <c r="H3195"/>
      <c r="I3195"/>
      <c r="J3195"/>
      <c r="K3195"/>
      <c r="L3195"/>
      <c r="M3195"/>
      <c r="N3195"/>
      <c r="O3195"/>
      <c r="P3195"/>
      <c r="Q3195"/>
      <c r="R3195"/>
      <c r="S3195"/>
    </row>
    <row r="3196" spans="1:19" ht="15" x14ac:dyDescent="0.2">
      <c r="A3196"/>
      <c r="B3196"/>
      <c r="C3196"/>
      <c r="D3196"/>
      <c r="E3196"/>
      <c r="F3196"/>
      <c r="G3196"/>
      <c r="H3196"/>
      <c r="I3196"/>
      <c r="J3196"/>
      <c r="K3196"/>
      <c r="L3196"/>
      <c r="M3196"/>
      <c r="N3196"/>
      <c r="O3196"/>
      <c r="P3196"/>
      <c r="Q3196"/>
      <c r="R3196"/>
      <c r="S3196"/>
    </row>
    <row r="3197" spans="1:19" ht="15" x14ac:dyDescent="0.2">
      <c r="A3197"/>
      <c r="B3197"/>
      <c r="C3197"/>
      <c r="D3197"/>
      <c r="E3197"/>
      <c r="F3197"/>
      <c r="G3197"/>
      <c r="H3197"/>
      <c r="I3197"/>
      <c r="J3197"/>
      <c r="K3197"/>
      <c r="L3197"/>
      <c r="M3197"/>
      <c r="N3197"/>
      <c r="O3197"/>
      <c r="P3197"/>
      <c r="Q3197"/>
      <c r="R3197"/>
      <c r="S3197"/>
    </row>
    <row r="3198" spans="1:19" ht="15" x14ac:dyDescent="0.2">
      <c r="A3198"/>
      <c r="B3198"/>
      <c r="C3198"/>
      <c r="D3198"/>
      <c r="E3198"/>
      <c r="F3198"/>
      <c r="G3198"/>
      <c r="H3198"/>
      <c r="I3198"/>
      <c r="J3198"/>
      <c r="K3198"/>
      <c r="L3198"/>
      <c r="M3198"/>
      <c r="N3198"/>
      <c r="O3198"/>
      <c r="P3198"/>
      <c r="Q3198"/>
      <c r="R3198"/>
      <c r="S3198"/>
    </row>
    <row r="3199" spans="1:19" ht="15" x14ac:dyDescent="0.2">
      <c r="A3199"/>
      <c r="B3199"/>
      <c r="C3199"/>
      <c r="D3199"/>
      <c r="E3199"/>
      <c r="F3199"/>
      <c r="G3199"/>
      <c r="H3199"/>
      <c r="I3199"/>
      <c r="J3199"/>
      <c r="K3199"/>
      <c r="L3199"/>
      <c r="M3199"/>
      <c r="N3199"/>
      <c r="O3199"/>
      <c r="P3199"/>
      <c r="Q3199"/>
      <c r="R3199"/>
      <c r="S3199"/>
    </row>
    <row r="3200" spans="1:19" ht="15" x14ac:dyDescent="0.2">
      <c r="A3200"/>
      <c r="B3200"/>
      <c r="C3200"/>
      <c r="D3200"/>
      <c r="E3200"/>
      <c r="F3200"/>
      <c r="G3200"/>
      <c r="H3200"/>
      <c r="I3200"/>
      <c r="J3200"/>
      <c r="K3200"/>
      <c r="L3200"/>
      <c r="M3200"/>
      <c r="N3200"/>
      <c r="O3200"/>
      <c r="P3200"/>
      <c r="Q3200"/>
      <c r="R3200"/>
      <c r="S3200"/>
    </row>
    <row r="3201" spans="1:19" ht="15" x14ac:dyDescent="0.2">
      <c r="A3201"/>
      <c r="B3201"/>
      <c r="C3201"/>
      <c r="D3201"/>
      <c r="E3201"/>
      <c r="F3201"/>
      <c r="G3201"/>
      <c r="H3201"/>
      <c r="I3201"/>
      <c r="J3201"/>
      <c r="K3201"/>
      <c r="L3201"/>
      <c r="M3201"/>
      <c r="N3201"/>
      <c r="O3201"/>
      <c r="P3201"/>
      <c r="Q3201"/>
      <c r="R3201"/>
      <c r="S3201"/>
    </row>
    <row r="3202" spans="1:19" ht="15" x14ac:dyDescent="0.2">
      <c r="A3202"/>
      <c r="B3202"/>
      <c r="C3202"/>
      <c r="D3202"/>
      <c r="E3202"/>
      <c r="F3202"/>
      <c r="G3202"/>
      <c r="H3202"/>
      <c r="I3202"/>
      <c r="J3202"/>
      <c r="K3202"/>
      <c r="L3202"/>
      <c r="M3202"/>
      <c r="N3202"/>
      <c r="O3202"/>
      <c r="P3202"/>
      <c r="Q3202"/>
      <c r="R3202"/>
      <c r="S3202"/>
    </row>
    <row r="3203" spans="1:19" ht="15" x14ac:dyDescent="0.2">
      <c r="A3203"/>
      <c r="B3203"/>
      <c r="C3203"/>
      <c r="D3203"/>
      <c r="E3203"/>
      <c r="F3203"/>
      <c r="G3203"/>
      <c r="H3203"/>
      <c r="I3203"/>
      <c r="J3203"/>
      <c r="K3203"/>
      <c r="L3203"/>
      <c r="M3203"/>
      <c r="N3203"/>
      <c r="O3203"/>
      <c r="P3203"/>
      <c r="Q3203"/>
      <c r="R3203"/>
      <c r="S3203"/>
    </row>
    <row r="3204" spans="1:19" ht="15" x14ac:dyDescent="0.2">
      <c r="A3204"/>
      <c r="B3204"/>
      <c r="C3204"/>
      <c r="D3204"/>
      <c r="E3204"/>
      <c r="F3204"/>
      <c r="G3204"/>
      <c r="H3204"/>
      <c r="I3204"/>
      <c r="J3204"/>
      <c r="K3204"/>
      <c r="L3204"/>
      <c r="M3204"/>
      <c r="N3204"/>
      <c r="O3204"/>
      <c r="P3204"/>
      <c r="Q3204"/>
      <c r="R3204"/>
      <c r="S3204"/>
    </row>
    <row r="3205" spans="1:19" ht="15" x14ac:dyDescent="0.2">
      <c r="A3205"/>
      <c r="B3205"/>
      <c r="C3205"/>
      <c r="D3205"/>
      <c r="E3205"/>
      <c r="F3205"/>
      <c r="G3205"/>
      <c r="H3205"/>
      <c r="I3205"/>
      <c r="J3205"/>
      <c r="K3205"/>
      <c r="L3205"/>
      <c r="M3205"/>
      <c r="N3205"/>
      <c r="O3205"/>
      <c r="P3205"/>
      <c r="Q3205"/>
      <c r="R3205"/>
      <c r="S3205"/>
    </row>
    <row r="3206" spans="1:19" ht="15" x14ac:dyDescent="0.2">
      <c r="A3206"/>
      <c r="B3206"/>
      <c r="C3206"/>
      <c r="D3206"/>
      <c r="E3206"/>
      <c r="F3206"/>
      <c r="G3206"/>
      <c r="H3206"/>
      <c r="I3206"/>
      <c r="J3206"/>
      <c r="K3206"/>
      <c r="L3206"/>
      <c r="M3206"/>
      <c r="N3206"/>
      <c r="O3206"/>
      <c r="P3206"/>
      <c r="Q3206"/>
      <c r="R3206"/>
      <c r="S3206"/>
    </row>
    <row r="3207" spans="1:19" ht="15" x14ac:dyDescent="0.2">
      <c r="A3207"/>
      <c r="B3207"/>
      <c r="C3207"/>
      <c r="D3207"/>
      <c r="E3207"/>
      <c r="F3207"/>
      <c r="G3207"/>
      <c r="H3207"/>
      <c r="I3207"/>
      <c r="J3207"/>
      <c r="K3207"/>
      <c r="L3207"/>
      <c r="M3207"/>
      <c r="N3207"/>
      <c r="O3207"/>
      <c r="P3207"/>
      <c r="Q3207"/>
      <c r="R3207"/>
      <c r="S3207"/>
    </row>
    <row r="3208" spans="1:19" ht="15" x14ac:dyDescent="0.2">
      <c r="A3208"/>
      <c r="B3208"/>
      <c r="C3208"/>
      <c r="D3208"/>
      <c r="E3208"/>
      <c r="F3208"/>
      <c r="G3208"/>
      <c r="H3208"/>
      <c r="I3208"/>
      <c r="J3208"/>
      <c r="K3208"/>
      <c r="L3208"/>
      <c r="M3208"/>
      <c r="N3208"/>
      <c r="O3208"/>
      <c r="P3208"/>
      <c r="Q3208"/>
      <c r="R3208"/>
      <c r="S3208"/>
    </row>
    <row r="3209" spans="1:19" ht="15" x14ac:dyDescent="0.2">
      <c r="A3209"/>
      <c r="B3209"/>
      <c r="C3209"/>
      <c r="D3209"/>
      <c r="E3209"/>
      <c r="F3209"/>
      <c r="G3209"/>
      <c r="H3209"/>
      <c r="I3209"/>
      <c r="J3209"/>
      <c r="K3209"/>
      <c r="L3209"/>
      <c r="M3209"/>
      <c r="N3209"/>
      <c r="O3209"/>
      <c r="P3209"/>
      <c r="Q3209"/>
      <c r="R3209"/>
      <c r="S3209"/>
    </row>
    <row r="3210" spans="1:19" ht="15" x14ac:dyDescent="0.2">
      <c r="A3210"/>
      <c r="B3210"/>
      <c r="C3210"/>
      <c r="D3210"/>
      <c r="E3210"/>
      <c r="F3210"/>
      <c r="G3210"/>
      <c r="H3210"/>
      <c r="I3210"/>
      <c r="J3210"/>
      <c r="K3210"/>
      <c r="L3210"/>
      <c r="M3210"/>
      <c r="N3210"/>
      <c r="O3210"/>
      <c r="P3210"/>
      <c r="Q3210"/>
      <c r="R3210"/>
      <c r="S3210"/>
    </row>
    <row r="3211" spans="1:19" ht="15" x14ac:dyDescent="0.2">
      <c r="A3211"/>
      <c r="B3211"/>
      <c r="C3211"/>
      <c r="D3211"/>
      <c r="E3211"/>
      <c r="F3211"/>
      <c r="G3211"/>
      <c r="H3211"/>
      <c r="I3211"/>
      <c r="J3211"/>
      <c r="K3211"/>
      <c r="L3211"/>
      <c r="M3211"/>
      <c r="N3211"/>
      <c r="O3211"/>
      <c r="P3211"/>
      <c r="Q3211"/>
      <c r="R3211"/>
      <c r="S3211"/>
    </row>
    <row r="3212" spans="1:19" ht="15" x14ac:dyDescent="0.2">
      <c r="A3212"/>
      <c r="B3212"/>
      <c r="C3212"/>
      <c r="D3212"/>
      <c r="E3212"/>
      <c r="F3212"/>
      <c r="G3212"/>
      <c r="H3212"/>
      <c r="I3212"/>
      <c r="J3212"/>
      <c r="K3212"/>
      <c r="L3212"/>
      <c r="M3212"/>
      <c r="N3212"/>
      <c r="O3212"/>
      <c r="P3212"/>
      <c r="Q3212"/>
      <c r="R3212"/>
      <c r="S3212"/>
    </row>
    <row r="3213" spans="1:19" ht="15" x14ac:dyDescent="0.2">
      <c r="A3213"/>
      <c r="B3213"/>
      <c r="C3213"/>
      <c r="D3213"/>
      <c r="E3213"/>
      <c r="F3213"/>
      <c r="G3213"/>
      <c r="H3213"/>
      <c r="I3213"/>
      <c r="J3213"/>
      <c r="K3213"/>
      <c r="L3213"/>
      <c r="M3213"/>
      <c r="N3213"/>
      <c r="O3213"/>
      <c r="P3213"/>
      <c r="Q3213"/>
      <c r="R3213"/>
      <c r="S3213"/>
    </row>
    <row r="3214" spans="1:19" ht="15" x14ac:dyDescent="0.2">
      <c r="A3214"/>
      <c r="B3214"/>
      <c r="C3214"/>
      <c r="D3214"/>
      <c r="E3214"/>
      <c r="F3214"/>
      <c r="G3214"/>
      <c r="H3214"/>
      <c r="I3214"/>
      <c r="J3214"/>
      <c r="K3214"/>
      <c r="L3214"/>
      <c r="M3214"/>
      <c r="N3214"/>
      <c r="O3214"/>
      <c r="P3214"/>
      <c r="Q3214"/>
      <c r="R3214"/>
      <c r="S3214"/>
    </row>
    <row r="3215" spans="1:19" ht="15" x14ac:dyDescent="0.2">
      <c r="A3215"/>
      <c r="B3215"/>
      <c r="C3215"/>
      <c r="D3215"/>
      <c r="E3215"/>
      <c r="F3215"/>
      <c r="G3215"/>
      <c r="H3215"/>
      <c r="I3215"/>
      <c r="J3215"/>
      <c r="K3215"/>
      <c r="L3215"/>
      <c r="M3215"/>
      <c r="N3215"/>
      <c r="O3215"/>
      <c r="P3215"/>
      <c r="Q3215"/>
      <c r="R3215"/>
      <c r="S3215"/>
    </row>
    <row r="3216" spans="1:19" ht="15" x14ac:dyDescent="0.2">
      <c r="A3216"/>
      <c r="B3216"/>
      <c r="C3216"/>
      <c r="D3216"/>
      <c r="E3216"/>
      <c r="F3216"/>
      <c r="G3216"/>
      <c r="H3216"/>
      <c r="I3216"/>
      <c r="J3216"/>
      <c r="K3216"/>
      <c r="L3216"/>
      <c r="M3216"/>
      <c r="N3216"/>
      <c r="O3216"/>
      <c r="P3216"/>
      <c r="Q3216"/>
      <c r="R3216"/>
      <c r="S3216"/>
    </row>
    <row r="3217" spans="1:19" ht="15" x14ac:dyDescent="0.2">
      <c r="A3217"/>
      <c r="B3217"/>
      <c r="C3217"/>
      <c r="D3217"/>
      <c r="E3217"/>
      <c r="F3217"/>
      <c r="G3217"/>
      <c r="H3217"/>
      <c r="I3217"/>
      <c r="J3217"/>
      <c r="K3217"/>
      <c r="L3217"/>
      <c r="M3217"/>
      <c r="N3217"/>
      <c r="O3217"/>
      <c r="P3217"/>
      <c r="Q3217"/>
      <c r="R3217"/>
      <c r="S3217"/>
    </row>
    <row r="3218" spans="1:19" ht="15" x14ac:dyDescent="0.2">
      <c r="A3218"/>
      <c r="B3218"/>
      <c r="C3218"/>
      <c r="D3218"/>
      <c r="E3218"/>
      <c r="F3218"/>
      <c r="G3218"/>
      <c r="H3218"/>
      <c r="I3218"/>
      <c r="J3218"/>
      <c r="K3218"/>
      <c r="L3218"/>
      <c r="M3218"/>
      <c r="N3218"/>
      <c r="O3218"/>
      <c r="P3218"/>
      <c r="Q3218"/>
      <c r="R3218"/>
      <c r="S3218"/>
    </row>
    <row r="3219" spans="1:19" ht="15" x14ac:dyDescent="0.2">
      <c r="A3219"/>
      <c r="B3219"/>
      <c r="C3219"/>
      <c r="D3219"/>
      <c r="E3219"/>
      <c r="F3219"/>
      <c r="G3219"/>
      <c r="H3219"/>
      <c r="I3219"/>
      <c r="J3219"/>
      <c r="K3219"/>
      <c r="L3219"/>
      <c r="M3219"/>
      <c r="N3219"/>
      <c r="O3219"/>
      <c r="P3219"/>
      <c r="Q3219"/>
      <c r="R3219"/>
      <c r="S3219"/>
    </row>
    <row r="3220" spans="1:19" ht="15" x14ac:dyDescent="0.2">
      <c r="A3220"/>
      <c r="B3220"/>
      <c r="C3220"/>
      <c r="D3220"/>
      <c r="E3220"/>
      <c r="F3220"/>
      <c r="G3220"/>
      <c r="H3220"/>
      <c r="I3220"/>
      <c r="J3220"/>
      <c r="K3220"/>
      <c r="L3220"/>
      <c r="M3220"/>
      <c r="N3220"/>
      <c r="O3220"/>
      <c r="P3220"/>
      <c r="Q3220"/>
      <c r="R3220"/>
      <c r="S3220"/>
    </row>
    <row r="3221" spans="1:19" ht="15" x14ac:dyDescent="0.2">
      <c r="A3221"/>
      <c r="B3221"/>
      <c r="C3221"/>
      <c r="D3221"/>
      <c r="E3221"/>
      <c r="F3221"/>
      <c r="G3221"/>
      <c r="H3221"/>
      <c r="I3221"/>
      <c r="J3221"/>
      <c r="K3221"/>
      <c r="L3221"/>
      <c r="M3221"/>
      <c r="N3221"/>
      <c r="O3221"/>
      <c r="P3221"/>
      <c r="Q3221"/>
      <c r="R3221"/>
      <c r="S3221"/>
    </row>
    <row r="3222" spans="1:19" ht="15" x14ac:dyDescent="0.2">
      <c r="A3222"/>
      <c r="B3222"/>
      <c r="C3222"/>
      <c r="D3222"/>
      <c r="E3222"/>
      <c r="F3222"/>
      <c r="G3222"/>
      <c r="H3222"/>
      <c r="I3222"/>
      <c r="J3222"/>
      <c r="K3222"/>
      <c r="L3222"/>
      <c r="M3222"/>
      <c r="N3222"/>
      <c r="O3222"/>
      <c r="P3222"/>
      <c r="Q3222"/>
      <c r="R3222"/>
      <c r="S3222"/>
    </row>
    <row r="3223" spans="1:19" ht="15" x14ac:dyDescent="0.2">
      <c r="A3223"/>
      <c r="B3223"/>
      <c r="C3223"/>
      <c r="D3223"/>
      <c r="E3223"/>
      <c r="F3223"/>
      <c r="G3223"/>
      <c r="H3223"/>
      <c r="I3223"/>
      <c r="J3223"/>
      <c r="K3223"/>
      <c r="L3223"/>
      <c r="M3223"/>
      <c r="N3223"/>
      <c r="O3223"/>
      <c r="P3223"/>
      <c r="Q3223"/>
      <c r="R3223"/>
      <c r="S3223"/>
    </row>
    <row r="3224" spans="1:19" ht="15" x14ac:dyDescent="0.2">
      <c r="A3224"/>
      <c r="B3224"/>
      <c r="C3224"/>
      <c r="D3224"/>
      <c r="E3224"/>
      <c r="F3224"/>
      <c r="G3224"/>
      <c r="H3224"/>
      <c r="I3224"/>
      <c r="J3224"/>
      <c r="K3224"/>
      <c r="L3224"/>
      <c r="M3224"/>
      <c r="N3224"/>
      <c r="O3224"/>
      <c r="P3224"/>
      <c r="Q3224"/>
      <c r="R3224"/>
      <c r="S3224"/>
    </row>
    <row r="3225" spans="1:19" ht="15" x14ac:dyDescent="0.2">
      <c r="A3225"/>
      <c r="B3225"/>
      <c r="C3225"/>
      <c r="D3225"/>
      <c r="E3225"/>
      <c r="F3225"/>
      <c r="G3225"/>
      <c r="H3225"/>
      <c r="I3225"/>
      <c r="J3225"/>
      <c r="K3225"/>
      <c r="L3225"/>
      <c r="M3225"/>
      <c r="N3225"/>
      <c r="O3225"/>
      <c r="P3225"/>
      <c r="Q3225"/>
      <c r="R3225"/>
      <c r="S3225"/>
    </row>
    <row r="3226" spans="1:19" ht="15" x14ac:dyDescent="0.2">
      <c r="A3226"/>
      <c r="B3226"/>
      <c r="C3226"/>
      <c r="D3226"/>
      <c r="E3226"/>
      <c r="F3226"/>
      <c r="G3226"/>
      <c r="H3226"/>
      <c r="I3226"/>
      <c r="J3226"/>
      <c r="K3226"/>
      <c r="L3226"/>
      <c r="M3226"/>
      <c r="N3226"/>
      <c r="O3226"/>
      <c r="P3226"/>
      <c r="Q3226"/>
      <c r="R3226"/>
      <c r="S3226"/>
    </row>
    <row r="3227" spans="1:19" ht="15" x14ac:dyDescent="0.2">
      <c r="A3227"/>
      <c r="B3227"/>
      <c r="C3227"/>
      <c r="D3227"/>
      <c r="E3227"/>
      <c r="F3227"/>
      <c r="G3227"/>
      <c r="H3227"/>
      <c r="I3227"/>
      <c r="J3227"/>
      <c r="K3227"/>
      <c r="L3227"/>
      <c r="M3227"/>
      <c r="N3227"/>
      <c r="O3227"/>
      <c r="P3227"/>
      <c r="Q3227"/>
      <c r="R3227"/>
      <c r="S3227"/>
    </row>
    <row r="3228" spans="1:19" ht="15" x14ac:dyDescent="0.2">
      <c r="A3228"/>
      <c r="B3228"/>
      <c r="C3228"/>
      <c r="D3228"/>
      <c r="E3228"/>
      <c r="F3228"/>
      <c r="G3228"/>
      <c r="H3228"/>
      <c r="I3228"/>
      <c r="J3228"/>
      <c r="K3228"/>
      <c r="L3228"/>
      <c r="M3228"/>
      <c r="N3228"/>
      <c r="O3228"/>
      <c r="P3228"/>
      <c r="Q3228"/>
      <c r="R3228"/>
      <c r="S3228"/>
    </row>
    <row r="3229" spans="1:19" ht="15" x14ac:dyDescent="0.2">
      <c r="A3229"/>
      <c r="B3229"/>
      <c r="C3229"/>
      <c r="D3229"/>
      <c r="E3229"/>
      <c r="F3229"/>
      <c r="G3229"/>
      <c r="H3229"/>
      <c r="I3229"/>
      <c r="J3229"/>
      <c r="K3229"/>
      <c r="L3229"/>
      <c r="M3229"/>
      <c r="N3229"/>
      <c r="O3229"/>
      <c r="P3229"/>
      <c r="Q3229"/>
      <c r="R3229"/>
      <c r="S3229"/>
    </row>
    <row r="3230" spans="1:19" ht="15" x14ac:dyDescent="0.2">
      <c r="A3230"/>
      <c r="B3230"/>
      <c r="C3230"/>
      <c r="D3230"/>
      <c r="E3230"/>
      <c r="F3230"/>
      <c r="G3230"/>
      <c r="H3230"/>
      <c r="I3230"/>
      <c r="J3230"/>
      <c r="K3230"/>
      <c r="L3230"/>
      <c r="M3230"/>
      <c r="N3230"/>
      <c r="O3230"/>
      <c r="P3230"/>
      <c r="Q3230"/>
      <c r="R3230"/>
      <c r="S3230"/>
    </row>
    <row r="3231" spans="1:19" ht="15" x14ac:dyDescent="0.2">
      <c r="A3231"/>
      <c r="B3231"/>
      <c r="C3231"/>
      <c r="D3231"/>
      <c r="E3231"/>
      <c r="F3231"/>
      <c r="G3231"/>
      <c r="H3231"/>
      <c r="I3231"/>
      <c r="J3231"/>
      <c r="K3231"/>
      <c r="L3231"/>
      <c r="M3231"/>
      <c r="N3231"/>
      <c r="O3231"/>
      <c r="P3231"/>
      <c r="Q3231"/>
      <c r="R3231"/>
      <c r="S3231"/>
    </row>
    <row r="3232" spans="1:19" ht="15" x14ac:dyDescent="0.2">
      <c r="A3232"/>
      <c r="B3232"/>
      <c r="C3232"/>
      <c r="D3232"/>
      <c r="E3232"/>
      <c r="F3232"/>
      <c r="G3232"/>
      <c r="H3232"/>
      <c r="I3232"/>
      <c r="J3232"/>
      <c r="K3232"/>
      <c r="L3232"/>
      <c r="M3232"/>
      <c r="N3232"/>
      <c r="O3232"/>
      <c r="P3232"/>
      <c r="Q3232"/>
      <c r="R3232"/>
      <c r="S3232"/>
    </row>
    <row r="3233" spans="1:19" ht="15" x14ac:dyDescent="0.2">
      <c r="A3233"/>
      <c r="B3233"/>
      <c r="C3233"/>
      <c r="D3233"/>
      <c r="E3233"/>
      <c r="F3233"/>
      <c r="G3233"/>
      <c r="H3233"/>
      <c r="I3233"/>
      <c r="J3233"/>
      <c r="K3233"/>
      <c r="L3233"/>
      <c r="M3233"/>
      <c r="N3233"/>
      <c r="O3233"/>
      <c r="P3233"/>
      <c r="Q3233"/>
      <c r="R3233"/>
      <c r="S3233"/>
    </row>
    <row r="3234" spans="1:19" ht="15" x14ac:dyDescent="0.2">
      <c r="A3234"/>
      <c r="B3234"/>
      <c r="C3234"/>
      <c r="D3234"/>
      <c r="E3234"/>
      <c r="F3234"/>
      <c r="G3234"/>
      <c r="H3234"/>
      <c r="I3234"/>
      <c r="J3234"/>
      <c r="K3234"/>
      <c r="L3234"/>
      <c r="M3234"/>
      <c r="N3234"/>
      <c r="O3234"/>
      <c r="P3234"/>
      <c r="Q3234"/>
      <c r="R3234"/>
      <c r="S3234"/>
    </row>
    <row r="3235" spans="1:19" ht="15" x14ac:dyDescent="0.2">
      <c r="A3235"/>
      <c r="B3235"/>
      <c r="C3235"/>
      <c r="D3235"/>
      <c r="E3235"/>
      <c r="F3235"/>
      <c r="G3235"/>
      <c r="H3235"/>
      <c r="I3235"/>
      <c r="J3235"/>
      <c r="K3235"/>
      <c r="L3235"/>
      <c r="M3235"/>
      <c r="N3235"/>
      <c r="O3235"/>
      <c r="P3235"/>
      <c r="Q3235"/>
      <c r="R3235"/>
      <c r="S3235"/>
    </row>
    <row r="3236" spans="1:19" ht="15" x14ac:dyDescent="0.2">
      <c r="A3236"/>
      <c r="B3236"/>
      <c r="C3236"/>
      <c r="D3236"/>
      <c r="E3236"/>
      <c r="F3236"/>
      <c r="G3236"/>
      <c r="H3236"/>
      <c r="I3236"/>
      <c r="J3236"/>
      <c r="K3236"/>
      <c r="L3236"/>
      <c r="M3236"/>
      <c r="N3236"/>
      <c r="O3236"/>
      <c r="P3236"/>
      <c r="Q3236"/>
      <c r="R3236"/>
      <c r="S3236"/>
    </row>
    <row r="3237" spans="1:19" ht="15" x14ac:dyDescent="0.2">
      <c r="A3237"/>
      <c r="B3237"/>
      <c r="C3237"/>
      <c r="D3237"/>
      <c r="E3237"/>
      <c r="F3237"/>
      <c r="G3237"/>
      <c r="H3237"/>
      <c r="I3237"/>
      <c r="J3237"/>
      <c r="K3237"/>
      <c r="L3237"/>
      <c r="M3237"/>
      <c r="N3237"/>
      <c r="O3237"/>
      <c r="P3237"/>
      <c r="Q3237"/>
      <c r="R3237"/>
      <c r="S3237"/>
    </row>
    <row r="3238" spans="1:19" ht="15" x14ac:dyDescent="0.2">
      <c r="A3238"/>
      <c r="B3238"/>
      <c r="C3238"/>
      <c r="D3238"/>
      <c r="E3238"/>
      <c r="F3238"/>
      <c r="G3238"/>
      <c r="H3238"/>
      <c r="I3238"/>
      <c r="J3238"/>
      <c r="K3238"/>
      <c r="L3238"/>
      <c r="M3238"/>
      <c r="N3238"/>
      <c r="O3238"/>
      <c r="P3238"/>
      <c r="Q3238"/>
      <c r="R3238"/>
      <c r="S3238"/>
    </row>
    <row r="3239" spans="1:19" ht="15" x14ac:dyDescent="0.2">
      <c r="A3239"/>
      <c r="B3239"/>
      <c r="C3239"/>
      <c r="D3239"/>
      <c r="E3239"/>
      <c r="F3239"/>
      <c r="G3239"/>
      <c r="H3239"/>
      <c r="I3239"/>
      <c r="J3239"/>
      <c r="K3239"/>
      <c r="L3239"/>
      <c r="M3239"/>
      <c r="N3239"/>
      <c r="O3239"/>
      <c r="P3239"/>
      <c r="Q3239"/>
      <c r="R3239"/>
      <c r="S3239"/>
    </row>
    <row r="3240" spans="1:19" ht="15" x14ac:dyDescent="0.2">
      <c r="A3240"/>
      <c r="B3240"/>
      <c r="C3240"/>
      <c r="D3240"/>
      <c r="E3240"/>
      <c r="F3240"/>
      <c r="G3240"/>
      <c r="H3240"/>
      <c r="I3240"/>
      <c r="J3240"/>
      <c r="K3240"/>
      <c r="L3240"/>
      <c r="M3240"/>
      <c r="N3240"/>
      <c r="O3240"/>
      <c r="P3240"/>
      <c r="Q3240"/>
      <c r="R3240"/>
      <c r="S3240"/>
    </row>
    <row r="3241" spans="1:19" ht="15" x14ac:dyDescent="0.2">
      <c r="A3241"/>
      <c r="B3241"/>
      <c r="C3241"/>
      <c r="D3241"/>
      <c r="E3241"/>
      <c r="F3241"/>
      <c r="G3241"/>
      <c r="H3241"/>
      <c r="I3241"/>
      <c r="J3241"/>
      <c r="K3241"/>
      <c r="L3241"/>
      <c r="M3241"/>
      <c r="N3241"/>
      <c r="O3241"/>
      <c r="P3241"/>
      <c r="Q3241"/>
      <c r="R3241"/>
      <c r="S3241"/>
    </row>
    <row r="3242" spans="1:19" ht="15" x14ac:dyDescent="0.2">
      <c r="A3242"/>
      <c r="B3242"/>
      <c r="C3242"/>
      <c r="D3242"/>
      <c r="E3242"/>
      <c r="F3242"/>
      <c r="G3242"/>
      <c r="H3242"/>
      <c r="I3242"/>
      <c r="J3242"/>
      <c r="K3242"/>
      <c r="L3242"/>
      <c r="M3242"/>
      <c r="N3242"/>
      <c r="O3242"/>
      <c r="P3242"/>
      <c r="Q3242"/>
      <c r="R3242"/>
      <c r="S3242"/>
    </row>
    <row r="3243" spans="1:19" ht="15" x14ac:dyDescent="0.2">
      <c r="A3243"/>
      <c r="B3243"/>
      <c r="C3243"/>
      <c r="D3243"/>
      <c r="E3243"/>
      <c r="F3243"/>
      <c r="G3243"/>
      <c r="H3243"/>
      <c r="I3243"/>
      <c r="J3243"/>
      <c r="K3243"/>
      <c r="L3243"/>
      <c r="M3243"/>
      <c r="N3243"/>
      <c r="O3243"/>
      <c r="P3243"/>
      <c r="Q3243"/>
      <c r="R3243"/>
      <c r="S3243"/>
    </row>
    <row r="3244" spans="1:19" ht="15" x14ac:dyDescent="0.2">
      <c r="A3244"/>
      <c r="B3244"/>
      <c r="C3244"/>
      <c r="D3244"/>
      <c r="E3244"/>
      <c r="F3244"/>
      <c r="G3244"/>
      <c r="H3244"/>
      <c r="I3244"/>
      <c r="J3244"/>
      <c r="K3244"/>
      <c r="L3244"/>
      <c r="M3244"/>
      <c r="N3244"/>
      <c r="O3244"/>
      <c r="P3244"/>
      <c r="Q3244"/>
      <c r="R3244"/>
      <c r="S3244"/>
    </row>
    <row r="3245" spans="1:19" ht="15" x14ac:dyDescent="0.2">
      <c r="A3245"/>
      <c r="B3245"/>
      <c r="C3245"/>
      <c r="D3245"/>
      <c r="E3245"/>
      <c r="F3245"/>
      <c r="G3245"/>
      <c r="H3245"/>
      <c r="I3245"/>
      <c r="J3245"/>
      <c r="K3245"/>
      <c r="L3245"/>
      <c r="M3245"/>
      <c r="N3245"/>
      <c r="O3245"/>
      <c r="P3245"/>
      <c r="Q3245"/>
      <c r="R3245"/>
      <c r="S3245"/>
    </row>
    <row r="3246" spans="1:19" ht="15" x14ac:dyDescent="0.2">
      <c r="A3246"/>
      <c r="B3246"/>
      <c r="C3246"/>
      <c r="D3246"/>
      <c r="E3246"/>
      <c r="F3246"/>
      <c r="G3246"/>
      <c r="H3246"/>
      <c r="I3246"/>
      <c r="J3246"/>
      <c r="K3246"/>
      <c r="L3246"/>
      <c r="M3246"/>
      <c r="N3246"/>
      <c r="O3246"/>
      <c r="P3246"/>
      <c r="Q3246"/>
      <c r="R3246"/>
      <c r="S3246"/>
    </row>
    <row r="3247" spans="1:19" ht="15" x14ac:dyDescent="0.2">
      <c r="A3247"/>
      <c r="B3247"/>
      <c r="C3247"/>
      <c r="D3247"/>
      <c r="E3247"/>
      <c r="F3247"/>
      <c r="G3247"/>
      <c r="H3247"/>
      <c r="I3247"/>
      <c r="J3247"/>
      <c r="K3247"/>
      <c r="L3247"/>
      <c r="M3247"/>
      <c r="N3247"/>
      <c r="O3247"/>
      <c r="P3247"/>
      <c r="Q3247"/>
      <c r="R3247"/>
      <c r="S3247"/>
    </row>
    <row r="3248" spans="1:19" ht="15" x14ac:dyDescent="0.2">
      <c r="A3248"/>
      <c r="B3248"/>
      <c r="C3248"/>
      <c r="D3248"/>
      <c r="E3248"/>
      <c r="F3248"/>
      <c r="G3248"/>
      <c r="H3248"/>
      <c r="I3248"/>
      <c r="J3248"/>
      <c r="K3248"/>
      <c r="L3248"/>
      <c r="M3248"/>
      <c r="N3248"/>
      <c r="O3248"/>
      <c r="P3248"/>
      <c r="Q3248"/>
      <c r="R3248"/>
      <c r="S3248"/>
    </row>
    <row r="3249" spans="1:19" ht="15" x14ac:dyDescent="0.2">
      <c r="A3249"/>
      <c r="B3249"/>
      <c r="C3249"/>
      <c r="D3249"/>
      <c r="E3249"/>
      <c r="F3249"/>
      <c r="G3249"/>
      <c r="H3249"/>
      <c r="I3249"/>
      <c r="J3249"/>
      <c r="K3249"/>
      <c r="L3249"/>
      <c r="M3249"/>
      <c r="N3249"/>
      <c r="O3249"/>
      <c r="P3249"/>
      <c r="Q3249"/>
      <c r="R3249"/>
      <c r="S3249"/>
    </row>
    <row r="3250" spans="1:19" ht="15" x14ac:dyDescent="0.2">
      <c r="A3250"/>
      <c r="B3250"/>
      <c r="C3250"/>
      <c r="D3250"/>
      <c r="E3250"/>
      <c r="F3250"/>
      <c r="G3250"/>
      <c r="H3250"/>
      <c r="I3250"/>
      <c r="J3250"/>
      <c r="K3250"/>
      <c r="L3250"/>
      <c r="M3250"/>
      <c r="N3250"/>
      <c r="O3250"/>
      <c r="P3250"/>
      <c r="Q3250"/>
      <c r="R3250"/>
      <c r="S3250"/>
    </row>
    <row r="3251" spans="1:19" ht="15" x14ac:dyDescent="0.2">
      <c r="A3251"/>
      <c r="B3251"/>
      <c r="C3251"/>
      <c r="D3251"/>
      <c r="E3251"/>
      <c r="F3251"/>
      <c r="G3251"/>
      <c r="H3251"/>
      <c r="I3251"/>
      <c r="J3251"/>
      <c r="K3251"/>
      <c r="L3251"/>
      <c r="M3251"/>
      <c r="N3251"/>
      <c r="O3251"/>
      <c r="P3251"/>
      <c r="Q3251"/>
      <c r="R3251"/>
      <c r="S3251"/>
    </row>
    <row r="3252" spans="1:19" ht="15" x14ac:dyDescent="0.2">
      <c r="A3252"/>
      <c r="B3252"/>
      <c r="C3252"/>
      <c r="D3252"/>
      <c r="E3252"/>
      <c r="F3252"/>
      <c r="G3252"/>
      <c r="H3252"/>
      <c r="I3252"/>
      <c r="J3252"/>
      <c r="K3252"/>
      <c r="L3252"/>
      <c r="M3252"/>
      <c r="N3252"/>
      <c r="O3252"/>
      <c r="P3252"/>
      <c r="Q3252"/>
      <c r="R3252"/>
      <c r="S3252"/>
    </row>
    <row r="3253" spans="1:19" ht="15" x14ac:dyDescent="0.2">
      <c r="A3253"/>
      <c r="B3253"/>
      <c r="C3253"/>
      <c r="D3253"/>
      <c r="E3253"/>
      <c r="F3253"/>
      <c r="G3253"/>
      <c r="H3253"/>
      <c r="I3253"/>
      <c r="J3253"/>
      <c r="K3253"/>
      <c r="L3253"/>
      <c r="M3253"/>
      <c r="N3253"/>
      <c r="O3253"/>
      <c r="P3253"/>
      <c r="Q3253"/>
      <c r="R3253"/>
      <c r="S3253"/>
    </row>
    <row r="3254" spans="1:19" ht="15" x14ac:dyDescent="0.2">
      <c r="A3254"/>
      <c r="B3254"/>
      <c r="C3254"/>
      <c r="D3254"/>
      <c r="E3254"/>
      <c r="F3254"/>
      <c r="G3254"/>
      <c r="H3254"/>
      <c r="I3254"/>
      <c r="J3254"/>
      <c r="K3254"/>
      <c r="L3254"/>
      <c r="M3254"/>
      <c r="N3254"/>
      <c r="O3254"/>
      <c r="P3254"/>
      <c r="Q3254"/>
      <c r="R3254"/>
      <c r="S3254"/>
    </row>
    <row r="3255" spans="1:19" ht="15" x14ac:dyDescent="0.2">
      <c r="A3255"/>
      <c r="B3255"/>
      <c r="C3255"/>
      <c r="D3255"/>
      <c r="E3255"/>
      <c r="F3255"/>
      <c r="G3255"/>
      <c r="H3255"/>
      <c r="I3255"/>
      <c r="J3255"/>
      <c r="K3255"/>
      <c r="L3255"/>
      <c r="M3255"/>
      <c r="N3255"/>
      <c r="O3255"/>
      <c r="P3255"/>
      <c r="Q3255"/>
      <c r="R3255"/>
      <c r="S3255"/>
    </row>
    <row r="3256" spans="1:19" ht="15" x14ac:dyDescent="0.2">
      <c r="A3256"/>
      <c r="B3256"/>
      <c r="C3256"/>
      <c r="D3256"/>
      <c r="E3256"/>
      <c r="F3256"/>
      <c r="G3256"/>
      <c r="H3256"/>
      <c r="I3256"/>
      <c r="J3256"/>
      <c r="K3256"/>
      <c r="L3256"/>
      <c r="M3256"/>
      <c r="N3256"/>
      <c r="O3256"/>
      <c r="P3256"/>
      <c r="Q3256"/>
      <c r="R3256"/>
      <c r="S3256"/>
    </row>
    <row r="3257" spans="1:19" ht="15" x14ac:dyDescent="0.2">
      <c r="A3257"/>
      <c r="B3257"/>
      <c r="C3257"/>
      <c r="D3257"/>
      <c r="E3257"/>
      <c r="F3257"/>
      <c r="G3257"/>
      <c r="H3257"/>
      <c r="I3257"/>
      <c r="J3257"/>
      <c r="K3257"/>
      <c r="L3257"/>
      <c r="M3257"/>
      <c r="N3257"/>
      <c r="O3257"/>
      <c r="P3257"/>
      <c r="Q3257"/>
      <c r="R3257"/>
      <c r="S3257"/>
    </row>
    <row r="3258" spans="1:19" ht="15" x14ac:dyDescent="0.2">
      <c r="A3258"/>
      <c r="B3258"/>
      <c r="C3258"/>
      <c r="D3258"/>
      <c r="E3258"/>
      <c r="F3258"/>
      <c r="G3258"/>
      <c r="H3258"/>
      <c r="I3258"/>
      <c r="J3258"/>
      <c r="K3258"/>
      <c r="L3258"/>
      <c r="M3258"/>
      <c r="N3258"/>
      <c r="O3258"/>
      <c r="P3258"/>
      <c r="Q3258"/>
      <c r="R3258"/>
      <c r="S3258"/>
    </row>
    <row r="3259" spans="1:19" ht="15" x14ac:dyDescent="0.2">
      <c r="A3259"/>
      <c r="B3259"/>
      <c r="C3259"/>
      <c r="D3259"/>
      <c r="E3259"/>
      <c r="F3259"/>
      <c r="G3259"/>
      <c r="H3259"/>
      <c r="I3259"/>
      <c r="J3259"/>
      <c r="K3259"/>
      <c r="L3259"/>
      <c r="M3259"/>
      <c r="N3259"/>
      <c r="O3259"/>
      <c r="P3259"/>
      <c r="Q3259"/>
      <c r="R3259"/>
      <c r="S3259"/>
    </row>
    <row r="3260" spans="1:19" ht="15" x14ac:dyDescent="0.2">
      <c r="A3260"/>
      <c r="B3260"/>
      <c r="C3260"/>
      <c r="D3260"/>
      <c r="E3260"/>
      <c r="F3260"/>
      <c r="G3260"/>
      <c r="H3260"/>
      <c r="I3260"/>
      <c r="J3260"/>
      <c r="K3260"/>
      <c r="L3260"/>
      <c r="M3260"/>
      <c r="N3260"/>
      <c r="O3260"/>
      <c r="P3260"/>
      <c r="Q3260"/>
      <c r="R3260"/>
      <c r="S3260"/>
    </row>
    <row r="3261" spans="1:19" ht="15" x14ac:dyDescent="0.2">
      <c r="A3261"/>
      <c r="B3261"/>
      <c r="C3261"/>
      <c r="D3261"/>
      <c r="E3261"/>
      <c r="F3261"/>
      <c r="G3261"/>
      <c r="H3261"/>
      <c r="I3261"/>
      <c r="J3261"/>
      <c r="K3261"/>
      <c r="L3261"/>
      <c r="M3261"/>
      <c r="N3261"/>
      <c r="O3261"/>
      <c r="P3261"/>
      <c r="Q3261"/>
      <c r="R3261"/>
      <c r="S3261"/>
    </row>
    <row r="3262" spans="1:19" ht="15" x14ac:dyDescent="0.2">
      <c r="A3262"/>
      <c r="B3262"/>
      <c r="C3262"/>
      <c r="D3262"/>
      <c r="E3262"/>
      <c r="F3262"/>
      <c r="G3262"/>
      <c r="H3262"/>
      <c r="I3262"/>
      <c r="J3262"/>
      <c r="K3262"/>
      <c r="L3262"/>
      <c r="M3262"/>
      <c r="N3262"/>
      <c r="O3262"/>
      <c r="P3262"/>
      <c r="Q3262"/>
      <c r="R3262"/>
      <c r="S3262"/>
    </row>
    <row r="3263" spans="1:19" ht="15" x14ac:dyDescent="0.2">
      <c r="A3263"/>
      <c r="B3263"/>
      <c r="C3263"/>
      <c r="D3263"/>
      <c r="E3263"/>
      <c r="F3263"/>
      <c r="G3263"/>
      <c r="H3263"/>
      <c r="I3263"/>
      <c r="J3263"/>
      <c r="K3263"/>
      <c r="L3263"/>
      <c r="M3263"/>
      <c r="N3263"/>
      <c r="O3263"/>
      <c r="P3263"/>
      <c r="Q3263"/>
      <c r="R3263"/>
      <c r="S3263"/>
    </row>
    <row r="3264" spans="1:19" ht="15" x14ac:dyDescent="0.2">
      <c r="A3264"/>
      <c r="B3264"/>
      <c r="C3264"/>
      <c r="D3264"/>
      <c r="E3264"/>
      <c r="F3264"/>
      <c r="G3264"/>
      <c r="H3264"/>
      <c r="I3264"/>
      <c r="J3264"/>
      <c r="K3264"/>
      <c r="L3264"/>
      <c r="M3264"/>
      <c r="N3264"/>
      <c r="O3264"/>
      <c r="P3264"/>
      <c r="Q3264"/>
      <c r="R3264"/>
      <c r="S3264"/>
    </row>
    <row r="3265" spans="1:19" ht="15" x14ac:dyDescent="0.2">
      <c r="A3265"/>
      <c r="B3265"/>
      <c r="C3265"/>
      <c r="D3265"/>
      <c r="E3265"/>
      <c r="F3265"/>
      <c r="G3265"/>
      <c r="H3265"/>
      <c r="I3265"/>
      <c r="J3265"/>
      <c r="K3265"/>
      <c r="L3265"/>
      <c r="M3265"/>
      <c r="N3265"/>
      <c r="O3265"/>
      <c r="P3265"/>
      <c r="Q3265"/>
      <c r="R3265"/>
      <c r="S3265"/>
    </row>
    <row r="3266" spans="1:19" ht="15" x14ac:dyDescent="0.2">
      <c r="A3266"/>
      <c r="B3266"/>
      <c r="C3266"/>
      <c r="D3266"/>
      <c r="E3266"/>
      <c r="F3266"/>
      <c r="G3266"/>
      <c r="H3266"/>
      <c r="I3266"/>
      <c r="J3266"/>
      <c r="K3266"/>
      <c r="L3266"/>
      <c r="M3266"/>
      <c r="N3266"/>
      <c r="O3266"/>
      <c r="P3266"/>
      <c r="Q3266"/>
      <c r="R3266"/>
      <c r="S3266"/>
    </row>
    <row r="3267" spans="1:19" ht="15" x14ac:dyDescent="0.2">
      <c r="A3267"/>
      <c r="B3267"/>
      <c r="C3267"/>
      <c r="D3267"/>
      <c r="E3267"/>
      <c r="F3267"/>
      <c r="G3267"/>
      <c r="H3267"/>
      <c r="I3267"/>
      <c r="J3267"/>
      <c r="K3267"/>
      <c r="L3267"/>
      <c r="M3267"/>
      <c r="N3267"/>
      <c r="O3267"/>
      <c r="P3267"/>
      <c r="Q3267"/>
      <c r="R3267"/>
      <c r="S3267"/>
    </row>
    <row r="3268" spans="1:19" ht="15" x14ac:dyDescent="0.2">
      <c r="A3268"/>
      <c r="B3268"/>
      <c r="C3268"/>
      <c r="D3268"/>
      <c r="E3268"/>
      <c r="F3268"/>
      <c r="G3268"/>
      <c r="H3268"/>
      <c r="I3268"/>
      <c r="J3268"/>
      <c r="K3268"/>
      <c r="L3268"/>
      <c r="M3268"/>
      <c r="N3268"/>
      <c r="O3268"/>
      <c r="P3268"/>
      <c r="Q3268"/>
      <c r="R3268"/>
      <c r="S3268"/>
    </row>
    <row r="3269" spans="1:19" ht="15" x14ac:dyDescent="0.2">
      <c r="A3269"/>
      <c r="B3269"/>
      <c r="C3269"/>
      <c r="D3269"/>
      <c r="E3269"/>
      <c r="F3269"/>
      <c r="G3269"/>
      <c r="H3269"/>
      <c r="I3269"/>
      <c r="J3269"/>
      <c r="K3269"/>
      <c r="L3269"/>
      <c r="M3269"/>
      <c r="N3269"/>
      <c r="O3269"/>
      <c r="P3269"/>
      <c r="Q3269"/>
      <c r="R3269"/>
      <c r="S3269"/>
    </row>
    <row r="3270" spans="1:19" ht="15" x14ac:dyDescent="0.2">
      <c r="A3270"/>
      <c r="B3270"/>
      <c r="C3270"/>
      <c r="D3270"/>
      <c r="E3270"/>
      <c r="F3270"/>
      <c r="G3270"/>
      <c r="H3270"/>
      <c r="I3270"/>
      <c r="J3270"/>
      <c r="K3270"/>
      <c r="L3270"/>
      <c r="M3270"/>
      <c r="N3270"/>
      <c r="O3270"/>
      <c r="P3270"/>
      <c r="Q3270"/>
      <c r="R3270"/>
      <c r="S3270"/>
    </row>
    <row r="3271" spans="1:19" ht="15" x14ac:dyDescent="0.2">
      <c r="A3271"/>
      <c r="B3271"/>
      <c r="C3271"/>
      <c r="D3271"/>
      <c r="E3271"/>
      <c r="F3271"/>
      <c r="G3271"/>
      <c r="H3271"/>
      <c r="I3271"/>
      <c r="J3271"/>
      <c r="K3271"/>
      <c r="L3271"/>
      <c r="M3271"/>
      <c r="N3271"/>
      <c r="O3271"/>
      <c r="P3271"/>
      <c r="Q3271"/>
      <c r="R3271"/>
      <c r="S3271"/>
    </row>
    <row r="3272" spans="1:19" ht="15" x14ac:dyDescent="0.2">
      <c r="A3272"/>
      <c r="B3272"/>
      <c r="C3272"/>
      <c r="D3272"/>
      <c r="E3272"/>
      <c r="F3272"/>
      <c r="G3272"/>
      <c r="H3272"/>
      <c r="I3272"/>
      <c r="J3272"/>
      <c r="K3272"/>
      <c r="L3272"/>
      <c r="M3272"/>
      <c r="N3272"/>
      <c r="O3272"/>
      <c r="P3272"/>
      <c r="Q3272"/>
      <c r="R3272"/>
      <c r="S3272"/>
    </row>
    <row r="3273" spans="1:19" ht="15" x14ac:dyDescent="0.2">
      <c r="A3273"/>
      <c r="B3273"/>
      <c r="C3273"/>
      <c r="D3273"/>
      <c r="E3273"/>
      <c r="F3273"/>
      <c r="G3273"/>
      <c r="H3273"/>
      <c r="I3273"/>
      <c r="J3273"/>
      <c r="K3273"/>
      <c r="L3273"/>
      <c r="M3273"/>
      <c r="N3273"/>
      <c r="O3273"/>
      <c r="P3273"/>
      <c r="Q3273"/>
      <c r="R3273"/>
      <c r="S3273"/>
    </row>
    <row r="3274" spans="1:19" ht="15" x14ac:dyDescent="0.2">
      <c r="A3274"/>
      <c r="B3274"/>
      <c r="C3274"/>
      <c r="D3274"/>
      <c r="E3274"/>
      <c r="F3274"/>
      <c r="G3274"/>
      <c r="H3274"/>
      <c r="I3274"/>
      <c r="J3274"/>
      <c r="K3274"/>
      <c r="L3274"/>
      <c r="M3274"/>
      <c r="N3274"/>
      <c r="O3274"/>
      <c r="P3274"/>
      <c r="Q3274"/>
      <c r="R3274"/>
      <c r="S3274"/>
    </row>
    <row r="3275" spans="1:19" ht="15" x14ac:dyDescent="0.2">
      <c r="A3275"/>
      <c r="B3275"/>
      <c r="C3275"/>
      <c r="D3275"/>
      <c r="E3275"/>
      <c r="F3275"/>
      <c r="G3275"/>
      <c r="H3275"/>
      <c r="I3275"/>
      <c r="J3275"/>
      <c r="K3275"/>
      <c r="L3275"/>
      <c r="M3275"/>
      <c r="N3275"/>
      <c r="O3275"/>
      <c r="P3275"/>
      <c r="Q3275"/>
      <c r="R3275"/>
      <c r="S3275"/>
    </row>
    <row r="3276" spans="1:19" ht="15" x14ac:dyDescent="0.2">
      <c r="A3276"/>
      <c r="B3276"/>
      <c r="C3276"/>
      <c r="D3276"/>
      <c r="E3276"/>
      <c r="F3276"/>
      <c r="G3276"/>
      <c r="H3276"/>
      <c r="I3276"/>
      <c r="J3276"/>
      <c r="K3276"/>
      <c r="L3276"/>
      <c r="M3276"/>
      <c r="N3276"/>
      <c r="O3276"/>
      <c r="P3276"/>
      <c r="Q3276"/>
      <c r="R3276"/>
      <c r="S3276"/>
    </row>
    <row r="3277" spans="1:19" ht="15" x14ac:dyDescent="0.2">
      <c r="A3277"/>
      <c r="B3277"/>
      <c r="C3277"/>
      <c r="D3277"/>
      <c r="E3277"/>
      <c r="F3277"/>
      <c r="G3277"/>
      <c r="H3277"/>
      <c r="I3277"/>
      <c r="J3277"/>
      <c r="K3277"/>
      <c r="L3277"/>
      <c r="M3277"/>
      <c r="N3277"/>
      <c r="O3277"/>
      <c r="P3277"/>
      <c r="Q3277"/>
      <c r="R3277"/>
      <c r="S3277"/>
    </row>
    <row r="3278" spans="1:19" ht="15" x14ac:dyDescent="0.2">
      <c r="A3278"/>
      <c r="B3278"/>
      <c r="C3278"/>
      <c r="D3278"/>
      <c r="E3278"/>
      <c r="F3278"/>
      <c r="G3278"/>
      <c r="H3278"/>
      <c r="I3278"/>
      <c r="J3278"/>
      <c r="K3278"/>
      <c r="L3278"/>
      <c r="M3278"/>
      <c r="N3278"/>
      <c r="O3278"/>
      <c r="P3278"/>
      <c r="Q3278"/>
      <c r="R3278"/>
      <c r="S3278"/>
    </row>
    <row r="3279" spans="1:19" ht="15" x14ac:dyDescent="0.2">
      <c r="A3279"/>
      <c r="B3279"/>
      <c r="C3279"/>
      <c r="D3279"/>
      <c r="E3279"/>
      <c r="F3279"/>
      <c r="G3279"/>
      <c r="H3279"/>
      <c r="I3279"/>
      <c r="J3279"/>
      <c r="K3279"/>
      <c r="L3279"/>
      <c r="M3279"/>
      <c r="N3279"/>
      <c r="O3279"/>
      <c r="P3279"/>
      <c r="Q3279"/>
      <c r="R3279"/>
      <c r="S3279"/>
    </row>
    <row r="3280" spans="1:19" ht="15" x14ac:dyDescent="0.2">
      <c r="A3280"/>
      <c r="B3280"/>
      <c r="C3280"/>
      <c r="D3280"/>
      <c r="E3280"/>
      <c r="F3280"/>
      <c r="G3280"/>
      <c r="H3280"/>
      <c r="I3280"/>
      <c r="J3280"/>
      <c r="K3280"/>
      <c r="L3280"/>
      <c r="M3280"/>
      <c r="N3280"/>
      <c r="O3280"/>
      <c r="P3280"/>
      <c r="Q3280"/>
      <c r="R3280"/>
      <c r="S3280"/>
    </row>
    <row r="3281" spans="1:19" ht="15" x14ac:dyDescent="0.2">
      <c r="A3281"/>
      <c r="B3281"/>
      <c r="C3281"/>
      <c r="D3281"/>
      <c r="E3281"/>
      <c r="F3281"/>
      <c r="G3281"/>
      <c r="H3281"/>
      <c r="I3281"/>
      <c r="J3281"/>
      <c r="K3281"/>
      <c r="L3281"/>
      <c r="M3281"/>
      <c r="N3281"/>
      <c r="O3281"/>
      <c r="P3281"/>
      <c r="Q3281"/>
      <c r="R3281"/>
      <c r="S3281"/>
    </row>
    <row r="3282" spans="1:19" ht="15" x14ac:dyDescent="0.2">
      <c r="A3282"/>
      <c r="B3282"/>
      <c r="C3282"/>
      <c r="D3282"/>
      <c r="E3282"/>
      <c r="F3282"/>
      <c r="G3282"/>
      <c r="H3282"/>
      <c r="I3282"/>
      <c r="J3282"/>
      <c r="K3282"/>
      <c r="L3282"/>
      <c r="M3282"/>
      <c r="N3282"/>
      <c r="O3282"/>
      <c r="P3282"/>
      <c r="Q3282"/>
      <c r="R3282"/>
      <c r="S3282"/>
    </row>
    <row r="3283" spans="1:19" ht="15" x14ac:dyDescent="0.2">
      <c r="A3283"/>
      <c r="B3283"/>
      <c r="C3283"/>
      <c r="D3283"/>
      <c r="E3283"/>
      <c r="F3283"/>
      <c r="G3283"/>
      <c r="H3283"/>
      <c r="I3283"/>
      <c r="J3283"/>
      <c r="K3283"/>
      <c r="L3283"/>
      <c r="M3283"/>
      <c r="N3283"/>
      <c r="O3283"/>
      <c r="P3283"/>
      <c r="Q3283"/>
      <c r="R3283"/>
      <c r="S3283"/>
    </row>
    <row r="3284" spans="1:19" ht="15" x14ac:dyDescent="0.2">
      <c r="A3284"/>
      <c r="B3284"/>
      <c r="C3284"/>
      <c r="D3284"/>
      <c r="E3284"/>
      <c r="F3284"/>
      <c r="G3284"/>
      <c r="H3284"/>
      <c r="I3284"/>
      <c r="J3284"/>
      <c r="K3284"/>
      <c r="L3284"/>
      <c r="M3284"/>
      <c r="N3284"/>
      <c r="O3284"/>
      <c r="P3284"/>
      <c r="Q3284"/>
      <c r="R3284"/>
      <c r="S3284"/>
    </row>
    <row r="3285" spans="1:19" ht="15" x14ac:dyDescent="0.2">
      <c r="A3285"/>
      <c r="B3285"/>
      <c r="C3285"/>
      <c r="D3285"/>
      <c r="E3285"/>
      <c r="F3285"/>
      <c r="G3285"/>
      <c r="H3285"/>
      <c r="I3285"/>
      <c r="J3285"/>
      <c r="K3285"/>
      <c r="L3285"/>
      <c r="M3285"/>
      <c r="N3285"/>
      <c r="O3285"/>
      <c r="P3285"/>
      <c r="Q3285"/>
      <c r="R3285"/>
      <c r="S3285"/>
    </row>
    <row r="3286" spans="1:19" ht="15" x14ac:dyDescent="0.2">
      <c r="A3286"/>
      <c r="B3286"/>
      <c r="C3286"/>
      <c r="D3286"/>
      <c r="E3286"/>
      <c r="F3286"/>
      <c r="G3286"/>
      <c r="H3286"/>
      <c r="I3286"/>
      <c r="J3286"/>
      <c r="K3286"/>
      <c r="L3286"/>
      <c r="M3286"/>
      <c r="N3286"/>
      <c r="O3286"/>
      <c r="P3286"/>
      <c r="Q3286"/>
      <c r="R3286"/>
      <c r="S3286"/>
    </row>
    <row r="3287" spans="1:19" ht="15" x14ac:dyDescent="0.2">
      <c r="A3287"/>
      <c r="B3287"/>
      <c r="C3287"/>
      <c r="D3287"/>
      <c r="E3287"/>
      <c r="F3287"/>
      <c r="G3287"/>
      <c r="H3287"/>
      <c r="I3287"/>
      <c r="J3287"/>
      <c r="K3287"/>
      <c r="L3287"/>
      <c r="M3287"/>
      <c r="N3287"/>
      <c r="O3287"/>
      <c r="P3287"/>
      <c r="Q3287"/>
      <c r="R3287"/>
      <c r="S3287"/>
    </row>
    <row r="3288" spans="1:19" ht="15" x14ac:dyDescent="0.2">
      <c r="A3288"/>
      <c r="B3288"/>
      <c r="C3288"/>
      <c r="D3288"/>
      <c r="E3288"/>
      <c r="F3288"/>
      <c r="G3288"/>
      <c r="H3288"/>
      <c r="I3288"/>
      <c r="J3288"/>
      <c r="K3288"/>
      <c r="L3288"/>
      <c r="M3288"/>
      <c r="N3288"/>
      <c r="O3288"/>
      <c r="P3288"/>
      <c r="Q3288"/>
      <c r="R3288"/>
      <c r="S3288"/>
    </row>
    <row r="3289" spans="1:19" ht="15" x14ac:dyDescent="0.2">
      <c r="A3289"/>
      <c r="B3289"/>
      <c r="C3289"/>
      <c r="D3289"/>
      <c r="E3289"/>
      <c r="F3289"/>
      <c r="G3289"/>
      <c r="H3289"/>
      <c r="I3289"/>
      <c r="J3289"/>
      <c r="K3289"/>
      <c r="L3289"/>
      <c r="M3289"/>
      <c r="N3289"/>
      <c r="O3289"/>
      <c r="P3289"/>
      <c r="Q3289"/>
      <c r="R3289"/>
      <c r="S3289"/>
    </row>
    <row r="3290" spans="1:19" ht="15" x14ac:dyDescent="0.2">
      <c r="A3290"/>
      <c r="B3290"/>
      <c r="C3290"/>
      <c r="D3290"/>
      <c r="E3290"/>
      <c r="F3290"/>
      <c r="G3290"/>
      <c r="H3290"/>
      <c r="I3290"/>
      <c r="J3290"/>
      <c r="K3290"/>
      <c r="L3290"/>
      <c r="M3290"/>
      <c r="N3290"/>
      <c r="O3290"/>
      <c r="P3290"/>
      <c r="Q3290"/>
      <c r="R3290"/>
      <c r="S3290"/>
    </row>
    <row r="3291" spans="1:19" ht="15" x14ac:dyDescent="0.2">
      <c r="A3291"/>
      <c r="B3291"/>
      <c r="C3291"/>
      <c r="D3291"/>
      <c r="E3291"/>
      <c r="F3291"/>
      <c r="G3291"/>
      <c r="H3291"/>
      <c r="I3291"/>
      <c r="J3291"/>
      <c r="K3291"/>
      <c r="L3291"/>
      <c r="M3291"/>
      <c r="N3291"/>
      <c r="O3291"/>
      <c r="P3291"/>
      <c r="Q3291"/>
      <c r="R3291"/>
      <c r="S3291"/>
    </row>
    <row r="3292" spans="1:19" ht="15" x14ac:dyDescent="0.2">
      <c r="A3292"/>
      <c r="B3292"/>
      <c r="C3292"/>
      <c r="D3292"/>
      <c r="E3292"/>
      <c r="F3292"/>
      <c r="G3292"/>
      <c r="H3292"/>
      <c r="I3292"/>
      <c r="J3292"/>
      <c r="K3292"/>
      <c r="L3292"/>
      <c r="M3292"/>
      <c r="N3292"/>
      <c r="O3292"/>
      <c r="P3292"/>
      <c r="Q3292"/>
      <c r="R3292"/>
      <c r="S3292"/>
    </row>
    <row r="3293" spans="1:19" ht="15" x14ac:dyDescent="0.2">
      <c r="A3293"/>
      <c r="B3293"/>
      <c r="C3293"/>
      <c r="D3293"/>
      <c r="E3293"/>
      <c r="F3293"/>
      <c r="G3293"/>
      <c r="H3293"/>
      <c r="I3293"/>
      <c r="J3293"/>
      <c r="K3293"/>
      <c r="L3293"/>
      <c r="M3293"/>
      <c r="N3293"/>
      <c r="O3293"/>
      <c r="P3293"/>
      <c r="Q3293"/>
      <c r="R3293"/>
      <c r="S3293"/>
    </row>
    <row r="3294" spans="1:19" ht="15" x14ac:dyDescent="0.2">
      <c r="A3294"/>
      <c r="B3294"/>
      <c r="C3294"/>
      <c r="D3294"/>
      <c r="E3294"/>
      <c r="F3294"/>
      <c r="G3294"/>
      <c r="H3294"/>
      <c r="I3294"/>
      <c r="J3294"/>
      <c r="K3294"/>
      <c r="L3294"/>
      <c r="M3294"/>
      <c r="N3294"/>
      <c r="O3294"/>
      <c r="P3294"/>
      <c r="Q3294"/>
      <c r="R3294"/>
      <c r="S3294"/>
    </row>
    <row r="3295" spans="1:19" ht="15" x14ac:dyDescent="0.2">
      <c r="A3295"/>
      <c r="B3295"/>
      <c r="C3295"/>
      <c r="D3295"/>
      <c r="E3295"/>
      <c r="F3295"/>
      <c r="G3295"/>
      <c r="H3295"/>
      <c r="I3295"/>
      <c r="J3295"/>
      <c r="K3295"/>
      <c r="L3295"/>
      <c r="M3295"/>
      <c r="N3295"/>
      <c r="O3295"/>
      <c r="P3295"/>
      <c r="Q3295"/>
      <c r="R3295"/>
      <c r="S3295"/>
    </row>
    <row r="3296" spans="1:19" ht="15" x14ac:dyDescent="0.2">
      <c r="A3296"/>
      <c r="B3296"/>
      <c r="C3296"/>
      <c r="D3296"/>
      <c r="E3296"/>
      <c r="F3296"/>
      <c r="G3296"/>
      <c r="H3296"/>
      <c r="I3296"/>
      <c r="J3296"/>
      <c r="K3296"/>
      <c r="L3296"/>
      <c r="M3296"/>
      <c r="N3296"/>
      <c r="O3296"/>
      <c r="P3296"/>
      <c r="Q3296"/>
      <c r="R3296"/>
      <c r="S3296"/>
    </row>
    <row r="3297" spans="1:19" ht="15" x14ac:dyDescent="0.2">
      <c r="A3297"/>
      <c r="B3297"/>
      <c r="C3297"/>
      <c r="D3297"/>
      <c r="E3297"/>
      <c r="F3297"/>
      <c r="G3297"/>
      <c r="H3297"/>
      <c r="I3297"/>
      <c r="J3297"/>
      <c r="K3297"/>
      <c r="L3297"/>
      <c r="M3297"/>
      <c r="N3297"/>
      <c r="O3297"/>
      <c r="P3297"/>
      <c r="Q3297"/>
      <c r="R3297"/>
      <c r="S3297"/>
    </row>
    <row r="3298" spans="1:19" ht="15" x14ac:dyDescent="0.2">
      <c r="A3298"/>
      <c r="B3298"/>
      <c r="C3298"/>
      <c r="D3298"/>
      <c r="E3298"/>
      <c r="F3298"/>
      <c r="G3298"/>
      <c r="H3298"/>
      <c r="I3298"/>
      <c r="J3298"/>
      <c r="K3298"/>
      <c r="L3298"/>
      <c r="M3298"/>
      <c r="N3298"/>
      <c r="O3298"/>
      <c r="P3298"/>
      <c r="Q3298"/>
      <c r="R3298"/>
      <c r="S3298"/>
    </row>
    <row r="3299" spans="1:19" ht="15" x14ac:dyDescent="0.2">
      <c r="A3299"/>
      <c r="B3299"/>
      <c r="C3299"/>
      <c r="D3299"/>
      <c r="E3299"/>
      <c r="F3299"/>
      <c r="G3299"/>
      <c r="H3299"/>
      <c r="I3299"/>
      <c r="J3299"/>
      <c r="K3299"/>
      <c r="L3299"/>
      <c r="M3299"/>
      <c r="N3299"/>
      <c r="O3299"/>
      <c r="P3299"/>
      <c r="Q3299"/>
      <c r="R3299"/>
      <c r="S3299"/>
    </row>
    <row r="3300" spans="1:19" ht="15" x14ac:dyDescent="0.2">
      <c r="A3300"/>
      <c r="B3300"/>
      <c r="C3300"/>
      <c r="D3300"/>
      <c r="E3300"/>
      <c r="F3300"/>
      <c r="G3300"/>
      <c r="H3300"/>
      <c r="I3300"/>
      <c r="J3300"/>
      <c r="K3300"/>
      <c r="L3300"/>
      <c r="M3300"/>
      <c r="N3300"/>
      <c r="O3300"/>
      <c r="P3300"/>
      <c r="Q3300"/>
      <c r="R3300"/>
      <c r="S3300"/>
    </row>
    <row r="3301" spans="1:19" ht="15" x14ac:dyDescent="0.2">
      <c r="A3301"/>
      <c r="B3301"/>
      <c r="C3301"/>
      <c r="D3301"/>
      <c r="E3301"/>
      <c r="F3301"/>
      <c r="G3301"/>
      <c r="H3301"/>
      <c r="I3301"/>
      <c r="J3301"/>
      <c r="K3301"/>
      <c r="L3301"/>
      <c r="M3301"/>
      <c r="N3301"/>
      <c r="O3301"/>
      <c r="P3301"/>
      <c r="Q3301"/>
      <c r="R3301"/>
      <c r="S3301"/>
    </row>
    <row r="3302" spans="1:19" ht="15" x14ac:dyDescent="0.2">
      <c r="A3302"/>
      <c r="B3302"/>
      <c r="C3302"/>
      <c r="D3302"/>
      <c r="E3302"/>
      <c r="F3302"/>
      <c r="G3302"/>
      <c r="H3302"/>
      <c r="I3302"/>
      <c r="J3302"/>
      <c r="K3302"/>
      <c r="L3302"/>
      <c r="M3302"/>
      <c r="N3302"/>
      <c r="O3302"/>
      <c r="P3302"/>
      <c r="Q3302"/>
      <c r="R3302"/>
      <c r="S3302"/>
    </row>
    <row r="3303" spans="1:19" ht="15" x14ac:dyDescent="0.2">
      <c r="A3303"/>
      <c r="B3303"/>
      <c r="C3303"/>
      <c r="D3303"/>
      <c r="E3303"/>
      <c r="F3303"/>
      <c r="G3303"/>
      <c r="H3303"/>
      <c r="I3303"/>
      <c r="J3303"/>
      <c r="K3303"/>
      <c r="L3303"/>
      <c r="M3303"/>
      <c r="N3303"/>
      <c r="O3303"/>
      <c r="P3303"/>
      <c r="Q3303"/>
      <c r="R3303"/>
      <c r="S3303"/>
    </row>
    <row r="3304" spans="1:19" ht="15" x14ac:dyDescent="0.2">
      <c r="A3304"/>
      <c r="B3304"/>
      <c r="C3304"/>
      <c r="D3304"/>
      <c r="E3304"/>
      <c r="F3304"/>
      <c r="G3304"/>
      <c r="H3304"/>
      <c r="I3304"/>
      <c r="J3304"/>
      <c r="K3304"/>
      <c r="L3304"/>
      <c r="M3304"/>
      <c r="N3304"/>
      <c r="O3304"/>
      <c r="P3304"/>
      <c r="Q3304"/>
      <c r="R3304"/>
      <c r="S3304"/>
    </row>
    <row r="3305" spans="1:19" ht="15" x14ac:dyDescent="0.2">
      <c r="A3305"/>
      <c r="B3305"/>
      <c r="C3305"/>
      <c r="D3305"/>
      <c r="E3305"/>
      <c r="F3305"/>
      <c r="G3305"/>
      <c r="H3305"/>
      <c r="I3305"/>
      <c r="J3305"/>
      <c r="K3305"/>
      <c r="L3305"/>
      <c r="M3305"/>
      <c r="N3305"/>
      <c r="O3305"/>
      <c r="P3305"/>
      <c r="Q3305"/>
      <c r="R3305"/>
      <c r="S3305"/>
    </row>
    <row r="3306" spans="1:19" ht="15" x14ac:dyDescent="0.2">
      <c r="A3306"/>
      <c r="B3306"/>
      <c r="C3306"/>
      <c r="D3306"/>
      <c r="E3306"/>
      <c r="F3306"/>
      <c r="G3306"/>
      <c r="H3306"/>
      <c r="I3306"/>
      <c r="J3306"/>
      <c r="K3306"/>
      <c r="L3306"/>
      <c r="M3306"/>
      <c r="N3306"/>
      <c r="O3306"/>
      <c r="P3306"/>
      <c r="Q3306"/>
      <c r="R3306"/>
      <c r="S3306"/>
    </row>
    <row r="3307" spans="1:19" ht="15" x14ac:dyDescent="0.2">
      <c r="A3307"/>
      <c r="B3307"/>
      <c r="C3307"/>
      <c r="D3307"/>
      <c r="E3307"/>
      <c r="F3307"/>
      <c r="G3307"/>
      <c r="H3307"/>
      <c r="I3307"/>
      <c r="J3307"/>
      <c r="K3307"/>
      <c r="L3307"/>
      <c r="M3307"/>
      <c r="N3307"/>
      <c r="O3307"/>
      <c r="P3307"/>
      <c r="Q3307"/>
      <c r="R3307"/>
      <c r="S3307"/>
    </row>
    <row r="3308" spans="1:19" ht="15" x14ac:dyDescent="0.2">
      <c r="A3308"/>
      <c r="B3308"/>
      <c r="C3308"/>
      <c r="D3308"/>
      <c r="E3308"/>
      <c r="F3308"/>
      <c r="G3308"/>
      <c r="H3308"/>
      <c r="I3308"/>
      <c r="J3308"/>
      <c r="K3308"/>
      <c r="L3308"/>
      <c r="M3308"/>
      <c r="N3308"/>
      <c r="O3308"/>
      <c r="P3308"/>
      <c r="Q3308"/>
      <c r="R3308"/>
      <c r="S3308"/>
    </row>
    <row r="3309" spans="1:19" ht="15" x14ac:dyDescent="0.2">
      <c r="A3309"/>
      <c r="B3309"/>
      <c r="C3309"/>
      <c r="D3309"/>
      <c r="E3309"/>
      <c r="F3309"/>
      <c r="G3309"/>
      <c r="H3309"/>
      <c r="I3309"/>
      <c r="J3309"/>
      <c r="K3309"/>
      <c r="L3309"/>
      <c r="M3309"/>
      <c r="N3309"/>
      <c r="O3309"/>
      <c r="P3309"/>
      <c r="Q3309"/>
      <c r="R3309"/>
      <c r="S3309"/>
    </row>
    <row r="3310" spans="1:19" ht="15" x14ac:dyDescent="0.2">
      <c r="A3310"/>
      <c r="B3310"/>
      <c r="C3310"/>
      <c r="D3310"/>
      <c r="E3310"/>
      <c r="F3310"/>
      <c r="G3310"/>
      <c r="H3310"/>
      <c r="I3310"/>
      <c r="J3310"/>
      <c r="K3310"/>
      <c r="L3310"/>
      <c r="M3310"/>
      <c r="N3310"/>
      <c r="O3310"/>
      <c r="P3310"/>
      <c r="Q3310"/>
      <c r="R3310"/>
      <c r="S3310"/>
    </row>
    <row r="3311" spans="1:19" ht="15" x14ac:dyDescent="0.2">
      <c r="A3311"/>
      <c r="B3311"/>
      <c r="C3311"/>
      <c r="D3311"/>
      <c r="E3311"/>
      <c r="F3311"/>
      <c r="G3311"/>
      <c r="H3311"/>
      <c r="I3311"/>
      <c r="J3311"/>
      <c r="K3311"/>
      <c r="L3311"/>
      <c r="M3311"/>
      <c r="N3311"/>
      <c r="O3311"/>
      <c r="P3311"/>
      <c r="Q3311"/>
      <c r="R3311"/>
      <c r="S3311"/>
    </row>
    <row r="3312" spans="1:19" ht="15" x14ac:dyDescent="0.2">
      <c r="A3312"/>
      <c r="B3312"/>
      <c r="C3312"/>
      <c r="D3312"/>
      <c r="E3312"/>
      <c r="F3312"/>
      <c r="G3312"/>
      <c r="H3312"/>
      <c r="I3312"/>
      <c r="J3312"/>
      <c r="K3312"/>
      <c r="L3312"/>
      <c r="M3312"/>
      <c r="N3312"/>
      <c r="O3312"/>
      <c r="P3312"/>
      <c r="Q3312"/>
      <c r="R3312"/>
      <c r="S3312"/>
    </row>
    <row r="3313" spans="1:19" ht="15" x14ac:dyDescent="0.2">
      <c r="A3313"/>
      <c r="B3313"/>
      <c r="C3313"/>
      <c r="D3313"/>
      <c r="E3313"/>
      <c r="F3313"/>
      <c r="G3313"/>
      <c r="H3313"/>
      <c r="I3313"/>
      <c r="J3313"/>
      <c r="K3313"/>
      <c r="L3313"/>
      <c r="M3313"/>
      <c r="N3313"/>
      <c r="O3313"/>
      <c r="P3313"/>
      <c r="Q3313"/>
      <c r="R3313"/>
      <c r="S3313"/>
    </row>
    <row r="3314" spans="1:19" ht="15" x14ac:dyDescent="0.2">
      <c r="A3314"/>
      <c r="B3314"/>
      <c r="C3314"/>
      <c r="D3314"/>
      <c r="E3314"/>
      <c r="F3314"/>
      <c r="G3314"/>
      <c r="H3314"/>
      <c r="I3314"/>
      <c r="J3314"/>
      <c r="K3314"/>
      <c r="L3314"/>
      <c r="M3314"/>
      <c r="N3314"/>
      <c r="O3314"/>
      <c r="P3314"/>
      <c r="Q3314"/>
      <c r="R3314"/>
      <c r="S3314"/>
    </row>
    <row r="3315" spans="1:19" ht="15" x14ac:dyDescent="0.2">
      <c r="A3315"/>
      <c r="B3315"/>
      <c r="C3315"/>
      <c r="D3315"/>
      <c r="E3315"/>
      <c r="F3315"/>
      <c r="G3315"/>
      <c r="H3315"/>
      <c r="I3315"/>
      <c r="J3315"/>
      <c r="K3315"/>
      <c r="L3315"/>
      <c r="M3315"/>
      <c r="N3315"/>
      <c r="O3315"/>
      <c r="P3315"/>
      <c r="Q3315"/>
      <c r="R3315"/>
      <c r="S3315"/>
    </row>
    <row r="3316" spans="1:19" ht="15" x14ac:dyDescent="0.2">
      <c r="A3316"/>
      <c r="B3316"/>
      <c r="C3316"/>
      <c r="D3316"/>
      <c r="E3316"/>
      <c r="F3316"/>
      <c r="G3316"/>
      <c r="H3316"/>
      <c r="I3316"/>
      <c r="J3316"/>
      <c r="K3316"/>
      <c r="L3316"/>
      <c r="M3316"/>
      <c r="N3316"/>
      <c r="O3316"/>
      <c r="P3316"/>
      <c r="Q3316"/>
      <c r="R3316"/>
      <c r="S3316"/>
    </row>
    <row r="3317" spans="1:19" ht="15" x14ac:dyDescent="0.2">
      <c r="A3317"/>
      <c r="B3317"/>
      <c r="C3317"/>
      <c r="D3317"/>
      <c r="E3317"/>
      <c r="F3317"/>
      <c r="G3317"/>
      <c r="H3317"/>
      <c r="I3317"/>
      <c r="J3317"/>
      <c r="K3317"/>
      <c r="L3317"/>
      <c r="M3317"/>
      <c r="N3317"/>
      <c r="O3317"/>
      <c r="P3317"/>
      <c r="Q3317"/>
      <c r="R3317"/>
      <c r="S3317"/>
    </row>
    <row r="3318" spans="1:19" ht="15" x14ac:dyDescent="0.2">
      <c r="A3318"/>
      <c r="B3318"/>
      <c r="C3318"/>
      <c r="D3318"/>
      <c r="E3318"/>
      <c r="F3318"/>
      <c r="G3318"/>
      <c r="H3318"/>
      <c r="I3318"/>
      <c r="J3318"/>
      <c r="K3318"/>
      <c r="L3318"/>
      <c r="M3318"/>
      <c r="N3318"/>
      <c r="O3318"/>
      <c r="P3318"/>
      <c r="Q3318"/>
      <c r="R3318"/>
      <c r="S3318"/>
    </row>
    <row r="3319" spans="1:19" ht="15" x14ac:dyDescent="0.2">
      <c r="A3319"/>
      <c r="B3319"/>
      <c r="C3319"/>
      <c r="D3319"/>
      <c r="E3319"/>
      <c r="F3319"/>
      <c r="G3319"/>
      <c r="H3319"/>
      <c r="I3319"/>
      <c r="J3319"/>
      <c r="K3319"/>
      <c r="L3319"/>
      <c r="M3319"/>
      <c r="N3319"/>
      <c r="O3319"/>
      <c r="P3319"/>
      <c r="Q3319"/>
      <c r="R3319"/>
      <c r="S3319"/>
    </row>
    <row r="3320" spans="1:19" ht="15" x14ac:dyDescent="0.2">
      <c r="A3320"/>
      <c r="B3320"/>
      <c r="C3320"/>
      <c r="D3320"/>
      <c r="E3320"/>
      <c r="F3320"/>
      <c r="G3320"/>
      <c r="H3320"/>
      <c r="I3320"/>
      <c r="J3320"/>
      <c r="K3320"/>
      <c r="L3320"/>
      <c r="M3320"/>
      <c r="N3320"/>
      <c r="O3320"/>
      <c r="P3320"/>
      <c r="Q3320"/>
      <c r="R3320"/>
      <c r="S3320"/>
    </row>
    <row r="3321" spans="1:19" ht="15" x14ac:dyDescent="0.2">
      <c r="A3321"/>
      <c r="B3321"/>
      <c r="C3321"/>
      <c r="D3321"/>
      <c r="E3321"/>
      <c r="F3321"/>
      <c r="G3321"/>
      <c r="H3321"/>
      <c r="I3321"/>
      <c r="J3321"/>
      <c r="K3321"/>
      <c r="L3321"/>
      <c r="M3321"/>
      <c r="N3321"/>
      <c r="O3321"/>
      <c r="P3321"/>
      <c r="Q3321"/>
      <c r="R3321"/>
      <c r="S3321"/>
    </row>
    <row r="3322" spans="1:19" ht="15" x14ac:dyDescent="0.2">
      <c r="A3322"/>
      <c r="B3322"/>
      <c r="C3322"/>
      <c r="D3322"/>
      <c r="E3322"/>
      <c r="F3322"/>
      <c r="G3322"/>
      <c r="H3322"/>
      <c r="I3322"/>
      <c r="J3322"/>
      <c r="K3322"/>
      <c r="L3322"/>
      <c r="M3322"/>
      <c r="N3322"/>
      <c r="O3322"/>
      <c r="P3322"/>
      <c r="Q3322"/>
      <c r="R3322"/>
      <c r="S3322"/>
    </row>
    <row r="3323" spans="1:19" ht="15" x14ac:dyDescent="0.2">
      <c r="A3323"/>
      <c r="B3323"/>
      <c r="C3323"/>
      <c r="D3323"/>
      <c r="E3323"/>
      <c r="F3323"/>
      <c r="G3323"/>
      <c r="H3323"/>
      <c r="I3323"/>
      <c r="J3323"/>
      <c r="K3323"/>
      <c r="L3323"/>
      <c r="M3323"/>
      <c r="N3323"/>
      <c r="O3323"/>
      <c r="P3323"/>
      <c r="Q3323"/>
      <c r="R3323"/>
      <c r="S3323"/>
    </row>
    <row r="3324" spans="1:19" ht="15" x14ac:dyDescent="0.2">
      <c r="A3324"/>
      <c r="B3324"/>
      <c r="C3324"/>
      <c r="D3324"/>
      <c r="E3324"/>
      <c r="F3324"/>
      <c r="G3324"/>
      <c r="H3324"/>
      <c r="I3324"/>
      <c r="J3324"/>
      <c r="K3324"/>
      <c r="L3324"/>
      <c r="M3324"/>
      <c r="N3324"/>
      <c r="O3324"/>
      <c r="P3324"/>
      <c r="Q3324"/>
      <c r="R3324"/>
      <c r="S3324"/>
    </row>
    <row r="3325" spans="1:19" ht="15" x14ac:dyDescent="0.2">
      <c r="A3325"/>
      <c r="B3325"/>
      <c r="C3325"/>
      <c r="D3325"/>
      <c r="E3325"/>
      <c r="F3325"/>
      <c r="G3325"/>
      <c r="H3325"/>
      <c r="I3325"/>
      <c r="J3325"/>
      <c r="K3325"/>
      <c r="L3325"/>
      <c r="M3325"/>
      <c r="N3325"/>
      <c r="O3325"/>
      <c r="P3325"/>
      <c r="Q3325"/>
      <c r="R3325"/>
      <c r="S3325"/>
    </row>
    <row r="3326" spans="1:19" ht="15" x14ac:dyDescent="0.2">
      <c r="A3326"/>
      <c r="B3326"/>
      <c r="C3326"/>
      <c r="D3326"/>
      <c r="E3326"/>
      <c r="F3326"/>
      <c r="G3326"/>
      <c r="H3326"/>
      <c r="I3326"/>
      <c r="J3326"/>
      <c r="K3326"/>
      <c r="L3326"/>
      <c r="M3326"/>
      <c r="N3326"/>
      <c r="O3326"/>
      <c r="P3326"/>
      <c r="Q3326"/>
      <c r="R3326"/>
      <c r="S3326"/>
    </row>
    <row r="3327" spans="1:19" ht="15" x14ac:dyDescent="0.2">
      <c r="A3327"/>
      <c r="B3327"/>
      <c r="C3327"/>
      <c r="D3327"/>
      <c r="E3327"/>
      <c r="F3327"/>
      <c r="G3327"/>
      <c r="H3327"/>
      <c r="I3327"/>
      <c r="J3327"/>
      <c r="K3327"/>
      <c r="L3327"/>
      <c r="M3327"/>
      <c r="N3327"/>
      <c r="O3327"/>
      <c r="P3327"/>
      <c r="Q3327"/>
      <c r="R3327"/>
      <c r="S3327"/>
    </row>
    <row r="3328" spans="1:19" ht="15" x14ac:dyDescent="0.2">
      <c r="A3328"/>
      <c r="B3328"/>
      <c r="C3328"/>
      <c r="D3328"/>
      <c r="E3328"/>
      <c r="F3328"/>
      <c r="G3328"/>
      <c r="H3328"/>
      <c r="I3328"/>
      <c r="J3328"/>
      <c r="K3328"/>
      <c r="L3328"/>
      <c r="M3328"/>
      <c r="N3328"/>
      <c r="O3328"/>
      <c r="P3328"/>
      <c r="Q3328"/>
      <c r="R3328"/>
      <c r="S3328"/>
    </row>
    <row r="3329" spans="1:19" ht="15" x14ac:dyDescent="0.2">
      <c r="A3329"/>
      <c r="B3329"/>
      <c r="C3329"/>
      <c r="D3329"/>
      <c r="E3329"/>
      <c r="F3329"/>
      <c r="G3329"/>
      <c r="H3329"/>
      <c r="I3329"/>
      <c r="J3329"/>
      <c r="K3329"/>
      <c r="L3329"/>
      <c r="M3329"/>
      <c r="N3329"/>
      <c r="O3329"/>
      <c r="P3329"/>
      <c r="Q3329"/>
      <c r="R3329"/>
      <c r="S3329"/>
    </row>
    <row r="3330" spans="1:19" ht="15" x14ac:dyDescent="0.2">
      <c r="A3330"/>
      <c r="B3330"/>
      <c r="C3330"/>
      <c r="D3330"/>
      <c r="E3330"/>
      <c r="F3330"/>
      <c r="G3330"/>
      <c r="H3330"/>
      <c r="I3330"/>
      <c r="J3330"/>
      <c r="K3330"/>
      <c r="L3330"/>
      <c r="M3330"/>
      <c r="N3330"/>
      <c r="O3330"/>
      <c r="P3330"/>
      <c r="Q3330"/>
      <c r="R3330"/>
      <c r="S3330"/>
    </row>
    <row r="3331" spans="1:19" ht="15" x14ac:dyDescent="0.2">
      <c r="A3331"/>
      <c r="B3331"/>
      <c r="C3331"/>
      <c r="D3331"/>
      <c r="E3331"/>
      <c r="F3331"/>
      <c r="G3331"/>
      <c r="H3331"/>
      <c r="I3331"/>
      <c r="J3331"/>
      <c r="K3331"/>
      <c r="L3331"/>
      <c r="M3331"/>
      <c r="N3331"/>
      <c r="O3331"/>
      <c r="P3331"/>
      <c r="Q3331"/>
      <c r="R3331"/>
      <c r="S3331"/>
    </row>
    <row r="3332" spans="1:19" ht="15" x14ac:dyDescent="0.2">
      <c r="A3332"/>
      <c r="B3332"/>
      <c r="C3332"/>
      <c r="D3332"/>
      <c r="E3332"/>
      <c r="F3332"/>
      <c r="G3332"/>
      <c r="H3332"/>
      <c r="I3332"/>
      <c r="J3332"/>
      <c r="K3332"/>
      <c r="L3332"/>
      <c r="M3332"/>
      <c r="N3332"/>
      <c r="O3332"/>
      <c r="P3332"/>
      <c r="Q3332"/>
      <c r="R3332"/>
      <c r="S3332"/>
    </row>
    <row r="3333" spans="1:19" ht="15" x14ac:dyDescent="0.2">
      <c r="A3333"/>
      <c r="B3333"/>
      <c r="C3333"/>
      <c r="D3333"/>
      <c r="E3333"/>
      <c r="F3333"/>
      <c r="G3333"/>
      <c r="H3333"/>
      <c r="I3333"/>
      <c r="J3333"/>
      <c r="K3333"/>
      <c r="L3333"/>
      <c r="M3333"/>
      <c r="N3333"/>
      <c r="O3333"/>
      <c r="P3333"/>
      <c r="Q3333"/>
      <c r="R3333"/>
      <c r="S3333"/>
    </row>
    <row r="3334" spans="1:19" ht="15" x14ac:dyDescent="0.2">
      <c r="A3334"/>
      <c r="B3334"/>
      <c r="C3334"/>
      <c r="D3334"/>
      <c r="E3334"/>
      <c r="F3334"/>
      <c r="G3334"/>
      <c r="H3334"/>
      <c r="I3334"/>
      <c r="J3334"/>
      <c r="K3334"/>
      <c r="L3334"/>
      <c r="M3334"/>
      <c r="N3334"/>
      <c r="O3334"/>
      <c r="P3334"/>
      <c r="Q3334"/>
      <c r="R3334"/>
      <c r="S3334"/>
    </row>
    <row r="3335" spans="1:19" ht="15" x14ac:dyDescent="0.2">
      <c r="A3335"/>
      <c r="B3335"/>
      <c r="C3335"/>
      <c r="D3335"/>
      <c r="E3335"/>
      <c r="F3335"/>
      <c r="G3335"/>
      <c r="H3335"/>
      <c r="I3335"/>
      <c r="J3335"/>
      <c r="K3335"/>
      <c r="L3335"/>
      <c r="M3335"/>
      <c r="N3335"/>
      <c r="O3335"/>
      <c r="P3335"/>
      <c r="Q3335"/>
      <c r="R3335"/>
      <c r="S3335"/>
    </row>
    <row r="3336" spans="1:19" ht="15" x14ac:dyDescent="0.2">
      <c r="A3336"/>
      <c r="B3336"/>
      <c r="C3336"/>
      <c r="D3336"/>
      <c r="E3336"/>
      <c r="F3336"/>
      <c r="G3336"/>
      <c r="H3336"/>
      <c r="I3336"/>
      <c r="J3336"/>
      <c r="K3336"/>
      <c r="L3336"/>
      <c r="M3336"/>
      <c r="N3336"/>
      <c r="O3336"/>
      <c r="P3336"/>
      <c r="Q3336"/>
      <c r="R3336"/>
      <c r="S3336"/>
    </row>
    <row r="3337" spans="1:19" ht="15" x14ac:dyDescent="0.2">
      <c r="A3337"/>
      <c r="B3337"/>
      <c r="C3337"/>
      <c r="D3337"/>
      <c r="E3337"/>
      <c r="F3337"/>
      <c r="G3337"/>
      <c r="H3337"/>
      <c r="I3337"/>
      <c r="J3337"/>
      <c r="K3337"/>
      <c r="L3337"/>
      <c r="M3337"/>
      <c r="N3337"/>
      <c r="O3337"/>
      <c r="P3337"/>
      <c r="Q3337"/>
      <c r="R3337"/>
      <c r="S3337"/>
    </row>
    <row r="3338" spans="1:19" ht="15" x14ac:dyDescent="0.2">
      <c r="A3338"/>
      <c r="B3338"/>
      <c r="C3338"/>
      <c r="D3338"/>
      <c r="E3338"/>
      <c r="F3338"/>
      <c r="G3338"/>
      <c r="H3338"/>
      <c r="I3338"/>
      <c r="J3338"/>
      <c r="K3338"/>
      <c r="L3338"/>
      <c r="M3338"/>
      <c r="N3338"/>
      <c r="O3338"/>
      <c r="P3338"/>
      <c r="Q3338"/>
      <c r="R3338"/>
      <c r="S3338"/>
    </row>
    <row r="3339" spans="1:19" ht="15" x14ac:dyDescent="0.2">
      <c r="A3339"/>
      <c r="B3339"/>
      <c r="C3339"/>
      <c r="D3339"/>
      <c r="E3339"/>
      <c r="F3339"/>
      <c r="G3339"/>
      <c r="H3339"/>
      <c r="I3339"/>
      <c r="J3339"/>
      <c r="K3339"/>
      <c r="L3339"/>
      <c r="M3339"/>
      <c r="N3339"/>
      <c r="O3339"/>
      <c r="P3339"/>
      <c r="Q3339"/>
      <c r="R3339"/>
      <c r="S3339"/>
    </row>
    <row r="3340" spans="1:19" ht="15" x14ac:dyDescent="0.2">
      <c r="A3340"/>
      <c r="B3340"/>
      <c r="C3340"/>
      <c r="D3340"/>
      <c r="E3340"/>
      <c r="F3340"/>
      <c r="G3340"/>
      <c r="H3340"/>
      <c r="I3340"/>
      <c r="J3340"/>
      <c r="K3340"/>
      <c r="L3340"/>
      <c r="M3340"/>
      <c r="N3340"/>
      <c r="O3340"/>
      <c r="P3340"/>
      <c r="Q3340"/>
      <c r="R3340"/>
      <c r="S3340"/>
    </row>
    <row r="3341" spans="1:19" ht="15" x14ac:dyDescent="0.2">
      <c r="A3341"/>
      <c r="B3341"/>
      <c r="C3341"/>
      <c r="D3341"/>
      <c r="E3341"/>
      <c r="F3341"/>
      <c r="G3341"/>
      <c r="H3341"/>
      <c r="I3341"/>
      <c r="J3341"/>
      <c r="K3341"/>
      <c r="L3341"/>
      <c r="M3341"/>
      <c r="N3341"/>
      <c r="O3341"/>
      <c r="P3341"/>
      <c r="Q3341"/>
      <c r="R3341"/>
      <c r="S3341"/>
    </row>
    <row r="3342" spans="1:19" ht="15" x14ac:dyDescent="0.2">
      <c r="A3342"/>
      <c r="B3342"/>
      <c r="C3342"/>
      <c r="D3342"/>
      <c r="E3342"/>
      <c r="F3342"/>
      <c r="G3342"/>
      <c r="H3342"/>
      <c r="I3342"/>
      <c r="J3342"/>
      <c r="K3342"/>
      <c r="L3342"/>
      <c r="M3342"/>
      <c r="N3342"/>
      <c r="O3342"/>
      <c r="P3342"/>
      <c r="Q3342"/>
      <c r="R3342"/>
      <c r="S3342"/>
    </row>
    <row r="3343" spans="1:19" ht="15" x14ac:dyDescent="0.2">
      <c r="A3343"/>
      <c r="B3343"/>
      <c r="C3343"/>
      <c r="D3343"/>
      <c r="E3343"/>
      <c r="F3343"/>
      <c r="G3343"/>
      <c r="H3343"/>
      <c r="I3343"/>
      <c r="J3343"/>
      <c r="K3343"/>
      <c r="L3343"/>
      <c r="M3343"/>
      <c r="N3343"/>
      <c r="O3343"/>
      <c r="P3343"/>
      <c r="Q3343"/>
      <c r="R3343"/>
      <c r="S3343"/>
    </row>
    <row r="3344" spans="1:19" ht="15" x14ac:dyDescent="0.2">
      <c r="A3344"/>
      <c r="B3344"/>
      <c r="C3344"/>
      <c r="D3344"/>
      <c r="E3344"/>
      <c r="F3344"/>
      <c r="G3344"/>
      <c r="H3344"/>
      <c r="I3344"/>
      <c r="J3344"/>
      <c r="K3344"/>
      <c r="L3344"/>
      <c r="M3344"/>
      <c r="N3344"/>
      <c r="O3344"/>
      <c r="P3344"/>
      <c r="Q3344"/>
      <c r="R3344"/>
      <c r="S3344"/>
    </row>
    <row r="3345" spans="1:19" ht="15" x14ac:dyDescent="0.2">
      <c r="A3345"/>
      <c r="B3345"/>
      <c r="C3345"/>
      <c r="D3345"/>
      <c r="E3345"/>
      <c r="F3345"/>
      <c r="G3345"/>
      <c r="H3345"/>
      <c r="I3345"/>
      <c r="J3345"/>
      <c r="K3345"/>
      <c r="L3345"/>
      <c r="M3345"/>
      <c r="N3345"/>
      <c r="O3345"/>
      <c r="P3345"/>
      <c r="Q3345"/>
      <c r="R3345"/>
      <c r="S3345"/>
    </row>
    <row r="3346" spans="1:19" ht="15" x14ac:dyDescent="0.2">
      <c r="A3346"/>
      <c r="B3346"/>
      <c r="C3346"/>
      <c r="D3346"/>
      <c r="E3346"/>
      <c r="F3346"/>
      <c r="G3346"/>
      <c r="H3346"/>
      <c r="I3346"/>
      <c r="J3346"/>
      <c r="K3346"/>
      <c r="L3346"/>
      <c r="M3346"/>
      <c r="N3346"/>
      <c r="O3346"/>
      <c r="P3346"/>
      <c r="Q3346"/>
      <c r="R3346"/>
      <c r="S3346"/>
    </row>
    <row r="3347" spans="1:19" ht="15" x14ac:dyDescent="0.2">
      <c r="A3347"/>
      <c r="B3347"/>
      <c r="C3347"/>
      <c r="D3347"/>
      <c r="E3347"/>
      <c r="F3347"/>
      <c r="G3347"/>
      <c r="H3347"/>
      <c r="I3347"/>
      <c r="J3347"/>
      <c r="K3347"/>
      <c r="L3347"/>
      <c r="M3347"/>
      <c r="N3347"/>
      <c r="O3347"/>
      <c r="P3347"/>
      <c r="Q3347"/>
      <c r="R3347"/>
      <c r="S3347"/>
    </row>
    <row r="3348" spans="1:19" ht="15" x14ac:dyDescent="0.2">
      <c r="A3348"/>
      <c r="B3348"/>
      <c r="C3348"/>
      <c r="D3348"/>
      <c r="E3348"/>
      <c r="F3348"/>
      <c r="G3348"/>
      <c r="H3348"/>
      <c r="I3348"/>
      <c r="J3348"/>
      <c r="K3348"/>
      <c r="L3348"/>
      <c r="M3348"/>
      <c r="N3348"/>
      <c r="O3348"/>
      <c r="P3348"/>
      <c r="Q3348"/>
      <c r="R3348"/>
      <c r="S3348"/>
    </row>
    <row r="3349" spans="1:19" ht="15" x14ac:dyDescent="0.2">
      <c r="A3349"/>
      <c r="B3349"/>
      <c r="C3349"/>
      <c r="D3349"/>
      <c r="E3349"/>
      <c r="F3349"/>
      <c r="G3349"/>
      <c r="H3349"/>
      <c r="I3349"/>
      <c r="J3349"/>
      <c r="K3349"/>
      <c r="L3349"/>
      <c r="M3349"/>
      <c r="N3349"/>
      <c r="O3349"/>
      <c r="P3349"/>
      <c r="Q3349"/>
      <c r="R3349"/>
      <c r="S3349"/>
    </row>
    <row r="3350" spans="1:19" ht="15" x14ac:dyDescent="0.2">
      <c r="A3350"/>
      <c r="B3350"/>
      <c r="C3350"/>
      <c r="D3350"/>
      <c r="E3350"/>
      <c r="F3350"/>
      <c r="G3350"/>
      <c r="H3350"/>
      <c r="I3350"/>
      <c r="J3350"/>
      <c r="K3350"/>
      <c r="L3350"/>
      <c r="M3350"/>
      <c r="N3350"/>
      <c r="O3350"/>
      <c r="P3350"/>
      <c r="Q3350"/>
      <c r="R3350"/>
      <c r="S3350"/>
    </row>
    <row r="3351" spans="1:19" ht="15" x14ac:dyDescent="0.2">
      <c r="A3351"/>
      <c r="B3351"/>
      <c r="C3351"/>
      <c r="D3351"/>
      <c r="E3351"/>
      <c r="F3351"/>
      <c r="G3351"/>
      <c r="H3351"/>
      <c r="I3351"/>
      <c r="J3351"/>
      <c r="K3351"/>
      <c r="L3351"/>
      <c r="M3351"/>
      <c r="N3351"/>
      <c r="O3351"/>
      <c r="P3351"/>
      <c r="Q3351"/>
      <c r="R3351"/>
      <c r="S3351"/>
    </row>
    <row r="3352" spans="1:19" ht="15" x14ac:dyDescent="0.2">
      <c r="A3352"/>
      <c r="B3352"/>
      <c r="C3352"/>
      <c r="D3352"/>
      <c r="E3352"/>
      <c r="F3352"/>
      <c r="G3352"/>
      <c r="H3352"/>
      <c r="I3352"/>
      <c r="J3352"/>
      <c r="K3352"/>
      <c r="L3352"/>
      <c r="M3352"/>
      <c r="N3352"/>
      <c r="O3352"/>
      <c r="P3352"/>
      <c r="Q3352"/>
      <c r="R3352"/>
      <c r="S3352"/>
    </row>
    <row r="3353" spans="1:19" ht="15" x14ac:dyDescent="0.2">
      <c r="A3353"/>
      <c r="B3353"/>
      <c r="C3353"/>
      <c r="D3353"/>
      <c r="E3353"/>
      <c r="F3353"/>
      <c r="G3353"/>
      <c r="H3353"/>
      <c r="I3353"/>
      <c r="J3353"/>
      <c r="K3353"/>
      <c r="L3353"/>
      <c r="M3353"/>
      <c r="N3353"/>
      <c r="O3353"/>
      <c r="P3353"/>
      <c r="Q3353"/>
      <c r="R3353"/>
      <c r="S3353"/>
    </row>
    <row r="3354" spans="1:19" ht="15" x14ac:dyDescent="0.2">
      <c r="A3354"/>
      <c r="B3354"/>
      <c r="C3354"/>
      <c r="D3354"/>
      <c r="E3354"/>
      <c r="F3354"/>
      <c r="G3354"/>
      <c r="H3354"/>
      <c r="I3354"/>
      <c r="J3354"/>
      <c r="K3354"/>
      <c r="L3354"/>
      <c r="M3354"/>
      <c r="N3354"/>
      <c r="O3354"/>
      <c r="P3354"/>
      <c r="Q3354"/>
      <c r="R3354"/>
      <c r="S3354"/>
    </row>
    <row r="3355" spans="1:19" ht="15" x14ac:dyDescent="0.2">
      <c r="A3355"/>
      <c r="B3355"/>
      <c r="C3355"/>
      <c r="D3355"/>
      <c r="E3355"/>
      <c r="F3355"/>
      <c r="G3355"/>
      <c r="H3355"/>
      <c r="I3355"/>
      <c r="J3355"/>
      <c r="K3355"/>
      <c r="L3355"/>
      <c r="M3355"/>
      <c r="N3355"/>
      <c r="O3355"/>
      <c r="P3355"/>
      <c r="Q3355"/>
      <c r="R3355"/>
      <c r="S3355"/>
    </row>
    <row r="3356" spans="1:19" ht="15" x14ac:dyDescent="0.2">
      <c r="A3356"/>
      <c r="B3356"/>
      <c r="C3356"/>
      <c r="D3356"/>
      <c r="E3356"/>
      <c r="F3356"/>
      <c r="G3356"/>
      <c r="H3356"/>
      <c r="I3356"/>
      <c r="J3356"/>
      <c r="K3356"/>
      <c r="L3356"/>
      <c r="M3356"/>
      <c r="N3356"/>
      <c r="O3356"/>
      <c r="P3356"/>
      <c r="Q3356"/>
      <c r="R3356"/>
      <c r="S3356"/>
    </row>
    <row r="3357" spans="1:19" ht="15" x14ac:dyDescent="0.2">
      <c r="A3357"/>
      <c r="B3357"/>
      <c r="C3357"/>
      <c r="D3357"/>
      <c r="E3357"/>
      <c r="F3357"/>
      <c r="G3357"/>
      <c r="H3357"/>
      <c r="I3357"/>
      <c r="J3357"/>
      <c r="K3357"/>
      <c r="L3357"/>
      <c r="M3357"/>
      <c r="N3357"/>
      <c r="O3357"/>
      <c r="P3357"/>
      <c r="Q3357"/>
      <c r="R3357"/>
      <c r="S3357"/>
    </row>
    <row r="3358" spans="1:19" ht="15" x14ac:dyDescent="0.2">
      <c r="A3358"/>
      <c r="B3358"/>
      <c r="C3358"/>
      <c r="D3358"/>
      <c r="E3358"/>
      <c r="F3358"/>
      <c r="G3358"/>
      <c r="H3358"/>
      <c r="I3358"/>
      <c r="J3358"/>
      <c r="K3358"/>
      <c r="L3358"/>
      <c r="M3358"/>
      <c r="N3358"/>
      <c r="O3358"/>
      <c r="P3358"/>
      <c r="Q3358"/>
      <c r="R3358"/>
      <c r="S3358"/>
    </row>
    <row r="3359" spans="1:19" ht="15" x14ac:dyDescent="0.2">
      <c r="A3359"/>
      <c r="B3359"/>
      <c r="C3359"/>
      <c r="D3359"/>
      <c r="E3359"/>
      <c r="F3359"/>
      <c r="G3359"/>
      <c r="H3359"/>
      <c r="I3359"/>
      <c r="J3359"/>
      <c r="K3359"/>
      <c r="L3359"/>
      <c r="M3359"/>
      <c r="N3359"/>
      <c r="O3359"/>
      <c r="P3359"/>
      <c r="Q3359"/>
      <c r="R3359"/>
      <c r="S3359"/>
    </row>
    <row r="3360" spans="1:19" ht="15" x14ac:dyDescent="0.2">
      <c r="A3360"/>
      <c r="B3360"/>
      <c r="C3360"/>
      <c r="D3360"/>
      <c r="E3360"/>
      <c r="F3360"/>
      <c r="G3360"/>
      <c r="H3360"/>
      <c r="I3360"/>
      <c r="J3360"/>
      <c r="K3360"/>
      <c r="L3360"/>
      <c r="M3360"/>
      <c r="N3360"/>
      <c r="O3360"/>
      <c r="P3360"/>
      <c r="Q3360"/>
      <c r="R3360"/>
      <c r="S3360"/>
    </row>
    <row r="3361" spans="1:19" ht="15" x14ac:dyDescent="0.2">
      <c r="A3361"/>
      <c r="B3361"/>
      <c r="C3361"/>
      <c r="D3361"/>
      <c r="E3361"/>
      <c r="F3361"/>
      <c r="G3361"/>
      <c r="H3361"/>
      <c r="I3361"/>
      <c r="J3361"/>
      <c r="K3361"/>
      <c r="L3361"/>
      <c r="M3361"/>
      <c r="N3361"/>
      <c r="O3361"/>
      <c r="P3361"/>
      <c r="Q3361"/>
      <c r="R3361"/>
      <c r="S3361"/>
    </row>
    <row r="3362" spans="1:19" ht="15" x14ac:dyDescent="0.2">
      <c r="A3362"/>
      <c r="B3362"/>
      <c r="C3362"/>
      <c r="D3362"/>
      <c r="E3362"/>
      <c r="F3362"/>
      <c r="G3362"/>
      <c r="H3362"/>
      <c r="I3362"/>
      <c r="J3362"/>
      <c r="K3362"/>
      <c r="L3362"/>
      <c r="M3362"/>
      <c r="N3362"/>
      <c r="O3362"/>
      <c r="P3362"/>
      <c r="Q3362"/>
      <c r="R3362"/>
      <c r="S3362"/>
    </row>
    <row r="3363" spans="1:19" ht="15" x14ac:dyDescent="0.2">
      <c r="A3363"/>
      <c r="B3363"/>
      <c r="C3363"/>
      <c r="D3363"/>
      <c r="E3363"/>
      <c r="F3363"/>
      <c r="G3363"/>
      <c r="H3363"/>
      <c r="I3363"/>
      <c r="J3363"/>
      <c r="K3363"/>
      <c r="L3363"/>
      <c r="M3363"/>
      <c r="N3363"/>
      <c r="O3363"/>
      <c r="P3363"/>
      <c r="Q3363"/>
      <c r="R3363"/>
      <c r="S3363"/>
    </row>
    <row r="3364" spans="1:19" ht="15" x14ac:dyDescent="0.2">
      <c r="A3364"/>
      <c r="B3364"/>
      <c r="C3364"/>
      <c r="D3364"/>
      <c r="E3364"/>
      <c r="F3364"/>
      <c r="G3364"/>
      <c r="H3364"/>
      <c r="I3364"/>
      <c r="J3364"/>
      <c r="K3364"/>
      <c r="L3364"/>
      <c r="M3364"/>
      <c r="N3364"/>
      <c r="O3364"/>
      <c r="P3364"/>
      <c r="Q3364"/>
      <c r="R3364"/>
      <c r="S3364"/>
    </row>
    <row r="3365" spans="1:19" ht="15" x14ac:dyDescent="0.2">
      <c r="A3365"/>
      <c r="B3365"/>
      <c r="C3365"/>
      <c r="D3365"/>
      <c r="E3365"/>
      <c r="F3365"/>
      <c r="G3365"/>
      <c r="H3365"/>
      <c r="I3365"/>
      <c r="J3365"/>
      <c r="K3365"/>
      <c r="L3365"/>
      <c r="M3365"/>
      <c r="N3365"/>
      <c r="O3365"/>
      <c r="P3365"/>
      <c r="Q3365"/>
      <c r="R3365"/>
      <c r="S3365"/>
    </row>
    <row r="3366" spans="1:19" ht="15" x14ac:dyDescent="0.2">
      <c r="A3366"/>
      <c r="B3366"/>
      <c r="C3366"/>
      <c r="D3366"/>
      <c r="E3366"/>
      <c r="F3366"/>
      <c r="G3366"/>
      <c r="H3366"/>
      <c r="I3366"/>
      <c r="J3366"/>
      <c r="K3366"/>
      <c r="L3366"/>
      <c r="M3366"/>
      <c r="N3366"/>
      <c r="O3366"/>
      <c r="P3366"/>
      <c r="Q3366"/>
      <c r="R3366"/>
      <c r="S3366"/>
    </row>
    <row r="3367" spans="1:19" ht="15" x14ac:dyDescent="0.2">
      <c r="A3367"/>
      <c r="B3367"/>
      <c r="C3367"/>
      <c r="D3367"/>
      <c r="E3367"/>
      <c r="F3367"/>
      <c r="G3367"/>
      <c r="H3367"/>
      <c r="I3367"/>
      <c r="J3367"/>
      <c r="K3367"/>
      <c r="L3367"/>
      <c r="M3367"/>
      <c r="N3367"/>
      <c r="O3367"/>
      <c r="P3367"/>
      <c r="Q3367"/>
      <c r="R3367"/>
      <c r="S3367"/>
    </row>
    <row r="3368" spans="1:19" ht="15" x14ac:dyDescent="0.2">
      <c r="A3368"/>
      <c r="B3368"/>
      <c r="C3368"/>
      <c r="D3368"/>
      <c r="E3368"/>
      <c r="F3368"/>
      <c r="G3368"/>
      <c r="H3368"/>
      <c r="I3368"/>
      <c r="J3368"/>
      <c r="K3368"/>
      <c r="L3368"/>
      <c r="M3368"/>
      <c r="N3368"/>
      <c r="O3368"/>
      <c r="P3368"/>
      <c r="Q3368"/>
      <c r="R3368"/>
      <c r="S3368"/>
    </row>
    <row r="3369" spans="1:19" ht="15" x14ac:dyDescent="0.2">
      <c r="A3369"/>
      <c r="B3369"/>
      <c r="C3369"/>
      <c r="D3369"/>
      <c r="E3369"/>
      <c r="F3369"/>
      <c r="G3369"/>
      <c r="H3369"/>
      <c r="I3369"/>
      <c r="J3369"/>
      <c r="K3369"/>
      <c r="L3369"/>
      <c r="M3369"/>
      <c r="N3369"/>
      <c r="O3369"/>
      <c r="P3369"/>
      <c r="Q3369"/>
      <c r="R3369"/>
      <c r="S3369"/>
    </row>
    <row r="3370" spans="1:19" ht="15" x14ac:dyDescent="0.2">
      <c r="A3370"/>
      <c r="B3370"/>
      <c r="C3370"/>
      <c r="D3370"/>
      <c r="E3370"/>
      <c r="F3370"/>
      <c r="G3370"/>
      <c r="H3370"/>
      <c r="I3370"/>
      <c r="J3370"/>
      <c r="K3370"/>
      <c r="L3370"/>
      <c r="M3370"/>
      <c r="N3370"/>
      <c r="O3370"/>
      <c r="P3370"/>
      <c r="Q3370"/>
      <c r="R3370"/>
      <c r="S3370"/>
    </row>
    <row r="3371" spans="1:19" ht="15" x14ac:dyDescent="0.2">
      <c r="A3371"/>
      <c r="B3371"/>
      <c r="C3371"/>
      <c r="D3371"/>
      <c r="E3371"/>
      <c r="F3371"/>
      <c r="G3371"/>
      <c r="H3371"/>
      <c r="I3371"/>
      <c r="J3371"/>
      <c r="K3371"/>
      <c r="L3371"/>
      <c r="M3371"/>
      <c r="N3371"/>
      <c r="O3371"/>
      <c r="P3371"/>
      <c r="Q3371"/>
      <c r="R3371"/>
      <c r="S3371"/>
    </row>
    <row r="3372" spans="1:19" ht="15" x14ac:dyDescent="0.2">
      <c r="A3372"/>
      <c r="B3372"/>
      <c r="C3372"/>
      <c r="D3372"/>
      <c r="E3372"/>
      <c r="F3372"/>
      <c r="G3372"/>
      <c r="H3372"/>
      <c r="I3372"/>
      <c r="J3372"/>
      <c r="K3372"/>
      <c r="L3372"/>
      <c r="M3372"/>
      <c r="N3372"/>
      <c r="O3372"/>
      <c r="P3372"/>
      <c r="Q3372"/>
      <c r="R3372"/>
      <c r="S3372"/>
    </row>
    <row r="3373" spans="1:19" ht="15" x14ac:dyDescent="0.2">
      <c r="A3373"/>
      <c r="B3373"/>
      <c r="C3373"/>
      <c r="D3373"/>
      <c r="E3373"/>
      <c r="F3373"/>
      <c r="G3373"/>
      <c r="H3373"/>
      <c r="I3373"/>
      <c r="J3373"/>
      <c r="K3373"/>
      <c r="L3373"/>
      <c r="M3373"/>
      <c r="N3373"/>
      <c r="O3373"/>
      <c r="P3373"/>
      <c r="Q3373"/>
      <c r="R3373"/>
      <c r="S3373"/>
    </row>
    <row r="3374" spans="1:19" ht="15" x14ac:dyDescent="0.2">
      <c r="A3374"/>
      <c r="B3374"/>
      <c r="C3374"/>
      <c r="D3374"/>
      <c r="E3374"/>
      <c r="F3374"/>
      <c r="G3374"/>
      <c r="H3374"/>
      <c r="I3374"/>
      <c r="J3374"/>
      <c r="K3374"/>
      <c r="L3374"/>
      <c r="M3374"/>
      <c r="N3374"/>
      <c r="O3374"/>
      <c r="P3374"/>
      <c r="Q3374"/>
      <c r="R3374"/>
      <c r="S3374"/>
    </row>
    <row r="3375" spans="1:19" ht="15" x14ac:dyDescent="0.2">
      <c r="A3375"/>
      <c r="B3375"/>
      <c r="C3375"/>
      <c r="D3375"/>
      <c r="E3375"/>
      <c r="F3375"/>
      <c r="G3375"/>
      <c r="H3375"/>
      <c r="I3375"/>
      <c r="J3375"/>
      <c r="K3375"/>
      <c r="L3375"/>
      <c r="M3375"/>
      <c r="N3375"/>
      <c r="O3375"/>
      <c r="P3375"/>
      <c r="Q3375"/>
      <c r="R3375"/>
      <c r="S3375"/>
    </row>
    <row r="3376" spans="1:19" ht="15" x14ac:dyDescent="0.2">
      <c r="A3376"/>
      <c r="B3376"/>
      <c r="C3376"/>
      <c r="D3376"/>
      <c r="E3376"/>
      <c r="F3376"/>
      <c r="G3376"/>
      <c r="H3376"/>
      <c r="I3376"/>
      <c r="J3376"/>
      <c r="K3376"/>
      <c r="L3376"/>
      <c r="M3376"/>
      <c r="N3376"/>
      <c r="O3376"/>
      <c r="P3376"/>
      <c r="Q3376"/>
      <c r="R3376"/>
      <c r="S3376"/>
    </row>
    <row r="3377" spans="1:19" ht="15" x14ac:dyDescent="0.2">
      <c r="A3377"/>
      <c r="B3377"/>
      <c r="C3377"/>
      <c r="D3377"/>
      <c r="E3377"/>
      <c r="F3377"/>
      <c r="G3377"/>
      <c r="H3377"/>
      <c r="I3377"/>
      <c r="J3377"/>
      <c r="K3377"/>
      <c r="L3377"/>
      <c r="M3377"/>
      <c r="N3377"/>
      <c r="O3377"/>
      <c r="P3377"/>
      <c r="Q3377"/>
      <c r="R3377"/>
      <c r="S3377"/>
    </row>
    <row r="3378" spans="1:19" ht="15" x14ac:dyDescent="0.2">
      <c r="A3378"/>
      <c r="B3378"/>
      <c r="C3378"/>
      <c r="D3378"/>
      <c r="E3378"/>
      <c r="F3378"/>
      <c r="G3378"/>
      <c r="H3378"/>
      <c r="I3378"/>
      <c r="J3378"/>
      <c r="K3378"/>
      <c r="L3378"/>
      <c r="M3378"/>
      <c r="N3378"/>
      <c r="O3378"/>
      <c r="P3378"/>
      <c r="Q3378"/>
      <c r="R3378"/>
      <c r="S3378"/>
    </row>
    <row r="3379" spans="1:19" ht="15" x14ac:dyDescent="0.2">
      <c r="A3379"/>
      <c r="B3379"/>
      <c r="C3379"/>
      <c r="D3379"/>
      <c r="E3379"/>
      <c r="F3379"/>
      <c r="G3379"/>
      <c r="H3379"/>
      <c r="I3379"/>
      <c r="J3379"/>
      <c r="K3379"/>
      <c r="L3379"/>
      <c r="M3379"/>
      <c r="N3379"/>
      <c r="O3379"/>
      <c r="P3379"/>
      <c r="Q3379"/>
      <c r="R3379"/>
      <c r="S3379"/>
    </row>
    <row r="3380" spans="1:19" ht="15" x14ac:dyDescent="0.2">
      <c r="A3380"/>
      <c r="B3380"/>
      <c r="C3380"/>
      <c r="D3380"/>
      <c r="E3380"/>
      <c r="F3380"/>
      <c r="G3380"/>
      <c r="H3380"/>
      <c r="I3380"/>
      <c r="J3380"/>
      <c r="K3380"/>
      <c r="L3380"/>
      <c r="M3380"/>
      <c r="N3380"/>
      <c r="O3380"/>
      <c r="P3380"/>
      <c r="Q3380"/>
      <c r="R3380"/>
      <c r="S3380"/>
    </row>
    <row r="3381" spans="1:19" ht="15" x14ac:dyDescent="0.2">
      <c r="A3381"/>
      <c r="B3381"/>
      <c r="C3381"/>
      <c r="D3381"/>
      <c r="E3381"/>
      <c r="F3381"/>
      <c r="G3381"/>
      <c r="H3381"/>
      <c r="I3381"/>
      <c r="J3381"/>
      <c r="K3381"/>
      <c r="L3381"/>
      <c r="M3381"/>
      <c r="N3381"/>
      <c r="O3381"/>
      <c r="P3381"/>
      <c r="Q3381"/>
      <c r="R3381"/>
      <c r="S3381"/>
    </row>
    <row r="3382" spans="1:19" ht="15" x14ac:dyDescent="0.2">
      <c r="A3382"/>
      <c r="B3382"/>
      <c r="C3382"/>
      <c r="D3382"/>
      <c r="E3382"/>
      <c r="F3382"/>
      <c r="G3382"/>
      <c r="H3382"/>
      <c r="I3382"/>
      <c r="J3382"/>
      <c r="K3382"/>
      <c r="L3382"/>
      <c r="M3382"/>
      <c r="N3382"/>
      <c r="O3382"/>
      <c r="P3382"/>
      <c r="Q3382"/>
      <c r="R3382"/>
      <c r="S3382"/>
    </row>
    <row r="3383" spans="1:19" ht="15" x14ac:dyDescent="0.2">
      <c r="A3383"/>
      <c r="B3383"/>
      <c r="C3383"/>
      <c r="D3383"/>
      <c r="E3383"/>
      <c r="F3383"/>
      <c r="G3383"/>
      <c r="H3383"/>
      <c r="I3383"/>
      <c r="J3383"/>
      <c r="K3383"/>
      <c r="L3383"/>
      <c r="M3383"/>
      <c r="N3383"/>
      <c r="O3383"/>
      <c r="P3383"/>
      <c r="Q3383"/>
      <c r="R3383"/>
      <c r="S3383"/>
    </row>
    <row r="3384" spans="1:19" ht="15" x14ac:dyDescent="0.2">
      <c r="A3384"/>
      <c r="B3384"/>
      <c r="C3384"/>
      <c r="D3384"/>
      <c r="E3384"/>
      <c r="F3384"/>
      <c r="G3384"/>
      <c r="H3384"/>
      <c r="I3384"/>
      <c r="J3384"/>
      <c r="K3384"/>
      <c r="L3384"/>
      <c r="M3384"/>
      <c r="N3384"/>
      <c r="O3384"/>
      <c r="P3384"/>
      <c r="Q3384"/>
      <c r="R3384"/>
      <c r="S3384"/>
    </row>
    <row r="3385" spans="1:19" ht="15" x14ac:dyDescent="0.2">
      <c r="A3385"/>
      <c r="B3385"/>
      <c r="C3385"/>
      <c r="D3385"/>
      <c r="E3385"/>
      <c r="F3385"/>
      <c r="G3385"/>
      <c r="H3385"/>
      <c r="I3385"/>
      <c r="J3385"/>
      <c r="K3385"/>
      <c r="L3385"/>
      <c r="M3385"/>
      <c r="N3385"/>
      <c r="O3385"/>
      <c r="P3385"/>
      <c r="Q3385"/>
      <c r="R3385"/>
      <c r="S3385"/>
    </row>
    <row r="3386" spans="1:19" ht="15" x14ac:dyDescent="0.2">
      <c r="A3386"/>
      <c r="B3386"/>
      <c r="C3386"/>
      <c r="D3386"/>
      <c r="E3386"/>
      <c r="F3386"/>
      <c r="G3386"/>
      <c r="H3386"/>
      <c r="I3386"/>
      <c r="J3386"/>
      <c r="K3386"/>
      <c r="L3386"/>
      <c r="M3386"/>
      <c r="N3386"/>
      <c r="O3386"/>
      <c r="P3386"/>
      <c r="Q3386"/>
      <c r="R3386"/>
      <c r="S3386"/>
    </row>
    <row r="3387" spans="1:19" ht="15" x14ac:dyDescent="0.2">
      <c r="A3387"/>
      <c r="B3387"/>
      <c r="C3387"/>
      <c r="D3387"/>
      <c r="E3387"/>
      <c r="F3387"/>
      <c r="G3387"/>
      <c r="H3387"/>
      <c r="I3387"/>
      <c r="J3387"/>
      <c r="K3387"/>
      <c r="L3387"/>
      <c r="M3387"/>
      <c r="N3387"/>
      <c r="O3387"/>
      <c r="P3387"/>
      <c r="Q3387"/>
      <c r="R3387"/>
      <c r="S3387"/>
    </row>
    <row r="3388" spans="1:19" ht="15" x14ac:dyDescent="0.2">
      <c r="A3388"/>
      <c r="B3388"/>
      <c r="C3388"/>
      <c r="D3388"/>
      <c r="E3388"/>
      <c r="F3388"/>
      <c r="G3388"/>
      <c r="H3388"/>
      <c r="I3388"/>
      <c r="J3388"/>
      <c r="K3388"/>
      <c r="L3388"/>
      <c r="M3388"/>
      <c r="N3388"/>
      <c r="O3388"/>
      <c r="P3388"/>
      <c r="Q3388"/>
      <c r="R3388"/>
      <c r="S3388"/>
    </row>
    <row r="3389" spans="1:19" ht="15" x14ac:dyDescent="0.2">
      <c r="A3389"/>
      <c r="B3389"/>
      <c r="C3389"/>
      <c r="D3389"/>
      <c r="E3389"/>
      <c r="F3389"/>
      <c r="G3389"/>
      <c r="H3389"/>
      <c r="I3389"/>
      <c r="J3389"/>
      <c r="K3389"/>
      <c r="L3389"/>
      <c r="M3389"/>
      <c r="N3389"/>
      <c r="O3389"/>
      <c r="P3389"/>
      <c r="Q3389"/>
      <c r="R3389"/>
      <c r="S3389"/>
    </row>
    <row r="3390" spans="1:19" ht="15" x14ac:dyDescent="0.2">
      <c r="A3390"/>
      <c r="B3390"/>
      <c r="C3390"/>
      <c r="D3390"/>
      <c r="E3390"/>
      <c r="F3390"/>
      <c r="G3390"/>
      <c r="H3390"/>
      <c r="I3390"/>
      <c r="J3390"/>
      <c r="K3390"/>
      <c r="L3390"/>
      <c r="M3390"/>
      <c r="N3390"/>
      <c r="O3390"/>
      <c r="P3390"/>
      <c r="Q3390"/>
      <c r="R3390"/>
      <c r="S3390"/>
    </row>
    <row r="3391" spans="1:19" ht="15" x14ac:dyDescent="0.2">
      <c r="A3391"/>
      <c r="B3391"/>
      <c r="C3391"/>
      <c r="D3391"/>
      <c r="E3391"/>
      <c r="F3391"/>
      <c r="G3391"/>
      <c r="H3391"/>
      <c r="I3391"/>
      <c r="J3391"/>
      <c r="K3391"/>
      <c r="L3391"/>
      <c r="M3391"/>
      <c r="N3391"/>
      <c r="O3391"/>
      <c r="P3391"/>
      <c r="Q3391"/>
      <c r="R3391"/>
      <c r="S3391"/>
    </row>
    <row r="3392" spans="1:19" ht="15" x14ac:dyDescent="0.2">
      <c r="A3392"/>
      <c r="B3392"/>
      <c r="C3392"/>
      <c r="D3392"/>
      <c r="E3392"/>
      <c r="F3392"/>
      <c r="G3392"/>
      <c r="H3392"/>
      <c r="I3392"/>
      <c r="J3392"/>
      <c r="K3392"/>
      <c r="L3392"/>
      <c r="M3392"/>
      <c r="N3392"/>
      <c r="O3392"/>
      <c r="P3392"/>
      <c r="Q3392"/>
      <c r="R3392"/>
      <c r="S3392"/>
    </row>
    <row r="3393" spans="1:19" ht="15" x14ac:dyDescent="0.2">
      <c r="A3393"/>
      <c r="B3393"/>
      <c r="C3393"/>
      <c r="D3393"/>
      <c r="E3393"/>
      <c r="F3393"/>
      <c r="G3393"/>
      <c r="H3393"/>
      <c r="I3393"/>
      <c r="J3393"/>
      <c r="K3393"/>
      <c r="L3393"/>
      <c r="M3393"/>
      <c r="N3393"/>
      <c r="O3393"/>
      <c r="P3393"/>
      <c r="Q3393"/>
      <c r="R3393"/>
      <c r="S3393"/>
    </row>
    <row r="3394" spans="1:19" ht="15" x14ac:dyDescent="0.2">
      <c r="A3394"/>
      <c r="B3394"/>
      <c r="C3394"/>
      <c r="D3394"/>
      <c r="E3394"/>
      <c r="F3394"/>
      <c r="G3394"/>
      <c r="H3394"/>
      <c r="I3394"/>
      <c r="J3394"/>
      <c r="K3394"/>
      <c r="L3394"/>
      <c r="M3394"/>
      <c r="N3394"/>
      <c r="O3394"/>
      <c r="P3394"/>
      <c r="Q3394"/>
      <c r="R3394"/>
      <c r="S3394"/>
    </row>
    <row r="3395" spans="1:19" ht="15" x14ac:dyDescent="0.2">
      <c r="A3395"/>
      <c r="B3395"/>
      <c r="C3395"/>
      <c r="D3395"/>
      <c r="E3395"/>
      <c r="F3395"/>
      <c r="G3395"/>
      <c r="H3395"/>
      <c r="I3395"/>
      <c r="J3395"/>
      <c r="K3395"/>
      <c r="L3395"/>
      <c r="M3395"/>
      <c r="N3395"/>
      <c r="O3395"/>
      <c r="P3395"/>
      <c r="Q3395"/>
      <c r="R3395"/>
      <c r="S3395"/>
    </row>
    <row r="3396" spans="1:19" ht="15" x14ac:dyDescent="0.2">
      <c r="A3396"/>
      <c r="B3396"/>
      <c r="C3396"/>
      <c r="D3396"/>
      <c r="E3396"/>
      <c r="F3396"/>
      <c r="G3396"/>
      <c r="H3396"/>
      <c r="I3396"/>
      <c r="J3396"/>
      <c r="K3396"/>
      <c r="L3396"/>
      <c r="M3396"/>
      <c r="N3396"/>
      <c r="O3396"/>
      <c r="P3396"/>
      <c r="Q3396"/>
      <c r="R3396"/>
      <c r="S3396"/>
    </row>
    <row r="3397" spans="1:19" ht="15" x14ac:dyDescent="0.2">
      <c r="A3397"/>
      <c r="B3397"/>
      <c r="C3397"/>
      <c r="D3397"/>
      <c r="E3397"/>
      <c r="F3397"/>
      <c r="G3397"/>
      <c r="H3397"/>
      <c r="I3397"/>
      <c r="J3397"/>
      <c r="K3397"/>
      <c r="L3397"/>
      <c r="M3397"/>
      <c r="N3397"/>
      <c r="O3397"/>
      <c r="P3397"/>
      <c r="Q3397"/>
      <c r="R3397"/>
      <c r="S3397"/>
    </row>
    <row r="3398" spans="1:19" ht="15" x14ac:dyDescent="0.2">
      <c r="A3398"/>
      <c r="B3398"/>
      <c r="C3398"/>
      <c r="D3398"/>
      <c r="E3398"/>
      <c r="F3398"/>
      <c r="G3398"/>
      <c r="H3398"/>
      <c r="I3398"/>
      <c r="J3398"/>
      <c r="K3398"/>
      <c r="L3398"/>
      <c r="M3398"/>
      <c r="N3398"/>
      <c r="O3398"/>
      <c r="P3398"/>
      <c r="Q3398"/>
      <c r="R3398"/>
      <c r="S3398"/>
    </row>
    <row r="3399" spans="1:19" ht="15" x14ac:dyDescent="0.2">
      <c r="A3399"/>
      <c r="B3399"/>
      <c r="C3399"/>
      <c r="D3399"/>
      <c r="E3399"/>
      <c r="F3399"/>
      <c r="G3399"/>
      <c r="H3399"/>
      <c r="I3399"/>
      <c r="J3399"/>
      <c r="K3399"/>
      <c r="L3399"/>
      <c r="M3399"/>
      <c r="N3399"/>
      <c r="O3399"/>
      <c r="P3399"/>
      <c r="Q3399"/>
      <c r="R3399"/>
      <c r="S3399"/>
    </row>
    <row r="3400" spans="1:19" ht="15" x14ac:dyDescent="0.2">
      <c r="A3400"/>
      <c r="B3400"/>
      <c r="C3400"/>
      <c r="D3400"/>
      <c r="E3400"/>
      <c r="F3400"/>
      <c r="G3400"/>
      <c r="H3400"/>
      <c r="I3400"/>
      <c r="J3400"/>
      <c r="K3400"/>
      <c r="L3400"/>
      <c r="M3400"/>
      <c r="N3400"/>
      <c r="O3400"/>
      <c r="P3400"/>
      <c r="Q3400"/>
      <c r="R3400"/>
      <c r="S3400"/>
    </row>
    <row r="3401" spans="1:19" ht="15" x14ac:dyDescent="0.2">
      <c r="A3401"/>
      <c r="B3401"/>
      <c r="C3401"/>
      <c r="D3401"/>
      <c r="E3401"/>
      <c r="F3401"/>
      <c r="G3401"/>
      <c r="H3401"/>
      <c r="I3401"/>
      <c r="J3401"/>
      <c r="K3401"/>
      <c r="L3401"/>
      <c r="M3401"/>
      <c r="N3401"/>
      <c r="O3401"/>
      <c r="P3401"/>
      <c r="Q3401"/>
      <c r="R3401"/>
      <c r="S3401"/>
    </row>
    <row r="3402" spans="1:19" ht="15" x14ac:dyDescent="0.2">
      <c r="A3402"/>
      <c r="B3402"/>
      <c r="C3402"/>
      <c r="D3402"/>
      <c r="E3402"/>
      <c r="F3402"/>
      <c r="G3402"/>
      <c r="H3402"/>
      <c r="I3402"/>
      <c r="J3402"/>
      <c r="K3402"/>
      <c r="L3402"/>
      <c r="M3402"/>
      <c r="N3402"/>
      <c r="O3402"/>
      <c r="P3402"/>
      <c r="Q3402"/>
      <c r="R3402"/>
      <c r="S3402"/>
    </row>
    <row r="3403" spans="1:19" ht="15" x14ac:dyDescent="0.2">
      <c r="A3403"/>
      <c r="B3403"/>
      <c r="C3403"/>
      <c r="D3403"/>
      <c r="E3403"/>
      <c r="F3403"/>
      <c r="G3403"/>
      <c r="H3403"/>
      <c r="I3403"/>
      <c r="J3403"/>
      <c r="K3403"/>
      <c r="L3403"/>
      <c r="M3403"/>
      <c r="N3403"/>
      <c r="O3403"/>
      <c r="P3403"/>
      <c r="Q3403"/>
      <c r="R3403"/>
      <c r="S3403"/>
    </row>
    <row r="3404" spans="1:19" ht="15" x14ac:dyDescent="0.2">
      <c r="A3404"/>
      <c r="B3404"/>
      <c r="C3404"/>
      <c r="D3404"/>
      <c r="E3404"/>
      <c r="F3404"/>
      <c r="G3404"/>
      <c r="H3404"/>
      <c r="I3404"/>
      <c r="J3404"/>
      <c r="K3404"/>
      <c r="L3404"/>
      <c r="M3404"/>
      <c r="N3404"/>
      <c r="O3404"/>
      <c r="P3404"/>
      <c r="Q3404"/>
      <c r="R3404"/>
      <c r="S3404"/>
    </row>
    <row r="3405" spans="1:19" ht="15" x14ac:dyDescent="0.2">
      <c r="A3405"/>
      <c r="B3405"/>
      <c r="C3405"/>
      <c r="D3405"/>
      <c r="E3405"/>
      <c r="F3405"/>
      <c r="G3405"/>
      <c r="H3405"/>
      <c r="I3405"/>
      <c r="J3405"/>
      <c r="K3405"/>
      <c r="L3405"/>
      <c r="M3405"/>
      <c r="N3405"/>
      <c r="O3405"/>
      <c r="P3405"/>
      <c r="Q3405"/>
      <c r="R3405"/>
      <c r="S3405"/>
    </row>
    <row r="3406" spans="1:19" ht="15" x14ac:dyDescent="0.2">
      <c r="A3406"/>
      <c r="B3406"/>
      <c r="C3406"/>
      <c r="D3406"/>
      <c r="E3406"/>
      <c r="F3406"/>
      <c r="G3406"/>
      <c r="H3406"/>
      <c r="I3406"/>
      <c r="J3406"/>
      <c r="K3406"/>
      <c r="L3406"/>
      <c r="M3406"/>
      <c r="N3406"/>
      <c r="O3406"/>
      <c r="P3406"/>
      <c r="Q3406"/>
      <c r="R3406"/>
      <c r="S3406"/>
    </row>
    <row r="3407" spans="1:19" ht="15" x14ac:dyDescent="0.2">
      <c r="A3407"/>
      <c r="B3407"/>
      <c r="C3407"/>
      <c r="D3407"/>
      <c r="E3407"/>
      <c r="F3407"/>
      <c r="G3407"/>
      <c r="H3407"/>
      <c r="I3407"/>
      <c r="J3407"/>
      <c r="K3407"/>
      <c r="L3407"/>
      <c r="M3407"/>
      <c r="N3407"/>
      <c r="O3407"/>
      <c r="P3407"/>
      <c r="Q3407"/>
      <c r="R3407"/>
      <c r="S3407"/>
    </row>
    <row r="3408" spans="1:19" ht="15" x14ac:dyDescent="0.2">
      <c r="A3408"/>
      <c r="B3408"/>
      <c r="C3408"/>
      <c r="D3408"/>
      <c r="E3408"/>
      <c r="F3408"/>
      <c r="G3408"/>
      <c r="H3408"/>
      <c r="I3408"/>
      <c r="J3408"/>
      <c r="K3408"/>
      <c r="L3408"/>
      <c r="M3408"/>
      <c r="N3408"/>
      <c r="O3408"/>
      <c r="P3408"/>
      <c r="Q3408"/>
      <c r="R3408"/>
      <c r="S3408"/>
    </row>
    <row r="3409" spans="1:19" ht="15" x14ac:dyDescent="0.2">
      <c r="A3409"/>
      <c r="B3409"/>
      <c r="C3409"/>
      <c r="D3409"/>
      <c r="E3409"/>
      <c r="F3409"/>
      <c r="G3409"/>
      <c r="H3409"/>
      <c r="I3409"/>
      <c r="J3409"/>
      <c r="K3409"/>
      <c r="L3409"/>
      <c r="M3409"/>
      <c r="N3409"/>
      <c r="O3409"/>
      <c r="P3409"/>
      <c r="Q3409"/>
      <c r="R3409"/>
      <c r="S3409"/>
    </row>
    <row r="3410" spans="1:19" ht="15" x14ac:dyDescent="0.2">
      <c r="A3410"/>
      <c r="B3410"/>
      <c r="C3410"/>
      <c r="D3410"/>
      <c r="E3410"/>
      <c r="F3410"/>
      <c r="G3410"/>
      <c r="H3410"/>
      <c r="I3410"/>
      <c r="J3410"/>
      <c r="K3410"/>
      <c r="L3410"/>
      <c r="M3410"/>
      <c r="N3410"/>
      <c r="O3410"/>
      <c r="P3410"/>
      <c r="Q3410"/>
      <c r="R3410"/>
      <c r="S3410"/>
    </row>
    <row r="3411" spans="1:19" ht="15" x14ac:dyDescent="0.2">
      <c r="A3411"/>
      <c r="B3411"/>
      <c r="C3411"/>
      <c r="D3411"/>
      <c r="E3411"/>
      <c r="F3411"/>
      <c r="G3411"/>
      <c r="H3411"/>
      <c r="I3411"/>
      <c r="J3411"/>
      <c r="K3411"/>
      <c r="L3411"/>
      <c r="M3411"/>
      <c r="N3411"/>
      <c r="O3411"/>
      <c r="P3411"/>
      <c r="Q3411"/>
      <c r="R3411"/>
      <c r="S3411"/>
    </row>
    <row r="3412" spans="1:19" ht="15" x14ac:dyDescent="0.2">
      <c r="A3412"/>
      <c r="B3412"/>
      <c r="C3412"/>
      <c r="D3412"/>
      <c r="E3412"/>
      <c r="F3412"/>
      <c r="G3412"/>
      <c r="H3412"/>
      <c r="I3412"/>
      <c r="J3412"/>
      <c r="K3412"/>
      <c r="L3412"/>
      <c r="M3412"/>
      <c r="N3412"/>
      <c r="O3412"/>
      <c r="P3412"/>
      <c r="Q3412"/>
      <c r="R3412"/>
      <c r="S3412"/>
    </row>
    <row r="3413" spans="1:19" ht="15" x14ac:dyDescent="0.2">
      <c r="A3413"/>
      <c r="B3413"/>
      <c r="C3413"/>
      <c r="D3413"/>
      <c r="E3413"/>
      <c r="F3413"/>
      <c r="G3413"/>
      <c r="H3413"/>
      <c r="I3413"/>
      <c r="J3413"/>
      <c r="K3413"/>
      <c r="L3413"/>
      <c r="M3413"/>
      <c r="N3413"/>
      <c r="O3413"/>
      <c r="P3413"/>
      <c r="Q3413"/>
      <c r="R3413"/>
      <c r="S3413"/>
    </row>
    <row r="3414" spans="1:19" ht="15" x14ac:dyDescent="0.2">
      <c r="A3414"/>
      <c r="B3414"/>
      <c r="C3414"/>
      <c r="D3414"/>
      <c r="E3414"/>
      <c r="F3414"/>
      <c r="G3414"/>
      <c r="H3414"/>
      <c r="I3414"/>
      <c r="J3414"/>
      <c r="K3414"/>
      <c r="L3414"/>
      <c r="M3414"/>
      <c r="N3414"/>
      <c r="O3414"/>
      <c r="P3414"/>
      <c r="Q3414"/>
      <c r="R3414"/>
      <c r="S3414"/>
    </row>
    <row r="3415" spans="1:19" ht="15" x14ac:dyDescent="0.2">
      <c r="A3415"/>
      <c r="B3415"/>
      <c r="C3415"/>
      <c r="D3415"/>
      <c r="E3415"/>
      <c r="F3415"/>
      <c r="G3415"/>
      <c r="H3415"/>
      <c r="I3415"/>
      <c r="J3415"/>
      <c r="K3415"/>
      <c r="L3415"/>
      <c r="M3415"/>
      <c r="N3415"/>
      <c r="O3415"/>
      <c r="P3415"/>
      <c r="Q3415"/>
      <c r="R3415"/>
      <c r="S3415"/>
    </row>
    <row r="3416" spans="1:19" ht="15" x14ac:dyDescent="0.2">
      <c r="A3416"/>
      <c r="B3416"/>
      <c r="C3416"/>
      <c r="D3416"/>
      <c r="E3416"/>
      <c r="F3416"/>
      <c r="G3416"/>
      <c r="H3416"/>
      <c r="I3416"/>
      <c r="J3416"/>
      <c r="K3416"/>
      <c r="L3416"/>
      <c r="M3416"/>
      <c r="N3416"/>
      <c r="O3416"/>
      <c r="P3416"/>
      <c r="Q3416"/>
      <c r="R3416"/>
      <c r="S3416"/>
    </row>
    <row r="3417" spans="1:19" ht="15" x14ac:dyDescent="0.2">
      <c r="A3417"/>
      <c r="B3417"/>
      <c r="C3417"/>
      <c r="D3417"/>
      <c r="E3417"/>
      <c r="F3417"/>
      <c r="G3417"/>
      <c r="H3417"/>
      <c r="I3417"/>
      <c r="J3417"/>
      <c r="K3417"/>
      <c r="L3417"/>
      <c r="M3417"/>
      <c r="N3417"/>
      <c r="O3417"/>
      <c r="P3417"/>
      <c r="Q3417"/>
      <c r="R3417"/>
      <c r="S3417"/>
    </row>
    <row r="3418" spans="1:19" ht="15" x14ac:dyDescent="0.2">
      <c r="A3418"/>
      <c r="B3418"/>
      <c r="C3418"/>
      <c r="D3418"/>
      <c r="E3418"/>
      <c r="F3418"/>
      <c r="G3418"/>
      <c r="H3418"/>
      <c r="I3418"/>
      <c r="J3418"/>
      <c r="K3418"/>
      <c r="L3418"/>
      <c r="M3418"/>
      <c r="N3418"/>
      <c r="O3418"/>
      <c r="P3418"/>
      <c r="Q3418"/>
      <c r="R3418"/>
      <c r="S3418"/>
    </row>
    <row r="3419" spans="1:19" ht="15" x14ac:dyDescent="0.2">
      <c r="A3419"/>
      <c r="B3419"/>
      <c r="C3419"/>
      <c r="D3419"/>
      <c r="E3419"/>
      <c r="F3419"/>
      <c r="G3419"/>
      <c r="H3419"/>
      <c r="I3419"/>
      <c r="J3419"/>
      <c r="K3419"/>
      <c r="L3419"/>
      <c r="M3419"/>
      <c r="N3419"/>
      <c r="O3419"/>
      <c r="P3419"/>
      <c r="Q3419"/>
      <c r="R3419"/>
      <c r="S3419"/>
    </row>
    <row r="3420" spans="1:19" ht="15" x14ac:dyDescent="0.2">
      <c r="A3420"/>
      <c r="B3420"/>
      <c r="C3420"/>
      <c r="D3420"/>
      <c r="E3420"/>
      <c r="F3420"/>
      <c r="G3420"/>
      <c r="H3420"/>
      <c r="I3420"/>
      <c r="J3420"/>
      <c r="K3420"/>
      <c r="L3420"/>
      <c r="M3420"/>
      <c r="N3420"/>
      <c r="O3420"/>
      <c r="P3420"/>
      <c r="Q3420"/>
      <c r="R3420"/>
      <c r="S3420"/>
    </row>
    <row r="3421" spans="1:19" ht="15" x14ac:dyDescent="0.2">
      <c r="A3421"/>
      <c r="B3421"/>
      <c r="C3421"/>
      <c r="D3421"/>
      <c r="E3421"/>
      <c r="F3421"/>
      <c r="G3421"/>
      <c r="H3421"/>
      <c r="I3421"/>
      <c r="J3421"/>
      <c r="K3421"/>
      <c r="L3421"/>
      <c r="M3421"/>
      <c r="N3421"/>
      <c r="O3421"/>
      <c r="P3421"/>
      <c r="Q3421"/>
      <c r="R3421"/>
      <c r="S3421"/>
    </row>
    <row r="3422" spans="1:19" ht="15" x14ac:dyDescent="0.2">
      <c r="A3422"/>
      <c r="B3422"/>
      <c r="C3422"/>
      <c r="D3422"/>
      <c r="E3422"/>
      <c r="F3422"/>
      <c r="G3422"/>
      <c r="H3422"/>
      <c r="I3422"/>
      <c r="J3422"/>
      <c r="K3422"/>
      <c r="L3422"/>
      <c r="M3422"/>
      <c r="N3422"/>
      <c r="O3422"/>
      <c r="P3422"/>
      <c r="Q3422"/>
      <c r="R3422"/>
      <c r="S3422"/>
    </row>
    <row r="3423" spans="1:19" ht="15" x14ac:dyDescent="0.2">
      <c r="A3423"/>
      <c r="B3423"/>
      <c r="C3423"/>
      <c r="D3423"/>
      <c r="E3423"/>
      <c r="F3423"/>
      <c r="G3423"/>
      <c r="H3423"/>
      <c r="I3423"/>
      <c r="J3423"/>
      <c r="K3423"/>
      <c r="L3423"/>
      <c r="M3423"/>
      <c r="N3423"/>
      <c r="O3423"/>
      <c r="P3423"/>
      <c r="Q3423"/>
      <c r="R3423"/>
      <c r="S3423"/>
    </row>
    <row r="3424" spans="1:19" ht="15" x14ac:dyDescent="0.2">
      <c r="A3424"/>
      <c r="B3424"/>
      <c r="C3424"/>
      <c r="D3424"/>
      <c r="E3424"/>
      <c r="F3424"/>
      <c r="G3424"/>
      <c r="H3424"/>
      <c r="I3424"/>
      <c r="J3424"/>
      <c r="K3424"/>
      <c r="L3424"/>
      <c r="M3424"/>
      <c r="N3424"/>
      <c r="O3424"/>
      <c r="P3424"/>
      <c r="Q3424"/>
      <c r="R3424"/>
      <c r="S3424"/>
    </row>
    <row r="3425" spans="1:19" ht="15" x14ac:dyDescent="0.2">
      <c r="A3425"/>
      <c r="B3425"/>
      <c r="C3425"/>
      <c r="D3425"/>
      <c r="E3425"/>
      <c r="F3425"/>
      <c r="G3425"/>
      <c r="H3425"/>
      <c r="I3425"/>
      <c r="J3425"/>
      <c r="K3425"/>
      <c r="L3425"/>
      <c r="M3425"/>
      <c r="N3425"/>
      <c r="O3425"/>
      <c r="P3425"/>
      <c r="Q3425"/>
      <c r="R3425"/>
      <c r="S3425"/>
    </row>
    <row r="3426" spans="1:19" ht="15" x14ac:dyDescent="0.2">
      <c r="A3426"/>
      <c r="B3426"/>
      <c r="C3426"/>
      <c r="D3426"/>
      <c r="E3426"/>
      <c r="F3426"/>
      <c r="G3426"/>
      <c r="H3426"/>
      <c r="I3426"/>
      <c r="J3426"/>
      <c r="K3426"/>
      <c r="L3426"/>
      <c r="M3426"/>
      <c r="N3426"/>
      <c r="O3426"/>
      <c r="P3426"/>
      <c r="Q3426"/>
      <c r="R3426"/>
      <c r="S3426"/>
    </row>
    <row r="3427" spans="1:19" ht="15" x14ac:dyDescent="0.2">
      <c r="A3427"/>
      <c r="B3427"/>
      <c r="C3427"/>
      <c r="D3427"/>
      <c r="E3427"/>
      <c r="F3427"/>
      <c r="G3427"/>
      <c r="H3427"/>
      <c r="I3427"/>
      <c r="J3427"/>
      <c r="K3427"/>
      <c r="L3427"/>
      <c r="M3427"/>
      <c r="N3427"/>
      <c r="O3427"/>
      <c r="P3427"/>
      <c r="Q3427"/>
      <c r="R3427"/>
      <c r="S3427"/>
    </row>
    <row r="3428" spans="1:19" ht="15" x14ac:dyDescent="0.2">
      <c r="A3428"/>
      <c r="B3428"/>
      <c r="C3428"/>
      <c r="D3428"/>
      <c r="E3428"/>
      <c r="F3428"/>
      <c r="G3428"/>
      <c r="H3428"/>
      <c r="I3428"/>
      <c r="J3428"/>
      <c r="K3428"/>
      <c r="L3428"/>
      <c r="M3428"/>
      <c r="N3428"/>
      <c r="O3428"/>
      <c r="P3428"/>
      <c r="Q3428"/>
      <c r="R3428"/>
      <c r="S3428"/>
    </row>
    <row r="3429" spans="1:19" ht="15" x14ac:dyDescent="0.2">
      <c r="A3429"/>
      <c r="B3429"/>
      <c r="C3429"/>
      <c r="D3429"/>
      <c r="E3429"/>
      <c r="F3429"/>
      <c r="G3429"/>
      <c r="H3429"/>
      <c r="I3429"/>
      <c r="J3429"/>
      <c r="K3429"/>
      <c r="L3429"/>
      <c r="M3429"/>
      <c r="N3429"/>
      <c r="O3429"/>
      <c r="P3429"/>
      <c r="Q3429"/>
      <c r="R3429"/>
      <c r="S3429"/>
    </row>
    <row r="3430" spans="1:19" ht="15" x14ac:dyDescent="0.2">
      <c r="A3430"/>
      <c r="B3430"/>
      <c r="C3430"/>
      <c r="D3430"/>
      <c r="E3430"/>
      <c r="F3430"/>
      <c r="G3430"/>
      <c r="H3430"/>
      <c r="I3430"/>
      <c r="J3430"/>
      <c r="K3430"/>
      <c r="L3430"/>
      <c r="M3430"/>
      <c r="N3430"/>
      <c r="O3430"/>
      <c r="P3430"/>
      <c r="Q3430"/>
      <c r="R3430"/>
      <c r="S3430"/>
    </row>
    <row r="3431" spans="1:19" ht="15" x14ac:dyDescent="0.2">
      <c r="A3431"/>
      <c r="B3431"/>
      <c r="C3431"/>
      <c r="D3431"/>
      <c r="E3431"/>
      <c r="F3431"/>
      <c r="G3431"/>
      <c r="H3431"/>
      <c r="I3431"/>
      <c r="J3431"/>
      <c r="K3431"/>
      <c r="L3431"/>
      <c r="M3431"/>
      <c r="N3431"/>
      <c r="O3431"/>
      <c r="P3431"/>
      <c r="Q3431"/>
      <c r="R3431"/>
      <c r="S3431"/>
    </row>
    <row r="3432" spans="1:19" ht="15" x14ac:dyDescent="0.2">
      <c r="A3432"/>
      <c r="B3432"/>
      <c r="C3432"/>
      <c r="D3432"/>
      <c r="E3432"/>
      <c r="F3432"/>
      <c r="G3432"/>
      <c r="H3432"/>
      <c r="I3432"/>
      <c r="J3432"/>
      <c r="K3432"/>
      <c r="L3432"/>
      <c r="M3432"/>
      <c r="N3432"/>
      <c r="O3432"/>
      <c r="P3432"/>
      <c r="Q3432"/>
      <c r="R3432"/>
      <c r="S3432"/>
    </row>
    <row r="3433" spans="1:19" ht="15" x14ac:dyDescent="0.2">
      <c r="A3433"/>
      <c r="B3433"/>
      <c r="C3433"/>
      <c r="D3433"/>
      <c r="E3433"/>
      <c r="F3433"/>
      <c r="G3433"/>
      <c r="H3433"/>
      <c r="I3433"/>
      <c r="J3433"/>
      <c r="K3433"/>
      <c r="L3433"/>
      <c r="M3433"/>
      <c r="N3433"/>
      <c r="O3433"/>
      <c r="P3433"/>
      <c r="Q3433"/>
      <c r="R3433"/>
      <c r="S3433"/>
    </row>
    <row r="3434" spans="1:19" ht="15" x14ac:dyDescent="0.2">
      <c r="A3434"/>
      <c r="B3434"/>
      <c r="C3434"/>
      <c r="D3434"/>
      <c r="E3434"/>
      <c r="F3434"/>
      <c r="G3434"/>
      <c r="H3434"/>
      <c r="I3434"/>
      <c r="J3434"/>
      <c r="K3434"/>
      <c r="L3434"/>
      <c r="M3434"/>
      <c r="N3434"/>
      <c r="O3434"/>
      <c r="P3434"/>
      <c r="Q3434"/>
      <c r="R3434"/>
      <c r="S3434"/>
    </row>
    <row r="3435" spans="1:19" ht="15" x14ac:dyDescent="0.2">
      <c r="A3435"/>
      <c r="B3435"/>
      <c r="C3435"/>
      <c r="D3435"/>
      <c r="E3435"/>
      <c r="F3435"/>
      <c r="G3435"/>
      <c r="H3435"/>
      <c r="I3435"/>
      <c r="J3435"/>
      <c r="K3435"/>
      <c r="L3435"/>
      <c r="M3435"/>
      <c r="N3435"/>
      <c r="O3435"/>
      <c r="P3435"/>
      <c r="Q3435"/>
      <c r="R3435"/>
      <c r="S3435"/>
    </row>
    <row r="3436" spans="1:19" ht="15" x14ac:dyDescent="0.2">
      <c r="A3436"/>
      <c r="B3436"/>
      <c r="C3436"/>
      <c r="D3436"/>
      <c r="E3436"/>
      <c r="F3436"/>
      <c r="G3436"/>
      <c r="H3436"/>
      <c r="I3436"/>
      <c r="J3436"/>
      <c r="K3436"/>
      <c r="L3436"/>
      <c r="M3436"/>
      <c r="N3436"/>
      <c r="O3436"/>
      <c r="P3436"/>
      <c r="Q3436"/>
      <c r="R3436"/>
      <c r="S3436"/>
    </row>
    <row r="3437" spans="1:19" ht="15" x14ac:dyDescent="0.2">
      <c r="A3437"/>
      <c r="B3437"/>
      <c r="C3437"/>
      <c r="D3437"/>
      <c r="E3437"/>
      <c r="F3437"/>
      <c r="G3437"/>
      <c r="H3437"/>
      <c r="I3437"/>
      <c r="J3437"/>
      <c r="K3437"/>
      <c r="L3437"/>
      <c r="M3437"/>
      <c r="N3437"/>
      <c r="O3437"/>
      <c r="P3437"/>
      <c r="Q3437"/>
      <c r="R3437"/>
      <c r="S3437"/>
    </row>
    <row r="3438" spans="1:19" ht="15" x14ac:dyDescent="0.2">
      <c r="A3438"/>
      <c r="B3438"/>
      <c r="C3438"/>
      <c r="D3438"/>
      <c r="E3438"/>
      <c r="F3438"/>
      <c r="G3438"/>
      <c r="H3438"/>
      <c r="I3438"/>
      <c r="J3438"/>
      <c r="K3438"/>
      <c r="L3438"/>
      <c r="M3438"/>
      <c r="N3438"/>
      <c r="O3438"/>
      <c r="P3438"/>
      <c r="Q3438"/>
      <c r="R3438"/>
      <c r="S3438"/>
    </row>
    <row r="3439" spans="1:19" ht="15" x14ac:dyDescent="0.2">
      <c r="A3439"/>
      <c r="B3439"/>
      <c r="C3439"/>
      <c r="D3439"/>
      <c r="E3439"/>
      <c r="F3439"/>
      <c r="G3439"/>
      <c r="H3439"/>
      <c r="I3439"/>
      <c r="J3439"/>
      <c r="K3439"/>
      <c r="L3439"/>
      <c r="M3439"/>
      <c r="N3439"/>
      <c r="O3439"/>
      <c r="P3439"/>
      <c r="Q3439"/>
      <c r="R3439"/>
      <c r="S3439"/>
    </row>
    <row r="3440" spans="1:19" ht="15" x14ac:dyDescent="0.2">
      <c r="A3440"/>
      <c r="B3440"/>
      <c r="C3440"/>
      <c r="D3440"/>
      <c r="E3440"/>
      <c r="F3440"/>
      <c r="G3440"/>
      <c r="H3440"/>
      <c r="I3440"/>
      <c r="J3440"/>
      <c r="K3440"/>
      <c r="L3440"/>
      <c r="M3440"/>
      <c r="N3440"/>
      <c r="O3440"/>
      <c r="P3440"/>
      <c r="Q3440"/>
      <c r="R3440"/>
      <c r="S3440"/>
    </row>
    <row r="3441" spans="1:19" ht="15" x14ac:dyDescent="0.2">
      <c r="A3441"/>
      <c r="B3441"/>
      <c r="C3441"/>
      <c r="D3441"/>
      <c r="E3441"/>
      <c r="F3441"/>
      <c r="G3441"/>
      <c r="H3441"/>
      <c r="I3441"/>
      <c r="J3441"/>
      <c r="K3441"/>
      <c r="L3441"/>
      <c r="M3441"/>
      <c r="N3441"/>
      <c r="O3441"/>
      <c r="P3441"/>
      <c r="Q3441"/>
      <c r="R3441"/>
      <c r="S3441"/>
    </row>
    <row r="3442" spans="1:19" ht="15" x14ac:dyDescent="0.2">
      <c r="A3442"/>
      <c r="B3442"/>
      <c r="C3442"/>
      <c r="D3442"/>
      <c r="E3442"/>
      <c r="F3442"/>
      <c r="G3442"/>
      <c r="H3442"/>
      <c r="I3442"/>
      <c r="J3442"/>
      <c r="K3442"/>
      <c r="L3442"/>
      <c r="M3442"/>
      <c r="N3442"/>
      <c r="O3442"/>
      <c r="P3442"/>
      <c r="Q3442"/>
      <c r="R3442"/>
      <c r="S3442"/>
    </row>
    <row r="3443" spans="1:19" ht="15" x14ac:dyDescent="0.2">
      <c r="A3443"/>
      <c r="B3443"/>
      <c r="C3443"/>
      <c r="D3443"/>
      <c r="E3443"/>
      <c r="F3443"/>
      <c r="G3443"/>
      <c r="H3443"/>
      <c r="I3443"/>
      <c r="J3443"/>
      <c r="K3443"/>
      <c r="L3443"/>
      <c r="M3443"/>
      <c r="N3443"/>
      <c r="O3443"/>
      <c r="P3443"/>
      <c r="Q3443"/>
      <c r="R3443"/>
      <c r="S3443"/>
    </row>
    <row r="3444" spans="1:19" ht="15" x14ac:dyDescent="0.2">
      <c r="A3444"/>
      <c r="B3444"/>
      <c r="C3444"/>
      <c r="D3444"/>
      <c r="E3444"/>
      <c r="F3444"/>
      <c r="G3444"/>
      <c r="H3444"/>
      <c r="I3444"/>
      <c r="J3444"/>
      <c r="K3444"/>
      <c r="L3444"/>
      <c r="M3444"/>
      <c r="N3444"/>
      <c r="O3444"/>
      <c r="P3444"/>
      <c r="Q3444"/>
      <c r="R3444"/>
      <c r="S3444"/>
    </row>
    <row r="3445" spans="1:19" ht="15" x14ac:dyDescent="0.2">
      <c r="A3445"/>
      <c r="B3445"/>
      <c r="C3445"/>
      <c r="D3445"/>
      <c r="E3445"/>
      <c r="F3445"/>
      <c r="G3445"/>
      <c r="H3445"/>
      <c r="I3445"/>
      <c r="J3445"/>
      <c r="K3445"/>
      <c r="L3445"/>
      <c r="M3445"/>
      <c r="N3445"/>
      <c r="O3445"/>
      <c r="P3445"/>
      <c r="Q3445"/>
      <c r="R3445"/>
      <c r="S3445"/>
    </row>
    <row r="3446" spans="1:19" ht="15" x14ac:dyDescent="0.2">
      <c r="A3446"/>
      <c r="B3446"/>
      <c r="C3446"/>
      <c r="D3446"/>
      <c r="E3446"/>
      <c r="F3446"/>
      <c r="G3446"/>
      <c r="H3446"/>
      <c r="I3446"/>
      <c r="J3446"/>
      <c r="K3446"/>
      <c r="L3446"/>
      <c r="M3446"/>
      <c r="N3446"/>
      <c r="O3446"/>
      <c r="P3446"/>
      <c r="Q3446"/>
      <c r="R3446"/>
      <c r="S3446"/>
    </row>
    <row r="3447" spans="1:19" ht="15" x14ac:dyDescent="0.2">
      <c r="A3447"/>
      <c r="B3447"/>
      <c r="C3447"/>
      <c r="D3447"/>
      <c r="E3447"/>
      <c r="F3447"/>
      <c r="G3447"/>
      <c r="H3447"/>
      <c r="I3447"/>
      <c r="J3447"/>
      <c r="K3447"/>
      <c r="L3447"/>
      <c r="M3447"/>
      <c r="N3447"/>
      <c r="O3447"/>
      <c r="P3447"/>
      <c r="Q3447"/>
      <c r="R3447"/>
      <c r="S3447"/>
    </row>
    <row r="3448" spans="1:19" ht="15" x14ac:dyDescent="0.2">
      <c r="A3448"/>
      <c r="B3448"/>
      <c r="C3448"/>
      <c r="D3448"/>
      <c r="E3448"/>
      <c r="F3448"/>
      <c r="G3448"/>
      <c r="H3448"/>
      <c r="I3448"/>
      <c r="J3448"/>
      <c r="K3448"/>
      <c r="L3448"/>
      <c r="M3448"/>
      <c r="N3448"/>
      <c r="O3448"/>
      <c r="P3448"/>
      <c r="Q3448"/>
      <c r="R3448"/>
      <c r="S3448"/>
    </row>
    <row r="3449" spans="1:19" ht="15" x14ac:dyDescent="0.2">
      <c r="A3449"/>
      <c r="B3449"/>
      <c r="C3449"/>
      <c r="D3449"/>
      <c r="E3449"/>
      <c r="F3449"/>
      <c r="G3449"/>
      <c r="H3449"/>
      <c r="I3449"/>
      <c r="J3449"/>
      <c r="K3449"/>
      <c r="L3449"/>
      <c r="M3449"/>
      <c r="N3449"/>
      <c r="O3449"/>
      <c r="P3449"/>
      <c r="Q3449"/>
      <c r="R3449"/>
      <c r="S3449"/>
    </row>
    <row r="3450" spans="1:19" ht="15" x14ac:dyDescent="0.2">
      <c r="A3450"/>
      <c r="B3450"/>
      <c r="C3450"/>
      <c r="D3450"/>
      <c r="E3450"/>
      <c r="F3450"/>
      <c r="G3450"/>
      <c r="H3450"/>
      <c r="I3450"/>
      <c r="J3450"/>
      <c r="K3450"/>
      <c r="L3450"/>
      <c r="M3450"/>
      <c r="N3450"/>
      <c r="O3450"/>
      <c r="P3450"/>
      <c r="Q3450"/>
      <c r="R3450"/>
      <c r="S3450"/>
    </row>
    <row r="3451" spans="1:19" ht="15" x14ac:dyDescent="0.2">
      <c r="A3451"/>
      <c r="B3451"/>
      <c r="C3451"/>
      <c r="D3451"/>
      <c r="E3451"/>
      <c r="F3451"/>
      <c r="G3451"/>
      <c r="H3451"/>
      <c r="I3451"/>
      <c r="J3451"/>
      <c r="K3451"/>
      <c r="L3451"/>
      <c r="M3451"/>
      <c r="N3451"/>
      <c r="O3451"/>
      <c r="P3451"/>
      <c r="Q3451"/>
      <c r="R3451"/>
      <c r="S3451"/>
    </row>
    <row r="3452" spans="1:19" ht="15" x14ac:dyDescent="0.2">
      <c r="A3452"/>
      <c r="B3452"/>
      <c r="C3452"/>
      <c r="D3452"/>
      <c r="E3452"/>
      <c r="F3452"/>
      <c r="G3452"/>
      <c r="H3452"/>
      <c r="I3452"/>
      <c r="J3452"/>
      <c r="K3452"/>
      <c r="L3452"/>
      <c r="M3452"/>
      <c r="N3452"/>
      <c r="O3452"/>
      <c r="P3452"/>
      <c r="Q3452"/>
      <c r="R3452"/>
      <c r="S3452"/>
    </row>
    <row r="3453" spans="1:19" ht="15" x14ac:dyDescent="0.2">
      <c r="A3453"/>
      <c r="B3453"/>
      <c r="C3453"/>
      <c r="D3453"/>
      <c r="E3453"/>
      <c r="F3453"/>
      <c r="G3453"/>
      <c r="H3453"/>
      <c r="I3453"/>
      <c r="J3453"/>
      <c r="K3453"/>
      <c r="L3453"/>
      <c r="M3453"/>
      <c r="N3453"/>
      <c r="O3453"/>
      <c r="P3453"/>
      <c r="Q3453"/>
      <c r="R3453"/>
      <c r="S3453"/>
    </row>
    <row r="3454" spans="1:19" ht="15" x14ac:dyDescent="0.2">
      <c r="A3454"/>
      <c r="B3454"/>
      <c r="C3454"/>
      <c r="D3454"/>
      <c r="E3454"/>
      <c r="F3454"/>
      <c r="G3454"/>
      <c r="H3454"/>
      <c r="I3454"/>
      <c r="J3454"/>
      <c r="K3454"/>
      <c r="L3454"/>
      <c r="M3454"/>
      <c r="N3454"/>
      <c r="O3454"/>
      <c r="P3454"/>
      <c r="Q3454"/>
      <c r="R3454"/>
      <c r="S3454"/>
    </row>
    <row r="3455" spans="1:19" ht="15" x14ac:dyDescent="0.2">
      <c r="A3455"/>
      <c r="B3455"/>
      <c r="C3455"/>
      <c r="D3455"/>
      <c r="E3455"/>
      <c r="F3455"/>
      <c r="G3455"/>
      <c r="H3455"/>
      <c r="I3455"/>
      <c r="J3455"/>
      <c r="K3455"/>
      <c r="L3455"/>
      <c r="M3455"/>
      <c r="N3455"/>
      <c r="O3455"/>
      <c r="P3455"/>
      <c r="Q3455"/>
      <c r="R3455"/>
      <c r="S3455"/>
    </row>
    <row r="3456" spans="1:19" ht="15" x14ac:dyDescent="0.2">
      <c r="A3456"/>
      <c r="B3456"/>
      <c r="C3456"/>
      <c r="D3456"/>
      <c r="E3456"/>
      <c r="F3456"/>
      <c r="G3456"/>
      <c r="H3456"/>
      <c r="I3456"/>
      <c r="J3456"/>
      <c r="K3456"/>
      <c r="L3456"/>
      <c r="M3456"/>
      <c r="N3456"/>
      <c r="O3456"/>
      <c r="P3456"/>
      <c r="Q3456"/>
      <c r="R3456"/>
      <c r="S3456"/>
    </row>
    <row r="3457" spans="1:19" ht="15" x14ac:dyDescent="0.2">
      <c r="A3457"/>
      <c r="B3457"/>
      <c r="C3457"/>
      <c r="D3457"/>
      <c r="E3457"/>
      <c r="F3457"/>
      <c r="G3457"/>
      <c r="H3457"/>
      <c r="I3457"/>
      <c r="J3457"/>
      <c r="K3457"/>
      <c r="L3457"/>
      <c r="M3457"/>
      <c r="N3457"/>
      <c r="O3457"/>
      <c r="P3457"/>
      <c r="Q3457"/>
      <c r="R3457"/>
      <c r="S3457"/>
    </row>
    <row r="3458" spans="1:19" ht="15" x14ac:dyDescent="0.2">
      <c r="A3458"/>
      <c r="B3458"/>
      <c r="C3458"/>
      <c r="D3458"/>
      <c r="E3458"/>
      <c r="F3458"/>
      <c r="G3458"/>
      <c r="H3458"/>
      <c r="I3458"/>
      <c r="J3458"/>
      <c r="K3458"/>
      <c r="L3458"/>
      <c r="M3458"/>
      <c r="N3458"/>
      <c r="O3458"/>
      <c r="P3458"/>
      <c r="Q3458"/>
      <c r="R3458"/>
      <c r="S3458"/>
    </row>
    <row r="3459" spans="1:19" ht="15" x14ac:dyDescent="0.2">
      <c r="A3459"/>
      <c r="B3459"/>
      <c r="C3459"/>
      <c r="D3459"/>
      <c r="E3459"/>
      <c r="F3459"/>
      <c r="G3459"/>
      <c r="H3459"/>
      <c r="I3459"/>
      <c r="J3459"/>
      <c r="K3459"/>
      <c r="L3459"/>
      <c r="M3459"/>
      <c r="N3459"/>
      <c r="O3459"/>
      <c r="P3459"/>
      <c r="Q3459"/>
      <c r="R3459"/>
      <c r="S3459"/>
    </row>
    <row r="3460" spans="1:19" ht="15" x14ac:dyDescent="0.2">
      <c r="A3460"/>
      <c r="B3460"/>
      <c r="C3460"/>
      <c r="D3460"/>
      <c r="E3460"/>
      <c r="F3460"/>
      <c r="G3460"/>
      <c r="H3460"/>
      <c r="I3460"/>
      <c r="J3460"/>
      <c r="K3460"/>
      <c r="L3460"/>
      <c r="M3460"/>
      <c r="N3460"/>
      <c r="O3460"/>
      <c r="P3460"/>
      <c r="Q3460"/>
      <c r="R3460"/>
      <c r="S3460"/>
    </row>
    <row r="3461" spans="1:19" ht="15" x14ac:dyDescent="0.2">
      <c r="A3461"/>
      <c r="B3461"/>
      <c r="C3461"/>
      <c r="D3461"/>
      <c r="E3461"/>
      <c r="F3461"/>
      <c r="G3461"/>
      <c r="H3461"/>
      <c r="I3461"/>
      <c r="J3461"/>
      <c r="K3461"/>
      <c r="L3461"/>
      <c r="M3461"/>
      <c r="N3461"/>
      <c r="O3461"/>
      <c r="P3461"/>
      <c r="Q3461"/>
      <c r="R3461"/>
      <c r="S3461"/>
    </row>
    <row r="3462" spans="1:19" ht="15" x14ac:dyDescent="0.2">
      <c r="A3462"/>
      <c r="B3462"/>
      <c r="C3462"/>
      <c r="D3462"/>
      <c r="E3462"/>
      <c r="F3462"/>
      <c r="G3462"/>
      <c r="H3462"/>
      <c r="I3462"/>
      <c r="J3462"/>
      <c r="K3462"/>
      <c r="L3462"/>
      <c r="M3462"/>
      <c r="N3462"/>
      <c r="O3462"/>
      <c r="P3462"/>
      <c r="Q3462"/>
      <c r="R3462"/>
      <c r="S3462"/>
    </row>
    <row r="3463" spans="1:19" ht="15" x14ac:dyDescent="0.2">
      <c r="A3463"/>
      <c r="B3463"/>
      <c r="C3463"/>
      <c r="D3463"/>
      <c r="E3463"/>
      <c r="F3463"/>
      <c r="G3463"/>
      <c r="H3463"/>
      <c r="I3463"/>
      <c r="J3463"/>
      <c r="K3463"/>
      <c r="L3463"/>
      <c r="M3463"/>
      <c r="N3463"/>
      <c r="O3463"/>
      <c r="P3463"/>
      <c r="Q3463"/>
      <c r="R3463"/>
      <c r="S3463"/>
    </row>
    <row r="3464" spans="1:19" ht="15" x14ac:dyDescent="0.2">
      <c r="A3464"/>
      <c r="B3464"/>
      <c r="C3464"/>
      <c r="D3464"/>
      <c r="E3464"/>
      <c r="F3464"/>
      <c r="G3464"/>
      <c r="H3464"/>
      <c r="I3464"/>
      <c r="J3464"/>
      <c r="K3464"/>
      <c r="L3464"/>
      <c r="M3464"/>
      <c r="N3464"/>
      <c r="O3464"/>
      <c r="P3464"/>
      <c r="Q3464"/>
      <c r="R3464"/>
      <c r="S3464"/>
    </row>
    <row r="3465" spans="1:19" ht="15" x14ac:dyDescent="0.2">
      <c r="A3465"/>
      <c r="B3465"/>
      <c r="C3465"/>
      <c r="D3465"/>
      <c r="E3465"/>
      <c r="F3465"/>
      <c r="G3465"/>
      <c r="H3465"/>
      <c r="I3465"/>
      <c r="J3465"/>
      <c r="K3465"/>
      <c r="L3465"/>
      <c r="M3465"/>
      <c r="N3465"/>
      <c r="O3465"/>
      <c r="P3465"/>
      <c r="Q3465"/>
      <c r="R3465"/>
      <c r="S3465"/>
    </row>
    <row r="3466" spans="1:19" ht="15" x14ac:dyDescent="0.2">
      <c r="A3466"/>
      <c r="B3466"/>
      <c r="C3466"/>
      <c r="D3466"/>
      <c r="E3466"/>
      <c r="F3466"/>
      <c r="G3466"/>
      <c r="H3466"/>
      <c r="I3466"/>
      <c r="J3466"/>
      <c r="K3466"/>
      <c r="L3466"/>
      <c r="M3466"/>
      <c r="N3466"/>
      <c r="O3466"/>
      <c r="P3466"/>
      <c r="Q3466"/>
      <c r="R3466"/>
      <c r="S3466"/>
    </row>
    <row r="3467" spans="1:19" ht="15" x14ac:dyDescent="0.2">
      <c r="A3467"/>
      <c r="B3467"/>
      <c r="C3467"/>
      <c r="D3467"/>
      <c r="E3467"/>
      <c r="F3467"/>
      <c r="G3467"/>
      <c r="H3467"/>
      <c r="I3467"/>
      <c r="J3467"/>
      <c r="K3467"/>
      <c r="L3467"/>
      <c r="M3467"/>
      <c r="N3467"/>
      <c r="O3467"/>
      <c r="P3467"/>
      <c r="Q3467"/>
      <c r="R3467"/>
      <c r="S3467"/>
    </row>
    <row r="3468" spans="1:19" ht="15" x14ac:dyDescent="0.2">
      <c r="A3468"/>
      <c r="B3468"/>
      <c r="C3468"/>
      <c r="D3468"/>
      <c r="E3468"/>
      <c r="F3468"/>
      <c r="G3468"/>
      <c r="H3468"/>
      <c r="I3468"/>
      <c r="J3468"/>
      <c r="K3468"/>
      <c r="L3468"/>
      <c r="M3468"/>
      <c r="N3468"/>
      <c r="O3468"/>
      <c r="P3468"/>
      <c r="Q3468"/>
      <c r="R3468"/>
      <c r="S3468"/>
    </row>
    <row r="3469" spans="1:19" ht="15" x14ac:dyDescent="0.2">
      <c r="A3469"/>
      <c r="B3469"/>
      <c r="C3469"/>
      <c r="D3469"/>
      <c r="E3469"/>
      <c r="F3469"/>
      <c r="G3469"/>
      <c r="H3469"/>
      <c r="I3469"/>
      <c r="J3469"/>
      <c r="K3469"/>
      <c r="L3469"/>
      <c r="M3469"/>
      <c r="N3469"/>
      <c r="O3469"/>
      <c r="P3469"/>
      <c r="Q3469"/>
      <c r="R3469"/>
      <c r="S3469"/>
    </row>
    <row r="3470" spans="1:19" ht="15" x14ac:dyDescent="0.2">
      <c r="A3470"/>
      <c r="B3470"/>
      <c r="C3470"/>
      <c r="D3470"/>
      <c r="E3470"/>
      <c r="F3470"/>
      <c r="G3470"/>
      <c r="H3470"/>
      <c r="I3470"/>
      <c r="J3470"/>
      <c r="K3470"/>
      <c r="L3470"/>
      <c r="M3470"/>
      <c r="N3470"/>
      <c r="O3470"/>
      <c r="P3470"/>
      <c r="Q3470"/>
      <c r="R3470"/>
      <c r="S3470"/>
    </row>
    <row r="3471" spans="1:19" ht="15" x14ac:dyDescent="0.2">
      <c r="A3471"/>
      <c r="B3471"/>
      <c r="C3471"/>
      <c r="D3471"/>
      <c r="E3471"/>
      <c r="F3471"/>
      <c r="G3471"/>
      <c r="H3471"/>
      <c r="I3471"/>
      <c r="J3471"/>
      <c r="K3471"/>
      <c r="L3471"/>
      <c r="M3471"/>
      <c r="N3471"/>
      <c r="O3471"/>
      <c r="P3471"/>
      <c r="Q3471"/>
      <c r="R3471"/>
      <c r="S3471"/>
    </row>
    <row r="3472" spans="1:19" ht="15" x14ac:dyDescent="0.2">
      <c r="A3472"/>
      <c r="B3472"/>
      <c r="C3472"/>
      <c r="D3472"/>
      <c r="E3472"/>
      <c r="F3472"/>
      <c r="G3472"/>
      <c r="H3472"/>
      <c r="I3472"/>
      <c r="J3472"/>
      <c r="K3472"/>
      <c r="L3472"/>
      <c r="M3472"/>
      <c r="N3472"/>
      <c r="O3472"/>
      <c r="P3472"/>
      <c r="Q3472"/>
      <c r="R3472"/>
      <c r="S3472"/>
    </row>
    <row r="3473" spans="1:19" ht="15" x14ac:dyDescent="0.2">
      <c r="A3473"/>
      <c r="B3473"/>
      <c r="C3473"/>
      <c r="D3473"/>
      <c r="E3473"/>
      <c r="F3473"/>
      <c r="G3473"/>
      <c r="H3473"/>
      <c r="I3473"/>
      <c r="J3473"/>
      <c r="K3473"/>
      <c r="L3473"/>
      <c r="M3473"/>
      <c r="N3473"/>
      <c r="O3473"/>
      <c r="P3473"/>
      <c r="Q3473"/>
      <c r="R3473"/>
      <c r="S3473"/>
    </row>
    <row r="3474" spans="1:19" ht="15" x14ac:dyDescent="0.2">
      <c r="A3474"/>
      <c r="B3474"/>
      <c r="C3474"/>
      <c r="D3474"/>
      <c r="E3474"/>
      <c r="F3474"/>
      <c r="G3474"/>
      <c r="H3474"/>
      <c r="I3474"/>
      <c r="J3474"/>
      <c r="K3474"/>
      <c r="L3474"/>
      <c r="M3474"/>
      <c r="N3474"/>
      <c r="O3474"/>
      <c r="P3474"/>
      <c r="Q3474"/>
      <c r="R3474"/>
      <c r="S3474"/>
    </row>
    <row r="3475" spans="1:19" ht="15" x14ac:dyDescent="0.2">
      <c r="A3475"/>
      <c r="B3475"/>
      <c r="C3475"/>
      <c r="D3475"/>
      <c r="E3475"/>
      <c r="F3475"/>
      <c r="G3475"/>
      <c r="H3475"/>
      <c r="I3475"/>
      <c r="J3475"/>
      <c r="K3475"/>
      <c r="L3475"/>
      <c r="M3475"/>
      <c r="N3475"/>
      <c r="O3475"/>
      <c r="P3475"/>
      <c r="Q3475"/>
      <c r="R3475"/>
      <c r="S3475"/>
    </row>
    <row r="3476" spans="1:19" ht="15" x14ac:dyDescent="0.2">
      <c r="A3476"/>
      <c r="B3476"/>
      <c r="C3476"/>
      <c r="D3476"/>
      <c r="E3476"/>
      <c r="F3476"/>
      <c r="G3476"/>
      <c r="H3476"/>
      <c r="I3476"/>
      <c r="J3476"/>
      <c r="K3476"/>
      <c r="L3476"/>
      <c r="M3476"/>
      <c r="N3476"/>
      <c r="O3476"/>
      <c r="P3476"/>
      <c r="Q3476"/>
      <c r="R3476"/>
      <c r="S3476"/>
    </row>
    <row r="3477" spans="1:19" ht="15" x14ac:dyDescent="0.2">
      <c r="A3477"/>
      <c r="B3477"/>
      <c r="C3477"/>
      <c r="D3477"/>
      <c r="E3477"/>
      <c r="F3477"/>
      <c r="G3477"/>
      <c r="H3477"/>
      <c r="I3477"/>
      <c r="J3477"/>
      <c r="K3477"/>
      <c r="L3477"/>
      <c r="M3477"/>
      <c r="N3477"/>
      <c r="O3477"/>
      <c r="P3477"/>
      <c r="Q3477"/>
      <c r="R3477"/>
      <c r="S3477"/>
    </row>
    <row r="3478" spans="1:19" ht="15" x14ac:dyDescent="0.2">
      <c r="A3478"/>
      <c r="B3478"/>
      <c r="C3478"/>
      <c r="D3478"/>
      <c r="E3478"/>
      <c r="F3478"/>
      <c r="G3478"/>
      <c r="H3478"/>
      <c r="I3478"/>
      <c r="J3478"/>
      <c r="K3478"/>
      <c r="L3478"/>
      <c r="M3478"/>
      <c r="N3478"/>
      <c r="O3478"/>
      <c r="P3478"/>
      <c r="Q3478"/>
      <c r="R3478"/>
      <c r="S3478"/>
    </row>
    <row r="3479" spans="1:19" ht="15" x14ac:dyDescent="0.2">
      <c r="A3479"/>
      <c r="B3479"/>
      <c r="C3479"/>
      <c r="D3479"/>
      <c r="E3479"/>
      <c r="F3479"/>
      <c r="G3479"/>
      <c r="H3479"/>
      <c r="I3479"/>
      <c r="J3479"/>
      <c r="K3479"/>
      <c r="L3479"/>
      <c r="M3479"/>
      <c r="N3479"/>
      <c r="O3479"/>
      <c r="P3479"/>
      <c r="Q3479"/>
      <c r="R3479"/>
      <c r="S3479"/>
    </row>
    <row r="3480" spans="1:19" ht="15" x14ac:dyDescent="0.2">
      <c r="A3480"/>
      <c r="B3480"/>
      <c r="C3480"/>
      <c r="D3480"/>
      <c r="E3480"/>
      <c r="F3480"/>
      <c r="G3480"/>
      <c r="H3480"/>
      <c r="I3480"/>
      <c r="J3480"/>
      <c r="K3480"/>
      <c r="L3480"/>
      <c r="M3480"/>
      <c r="N3480"/>
      <c r="O3480"/>
      <c r="P3480"/>
      <c r="Q3480"/>
      <c r="R3480"/>
      <c r="S3480"/>
    </row>
    <row r="3481" spans="1:19" ht="15" x14ac:dyDescent="0.2">
      <c r="A3481"/>
      <c r="B3481"/>
      <c r="C3481"/>
      <c r="D3481"/>
      <c r="E3481"/>
      <c r="F3481"/>
      <c r="G3481"/>
      <c r="H3481"/>
      <c r="I3481"/>
      <c r="J3481"/>
      <c r="K3481"/>
      <c r="L3481"/>
      <c r="M3481"/>
      <c r="N3481"/>
      <c r="O3481"/>
      <c r="P3481"/>
      <c r="Q3481"/>
      <c r="R3481"/>
      <c r="S3481"/>
    </row>
    <row r="3482" spans="1:19" ht="15" x14ac:dyDescent="0.2">
      <c r="A3482"/>
      <c r="B3482"/>
      <c r="C3482"/>
      <c r="D3482"/>
      <c r="E3482"/>
      <c r="F3482"/>
      <c r="G3482"/>
      <c r="H3482"/>
      <c r="I3482"/>
      <c r="J3482"/>
      <c r="K3482"/>
      <c r="L3482"/>
      <c r="M3482"/>
      <c r="N3482"/>
      <c r="O3482"/>
      <c r="P3482"/>
      <c r="Q3482"/>
      <c r="R3482"/>
      <c r="S3482"/>
    </row>
    <row r="3483" spans="1:19" ht="15" x14ac:dyDescent="0.2">
      <c r="A3483"/>
      <c r="B3483"/>
      <c r="C3483"/>
      <c r="D3483"/>
      <c r="E3483"/>
      <c r="F3483"/>
      <c r="G3483"/>
      <c r="H3483"/>
      <c r="I3483"/>
      <c r="J3483"/>
      <c r="K3483"/>
      <c r="L3483"/>
      <c r="M3483"/>
      <c r="N3483"/>
      <c r="O3483"/>
      <c r="P3483"/>
      <c r="Q3483"/>
      <c r="R3483"/>
      <c r="S3483"/>
    </row>
    <row r="3484" spans="1:19" ht="15" x14ac:dyDescent="0.2">
      <c r="A3484"/>
      <c r="B3484"/>
      <c r="C3484"/>
      <c r="D3484"/>
      <c r="E3484"/>
      <c r="F3484"/>
      <c r="G3484"/>
      <c r="H3484"/>
      <c r="I3484"/>
      <c r="J3484"/>
      <c r="K3484"/>
      <c r="L3484"/>
      <c r="M3484"/>
      <c r="N3484"/>
      <c r="O3484"/>
      <c r="P3484"/>
      <c r="Q3484"/>
      <c r="R3484"/>
      <c r="S3484"/>
    </row>
    <row r="3485" spans="1:19" ht="15" x14ac:dyDescent="0.2">
      <c r="A3485"/>
      <c r="B3485"/>
      <c r="C3485"/>
      <c r="D3485"/>
      <c r="E3485"/>
      <c r="F3485"/>
      <c r="G3485"/>
      <c r="H3485"/>
      <c r="I3485"/>
      <c r="J3485"/>
      <c r="K3485"/>
      <c r="L3485"/>
      <c r="M3485"/>
      <c r="N3485"/>
      <c r="O3485"/>
      <c r="P3485"/>
      <c r="Q3485"/>
      <c r="R3485"/>
      <c r="S3485"/>
    </row>
    <row r="3486" spans="1:19" ht="15" x14ac:dyDescent="0.2">
      <c r="A3486"/>
      <c r="B3486"/>
      <c r="C3486"/>
      <c r="D3486"/>
      <c r="E3486"/>
      <c r="F3486"/>
      <c r="G3486"/>
      <c r="H3486"/>
      <c r="I3486"/>
      <c r="J3486"/>
      <c r="K3486"/>
      <c r="L3486"/>
      <c r="M3486"/>
      <c r="N3486"/>
      <c r="O3486"/>
      <c r="P3486"/>
      <c r="Q3486"/>
      <c r="R3486"/>
      <c r="S3486"/>
    </row>
    <row r="3487" spans="1:19" ht="15" x14ac:dyDescent="0.2">
      <c r="A3487"/>
      <c r="B3487"/>
      <c r="C3487"/>
      <c r="D3487"/>
      <c r="E3487"/>
      <c r="F3487"/>
      <c r="G3487"/>
      <c r="H3487"/>
      <c r="I3487"/>
      <c r="J3487"/>
      <c r="K3487"/>
      <c r="L3487"/>
      <c r="M3487"/>
      <c r="N3487"/>
      <c r="O3487"/>
      <c r="P3487"/>
      <c r="Q3487"/>
      <c r="R3487"/>
      <c r="S3487"/>
    </row>
    <row r="3488" spans="1:19" ht="15" x14ac:dyDescent="0.2">
      <c r="A3488"/>
      <c r="B3488"/>
      <c r="C3488"/>
      <c r="D3488"/>
      <c r="E3488"/>
      <c r="F3488"/>
      <c r="G3488"/>
      <c r="H3488"/>
      <c r="I3488"/>
      <c r="J3488"/>
      <c r="K3488"/>
      <c r="L3488"/>
      <c r="M3488"/>
      <c r="N3488"/>
      <c r="O3488"/>
      <c r="P3488"/>
      <c r="Q3488"/>
      <c r="R3488"/>
      <c r="S3488"/>
    </row>
    <row r="3489" spans="1:19" ht="15" x14ac:dyDescent="0.2">
      <c r="A3489"/>
      <c r="B3489"/>
      <c r="C3489"/>
      <c r="D3489"/>
      <c r="E3489"/>
      <c r="F3489"/>
      <c r="G3489"/>
      <c r="H3489"/>
      <c r="I3489"/>
      <c r="J3489"/>
      <c r="K3489"/>
      <c r="L3489"/>
      <c r="M3489"/>
      <c r="N3489"/>
      <c r="O3489"/>
      <c r="P3489"/>
      <c r="Q3489"/>
      <c r="R3489"/>
      <c r="S3489"/>
    </row>
    <row r="3490" spans="1:19" ht="15" x14ac:dyDescent="0.2">
      <c r="A3490"/>
      <c r="B3490"/>
      <c r="C3490"/>
      <c r="D3490"/>
      <c r="E3490"/>
      <c r="F3490"/>
      <c r="G3490"/>
      <c r="H3490"/>
      <c r="I3490"/>
      <c r="J3490"/>
      <c r="K3490"/>
      <c r="L3490"/>
      <c r="M3490"/>
      <c r="N3490"/>
      <c r="O3490"/>
      <c r="P3490"/>
      <c r="Q3490"/>
      <c r="R3490"/>
      <c r="S3490"/>
    </row>
    <row r="3491" spans="1:19" ht="15" x14ac:dyDescent="0.2">
      <c r="A3491"/>
      <c r="B3491"/>
      <c r="C3491"/>
      <c r="D3491"/>
      <c r="E3491"/>
      <c r="F3491"/>
      <c r="G3491"/>
      <c r="H3491"/>
      <c r="I3491"/>
      <c r="J3491"/>
      <c r="K3491"/>
      <c r="L3491"/>
      <c r="M3491"/>
      <c r="N3491"/>
      <c r="O3491"/>
      <c r="P3491"/>
      <c r="Q3491"/>
      <c r="R3491"/>
      <c r="S3491"/>
    </row>
    <row r="3492" spans="1:19" ht="15" x14ac:dyDescent="0.2">
      <c r="A3492"/>
      <c r="B3492"/>
      <c r="C3492"/>
      <c r="D3492"/>
      <c r="E3492"/>
      <c r="F3492"/>
      <c r="G3492"/>
      <c r="H3492"/>
      <c r="I3492"/>
      <c r="J3492"/>
      <c r="K3492"/>
      <c r="L3492"/>
      <c r="M3492"/>
      <c r="N3492"/>
      <c r="O3492"/>
      <c r="P3492"/>
      <c r="Q3492"/>
      <c r="R3492"/>
      <c r="S3492"/>
    </row>
    <row r="3493" spans="1:19" ht="15" x14ac:dyDescent="0.2">
      <c r="A3493"/>
      <c r="B3493"/>
      <c r="C3493"/>
      <c r="D3493"/>
      <c r="E3493"/>
      <c r="F3493"/>
      <c r="G3493"/>
      <c r="H3493"/>
      <c r="I3493"/>
      <c r="J3493"/>
      <c r="K3493"/>
      <c r="L3493"/>
      <c r="M3493"/>
      <c r="N3493"/>
      <c r="O3493"/>
      <c r="P3493"/>
      <c r="Q3493"/>
      <c r="R3493"/>
      <c r="S3493"/>
    </row>
    <row r="3494" spans="1:19" ht="15" x14ac:dyDescent="0.2">
      <c r="A3494"/>
      <c r="B3494"/>
      <c r="C3494"/>
      <c r="D3494"/>
      <c r="E3494"/>
      <c r="F3494"/>
      <c r="G3494"/>
      <c r="H3494"/>
      <c r="I3494"/>
      <c r="J3494"/>
      <c r="K3494"/>
      <c r="L3494"/>
      <c r="M3494"/>
      <c r="N3494"/>
      <c r="O3494"/>
      <c r="P3494"/>
      <c r="Q3494"/>
      <c r="R3494"/>
      <c r="S3494"/>
    </row>
    <row r="3495" spans="1:19" ht="15" x14ac:dyDescent="0.2">
      <c r="A3495"/>
      <c r="B3495"/>
      <c r="C3495"/>
      <c r="D3495"/>
      <c r="E3495"/>
      <c r="F3495"/>
      <c r="G3495"/>
      <c r="H3495"/>
      <c r="I3495"/>
      <c r="J3495"/>
      <c r="K3495"/>
      <c r="L3495"/>
      <c r="M3495"/>
      <c r="N3495"/>
      <c r="O3495"/>
      <c r="P3495"/>
      <c r="Q3495"/>
      <c r="R3495"/>
      <c r="S3495"/>
    </row>
    <row r="3496" spans="1:19" ht="15" x14ac:dyDescent="0.2">
      <c r="A3496"/>
      <c r="B3496"/>
      <c r="C3496"/>
      <c r="D3496"/>
      <c r="E3496"/>
      <c r="F3496"/>
      <c r="G3496"/>
      <c r="H3496"/>
      <c r="I3496"/>
      <c r="J3496"/>
      <c r="K3496"/>
      <c r="L3496"/>
      <c r="M3496"/>
      <c r="N3496"/>
      <c r="O3496"/>
      <c r="P3496"/>
      <c r="Q3496"/>
      <c r="R3496"/>
      <c r="S3496"/>
    </row>
    <row r="3497" spans="1:19" ht="15" x14ac:dyDescent="0.2">
      <c r="A3497"/>
      <c r="B3497"/>
      <c r="C3497"/>
      <c r="D3497"/>
      <c r="E3497"/>
      <c r="F3497"/>
      <c r="G3497"/>
      <c r="H3497"/>
      <c r="I3497"/>
      <c r="J3497"/>
      <c r="K3497"/>
      <c r="L3497"/>
      <c r="M3497"/>
      <c r="N3497"/>
      <c r="O3497"/>
      <c r="P3497"/>
      <c r="Q3497"/>
      <c r="R3497"/>
      <c r="S3497"/>
    </row>
    <row r="3498" spans="1:19" ht="15" x14ac:dyDescent="0.2">
      <c r="A3498"/>
      <c r="B3498"/>
      <c r="C3498"/>
      <c r="D3498"/>
      <c r="E3498"/>
      <c r="F3498"/>
      <c r="G3498"/>
      <c r="H3498"/>
      <c r="I3498"/>
      <c r="J3498"/>
      <c r="K3498"/>
      <c r="L3498"/>
      <c r="M3498"/>
      <c r="N3498"/>
      <c r="O3498"/>
      <c r="P3498"/>
      <c r="Q3498"/>
      <c r="R3498"/>
      <c r="S3498"/>
    </row>
    <row r="3499" spans="1:19" ht="15" x14ac:dyDescent="0.2">
      <c r="A3499"/>
      <c r="B3499"/>
      <c r="C3499"/>
      <c r="D3499"/>
      <c r="E3499"/>
      <c r="F3499"/>
      <c r="G3499"/>
      <c r="H3499"/>
      <c r="I3499"/>
      <c r="J3499"/>
      <c r="K3499"/>
      <c r="L3499"/>
      <c r="M3499"/>
      <c r="N3499"/>
      <c r="O3499"/>
      <c r="P3499"/>
      <c r="Q3499"/>
      <c r="R3499"/>
      <c r="S3499"/>
    </row>
    <row r="3500" spans="1:19" ht="15" x14ac:dyDescent="0.2">
      <c r="A3500"/>
      <c r="B3500"/>
      <c r="C3500"/>
      <c r="D3500"/>
      <c r="E3500"/>
      <c r="F3500"/>
      <c r="G3500"/>
      <c r="H3500"/>
      <c r="I3500"/>
      <c r="J3500"/>
      <c r="K3500"/>
      <c r="L3500"/>
      <c r="M3500"/>
      <c r="N3500"/>
      <c r="O3500"/>
      <c r="P3500"/>
      <c r="Q3500"/>
      <c r="R3500"/>
      <c r="S3500"/>
    </row>
    <row r="3501" spans="1:19" ht="15" x14ac:dyDescent="0.2">
      <c r="A3501"/>
      <c r="B3501"/>
      <c r="C3501"/>
      <c r="D3501"/>
      <c r="E3501"/>
      <c r="F3501"/>
      <c r="G3501"/>
      <c r="H3501"/>
      <c r="I3501"/>
      <c r="J3501"/>
      <c r="K3501"/>
      <c r="L3501"/>
      <c r="M3501"/>
      <c r="N3501"/>
      <c r="O3501"/>
      <c r="P3501"/>
      <c r="Q3501"/>
      <c r="R3501"/>
      <c r="S3501"/>
    </row>
    <row r="3502" spans="1:19" ht="15" x14ac:dyDescent="0.2">
      <c r="A3502"/>
      <c r="B3502"/>
      <c r="C3502"/>
      <c r="D3502"/>
      <c r="E3502"/>
      <c r="F3502"/>
      <c r="G3502"/>
      <c r="H3502"/>
      <c r="I3502"/>
      <c r="J3502"/>
      <c r="K3502"/>
      <c r="L3502"/>
      <c r="M3502"/>
      <c r="N3502"/>
      <c r="O3502"/>
      <c r="P3502"/>
      <c r="Q3502"/>
      <c r="R3502"/>
      <c r="S3502"/>
    </row>
    <row r="3503" spans="1:19" ht="15" x14ac:dyDescent="0.2">
      <c r="A3503"/>
      <c r="B3503"/>
      <c r="C3503"/>
      <c r="D3503"/>
      <c r="E3503"/>
      <c r="F3503"/>
      <c r="G3503"/>
      <c r="H3503"/>
      <c r="I3503"/>
      <c r="J3503"/>
      <c r="K3503"/>
      <c r="L3503"/>
      <c r="M3503"/>
      <c r="N3503"/>
      <c r="O3503"/>
      <c r="P3503"/>
      <c r="Q3503"/>
      <c r="R3503"/>
      <c r="S3503"/>
    </row>
    <row r="3504" spans="1:19" ht="15" x14ac:dyDescent="0.2">
      <c r="A3504"/>
      <c r="B3504"/>
      <c r="C3504"/>
      <c r="D3504"/>
      <c r="E3504"/>
      <c r="F3504"/>
      <c r="G3504"/>
      <c r="H3504"/>
      <c r="I3504"/>
      <c r="J3504"/>
      <c r="K3504"/>
      <c r="L3504"/>
      <c r="M3504"/>
      <c r="N3504"/>
      <c r="O3504"/>
      <c r="P3504"/>
      <c r="Q3504"/>
      <c r="R3504"/>
      <c r="S3504"/>
    </row>
    <row r="3505" spans="1:19" ht="15" x14ac:dyDescent="0.2">
      <c r="A3505"/>
      <c r="B3505"/>
      <c r="C3505"/>
      <c r="D3505"/>
      <c r="E3505"/>
      <c r="F3505"/>
      <c r="G3505"/>
      <c r="H3505"/>
      <c r="I3505"/>
      <c r="J3505"/>
      <c r="K3505"/>
      <c r="L3505"/>
      <c r="M3505"/>
      <c r="N3505"/>
      <c r="O3505"/>
      <c r="P3505"/>
      <c r="Q3505"/>
      <c r="R3505"/>
      <c r="S3505"/>
    </row>
    <row r="3506" spans="1:19" ht="15" x14ac:dyDescent="0.2">
      <c r="A3506"/>
      <c r="B3506"/>
      <c r="C3506"/>
      <c r="D3506"/>
      <c r="E3506"/>
      <c r="F3506"/>
      <c r="G3506"/>
      <c r="H3506"/>
      <c r="I3506"/>
      <c r="J3506"/>
      <c r="K3506"/>
      <c r="L3506"/>
      <c r="M3506"/>
      <c r="N3506"/>
      <c r="O3506"/>
      <c r="P3506"/>
      <c r="Q3506"/>
      <c r="R3506"/>
      <c r="S3506"/>
    </row>
    <row r="3507" spans="1:19" ht="15" x14ac:dyDescent="0.2">
      <c r="A3507"/>
      <c r="B3507"/>
      <c r="C3507"/>
      <c r="D3507"/>
      <c r="E3507"/>
      <c r="F3507"/>
      <c r="G3507"/>
      <c r="H3507"/>
      <c r="I3507"/>
      <c r="J3507"/>
      <c r="K3507"/>
      <c r="L3507"/>
      <c r="M3507"/>
      <c r="N3507"/>
      <c r="O3507"/>
      <c r="P3507"/>
      <c r="Q3507"/>
      <c r="R3507"/>
      <c r="S3507"/>
    </row>
    <row r="3508" spans="1:19" ht="15" x14ac:dyDescent="0.2">
      <c r="A3508"/>
      <c r="B3508"/>
      <c r="C3508"/>
      <c r="D3508"/>
      <c r="E3508"/>
      <c r="F3508"/>
      <c r="G3508"/>
      <c r="H3508"/>
      <c r="I3508"/>
      <c r="J3508"/>
      <c r="K3508"/>
      <c r="L3508"/>
      <c r="M3508"/>
      <c r="N3508"/>
      <c r="O3508"/>
      <c r="P3508"/>
      <c r="Q3508"/>
      <c r="R3508"/>
      <c r="S3508"/>
    </row>
    <row r="3509" spans="1:19" ht="15" x14ac:dyDescent="0.2">
      <c r="A3509"/>
      <c r="B3509"/>
      <c r="C3509"/>
      <c r="D3509"/>
      <c r="E3509"/>
      <c r="F3509"/>
      <c r="G3509"/>
      <c r="H3509"/>
      <c r="I3509"/>
      <c r="J3509"/>
      <c r="K3509"/>
      <c r="L3509"/>
      <c r="M3509"/>
      <c r="N3509"/>
      <c r="O3509"/>
      <c r="P3509"/>
      <c r="Q3509"/>
      <c r="R3509"/>
      <c r="S3509"/>
    </row>
    <row r="3510" spans="1:19" ht="15" x14ac:dyDescent="0.2">
      <c r="A3510"/>
      <c r="B3510"/>
      <c r="C3510"/>
      <c r="D3510"/>
      <c r="E3510"/>
      <c r="F3510"/>
      <c r="G3510"/>
      <c r="H3510"/>
      <c r="I3510"/>
      <c r="J3510"/>
      <c r="K3510"/>
      <c r="L3510"/>
      <c r="M3510"/>
      <c r="N3510"/>
      <c r="O3510"/>
      <c r="P3510"/>
      <c r="Q3510"/>
      <c r="R3510"/>
      <c r="S3510"/>
    </row>
    <row r="3511" spans="1:19" ht="15" x14ac:dyDescent="0.2">
      <c r="A3511"/>
      <c r="B3511"/>
      <c r="C3511"/>
      <c r="D3511"/>
      <c r="E3511"/>
      <c r="F3511"/>
      <c r="G3511"/>
      <c r="H3511"/>
      <c r="I3511"/>
      <c r="J3511"/>
      <c r="K3511"/>
      <c r="L3511"/>
      <c r="M3511"/>
      <c r="N3511"/>
      <c r="O3511"/>
      <c r="P3511"/>
      <c r="Q3511"/>
      <c r="R3511"/>
      <c r="S3511"/>
    </row>
    <row r="3512" spans="1:19" ht="15" x14ac:dyDescent="0.2">
      <c r="A3512"/>
      <c r="B3512"/>
      <c r="C3512"/>
      <c r="D3512"/>
      <c r="E3512"/>
      <c r="F3512"/>
      <c r="G3512"/>
      <c r="H3512"/>
      <c r="I3512"/>
      <c r="J3512"/>
      <c r="K3512"/>
      <c r="L3512"/>
      <c r="M3512"/>
      <c r="N3512"/>
      <c r="O3512"/>
      <c r="P3512"/>
      <c r="Q3512"/>
      <c r="R3512"/>
      <c r="S3512"/>
    </row>
    <row r="3513" spans="1:19" ht="15" x14ac:dyDescent="0.2">
      <c r="A3513"/>
      <c r="B3513"/>
      <c r="C3513"/>
      <c r="D3513"/>
      <c r="E3513"/>
      <c r="F3513"/>
      <c r="G3513"/>
      <c r="H3513"/>
      <c r="I3513"/>
      <c r="J3513"/>
      <c r="K3513"/>
      <c r="L3513"/>
      <c r="M3513"/>
      <c r="N3513"/>
      <c r="O3513"/>
      <c r="P3513"/>
      <c r="Q3513"/>
      <c r="R3513"/>
      <c r="S3513"/>
    </row>
    <row r="3514" spans="1:19" ht="15" x14ac:dyDescent="0.2">
      <c r="A3514"/>
      <c r="B3514"/>
      <c r="C3514"/>
      <c r="D3514"/>
      <c r="E3514"/>
      <c r="F3514"/>
      <c r="G3514"/>
      <c r="H3514"/>
      <c r="I3514"/>
      <c r="J3514"/>
      <c r="K3514"/>
      <c r="L3514"/>
      <c r="M3514"/>
      <c r="N3514"/>
      <c r="O3514"/>
      <c r="P3514"/>
      <c r="Q3514"/>
      <c r="R3514"/>
      <c r="S3514"/>
    </row>
    <row r="3515" spans="1:19" ht="15" x14ac:dyDescent="0.2">
      <c r="A3515"/>
      <c r="B3515"/>
      <c r="C3515"/>
      <c r="D3515"/>
      <c r="E3515"/>
      <c r="F3515"/>
      <c r="G3515"/>
      <c r="H3515"/>
      <c r="I3515"/>
      <c r="J3515"/>
      <c r="K3515"/>
      <c r="L3515"/>
      <c r="M3515"/>
      <c r="N3515"/>
      <c r="O3515"/>
      <c r="P3515"/>
      <c r="Q3515"/>
      <c r="R3515"/>
      <c r="S3515"/>
    </row>
    <row r="3516" spans="1:19" ht="15" x14ac:dyDescent="0.2">
      <c r="A3516"/>
      <c r="B3516"/>
      <c r="C3516"/>
      <c r="D3516"/>
      <c r="E3516"/>
      <c r="F3516"/>
      <c r="G3516"/>
      <c r="H3516"/>
      <c r="I3516"/>
      <c r="J3516"/>
      <c r="K3516"/>
      <c r="L3516"/>
      <c r="M3516"/>
      <c r="N3516"/>
      <c r="O3516"/>
      <c r="P3516"/>
      <c r="Q3516"/>
      <c r="R3516"/>
      <c r="S3516"/>
    </row>
    <row r="3517" spans="1:19" ht="15" x14ac:dyDescent="0.2">
      <c r="A3517"/>
      <c r="B3517"/>
      <c r="C3517"/>
      <c r="D3517"/>
      <c r="E3517"/>
      <c r="F3517"/>
      <c r="G3517"/>
      <c r="H3517"/>
      <c r="I3517"/>
      <c r="J3517"/>
      <c r="K3517"/>
      <c r="L3517"/>
      <c r="M3517"/>
      <c r="N3517"/>
      <c r="O3517"/>
      <c r="P3517"/>
      <c r="Q3517"/>
      <c r="R3517"/>
      <c r="S3517"/>
    </row>
    <row r="3518" spans="1:19" ht="15" x14ac:dyDescent="0.2">
      <c r="A3518"/>
      <c r="B3518"/>
      <c r="C3518"/>
      <c r="D3518"/>
      <c r="E3518"/>
      <c r="F3518"/>
      <c r="G3518"/>
      <c r="H3518"/>
      <c r="I3518"/>
      <c r="J3518"/>
      <c r="K3518"/>
      <c r="L3518"/>
      <c r="M3518"/>
      <c r="N3518"/>
      <c r="O3518"/>
      <c r="P3518"/>
      <c r="Q3518"/>
      <c r="R3518"/>
      <c r="S3518"/>
    </row>
    <row r="3519" spans="1:19" ht="15" x14ac:dyDescent="0.2">
      <c r="A3519"/>
      <c r="B3519"/>
      <c r="C3519"/>
      <c r="D3519"/>
      <c r="E3519"/>
      <c r="F3519"/>
      <c r="G3519"/>
      <c r="H3519"/>
      <c r="I3519"/>
      <c r="J3519"/>
      <c r="K3519"/>
      <c r="L3519"/>
      <c r="M3519"/>
      <c r="N3519"/>
      <c r="O3519"/>
      <c r="P3519"/>
      <c r="Q3519"/>
      <c r="R3519"/>
      <c r="S3519"/>
    </row>
    <row r="3520" spans="1:19" ht="15" x14ac:dyDescent="0.2">
      <c r="A3520"/>
      <c r="B3520"/>
      <c r="C3520"/>
      <c r="D3520"/>
      <c r="E3520"/>
      <c r="F3520"/>
      <c r="G3520"/>
      <c r="H3520"/>
      <c r="I3520"/>
      <c r="J3520"/>
      <c r="K3520"/>
      <c r="L3520"/>
      <c r="M3520"/>
      <c r="N3520"/>
      <c r="O3520"/>
      <c r="P3520"/>
      <c r="Q3520"/>
      <c r="R3520"/>
      <c r="S3520"/>
    </row>
    <row r="3521" spans="1:19" ht="15" x14ac:dyDescent="0.2">
      <c r="A3521"/>
      <c r="B3521"/>
      <c r="C3521"/>
      <c r="D3521"/>
      <c r="E3521"/>
      <c r="F3521"/>
      <c r="G3521"/>
      <c r="H3521"/>
      <c r="I3521"/>
      <c r="J3521"/>
      <c r="K3521"/>
      <c r="L3521"/>
      <c r="M3521"/>
      <c r="N3521"/>
      <c r="O3521"/>
      <c r="P3521"/>
      <c r="Q3521"/>
      <c r="R3521"/>
      <c r="S3521"/>
    </row>
    <row r="3522" spans="1:19" ht="15" x14ac:dyDescent="0.2">
      <c r="A3522"/>
      <c r="B3522"/>
      <c r="C3522"/>
      <c r="D3522"/>
      <c r="E3522"/>
      <c r="F3522"/>
      <c r="G3522"/>
      <c r="H3522"/>
      <c r="I3522"/>
      <c r="J3522"/>
      <c r="K3522"/>
      <c r="L3522"/>
      <c r="M3522"/>
      <c r="N3522"/>
      <c r="O3522"/>
      <c r="P3522"/>
      <c r="Q3522"/>
      <c r="R3522"/>
      <c r="S3522"/>
    </row>
    <row r="3523" spans="1:19" ht="15" x14ac:dyDescent="0.2">
      <c r="A3523"/>
      <c r="B3523"/>
      <c r="C3523"/>
      <c r="D3523"/>
      <c r="E3523"/>
      <c r="F3523"/>
      <c r="G3523"/>
      <c r="H3523"/>
      <c r="I3523"/>
      <c r="J3523"/>
      <c r="K3523"/>
      <c r="L3523"/>
      <c r="M3523"/>
      <c r="N3523"/>
      <c r="O3523"/>
      <c r="P3523"/>
      <c r="Q3523"/>
      <c r="R3523"/>
      <c r="S3523"/>
    </row>
    <row r="3524" spans="1:19" ht="15" x14ac:dyDescent="0.2">
      <c r="A3524"/>
      <c r="B3524"/>
      <c r="C3524"/>
      <c r="D3524"/>
      <c r="E3524"/>
      <c r="F3524"/>
      <c r="G3524"/>
      <c r="H3524"/>
      <c r="I3524"/>
      <c r="J3524"/>
      <c r="K3524"/>
      <c r="L3524"/>
      <c r="M3524"/>
      <c r="N3524"/>
      <c r="O3524"/>
      <c r="P3524"/>
      <c r="Q3524"/>
      <c r="R3524"/>
      <c r="S3524"/>
    </row>
    <row r="3525" spans="1:19" ht="15" x14ac:dyDescent="0.2">
      <c r="A3525"/>
      <c r="B3525"/>
      <c r="C3525"/>
      <c r="D3525"/>
      <c r="E3525"/>
      <c r="F3525"/>
      <c r="G3525"/>
      <c r="H3525"/>
      <c r="I3525"/>
      <c r="J3525"/>
      <c r="K3525"/>
      <c r="L3525"/>
      <c r="M3525"/>
      <c r="N3525"/>
      <c r="O3525"/>
      <c r="P3525"/>
      <c r="Q3525"/>
      <c r="R3525"/>
      <c r="S3525"/>
    </row>
    <row r="3526" spans="1:19" ht="15" x14ac:dyDescent="0.2">
      <c r="A3526"/>
      <c r="B3526"/>
      <c r="C3526"/>
      <c r="D3526"/>
      <c r="E3526"/>
      <c r="F3526"/>
      <c r="G3526"/>
      <c r="H3526"/>
      <c r="I3526"/>
      <c r="J3526"/>
      <c r="K3526"/>
      <c r="L3526"/>
      <c r="M3526"/>
      <c r="N3526"/>
      <c r="O3526"/>
      <c r="P3526"/>
      <c r="Q3526"/>
      <c r="R3526"/>
      <c r="S3526"/>
    </row>
    <row r="3527" spans="1:19" ht="15" x14ac:dyDescent="0.2">
      <c r="A3527"/>
      <c r="B3527"/>
      <c r="C3527"/>
      <c r="D3527"/>
      <c r="E3527"/>
      <c r="F3527"/>
      <c r="G3527"/>
      <c r="H3527"/>
      <c r="I3527"/>
      <c r="J3527"/>
      <c r="K3527"/>
      <c r="L3527"/>
      <c r="M3527"/>
      <c r="N3527"/>
      <c r="O3527"/>
      <c r="P3527"/>
      <c r="Q3527"/>
      <c r="R3527"/>
      <c r="S3527"/>
    </row>
    <row r="3528" spans="1:19" ht="15" x14ac:dyDescent="0.2">
      <c r="A3528"/>
      <c r="B3528"/>
      <c r="C3528"/>
      <c r="D3528"/>
      <c r="E3528"/>
      <c r="F3528"/>
      <c r="G3528"/>
      <c r="H3528"/>
      <c r="I3528"/>
      <c r="J3528"/>
      <c r="K3528"/>
      <c r="L3528"/>
      <c r="M3528"/>
      <c r="N3528"/>
      <c r="O3528"/>
      <c r="P3528"/>
      <c r="Q3528"/>
      <c r="R3528"/>
      <c r="S3528"/>
    </row>
    <row r="3529" spans="1:19" ht="15" x14ac:dyDescent="0.2">
      <c r="A3529"/>
      <c r="B3529"/>
      <c r="C3529"/>
      <c r="D3529"/>
      <c r="E3529"/>
      <c r="F3529"/>
      <c r="G3529"/>
      <c r="H3529"/>
      <c r="I3529"/>
      <c r="J3529"/>
      <c r="K3529"/>
      <c r="L3529"/>
      <c r="M3529"/>
      <c r="N3529"/>
      <c r="O3529"/>
      <c r="P3529"/>
      <c r="Q3529"/>
      <c r="R3529"/>
      <c r="S3529"/>
    </row>
    <row r="3530" spans="1:19" ht="15" x14ac:dyDescent="0.2">
      <c r="A3530"/>
      <c r="B3530"/>
      <c r="C3530"/>
      <c r="D3530"/>
      <c r="E3530"/>
      <c r="F3530"/>
      <c r="G3530"/>
      <c r="H3530"/>
      <c r="I3530"/>
      <c r="J3530"/>
      <c r="K3530"/>
      <c r="L3530"/>
      <c r="M3530"/>
      <c r="N3530"/>
      <c r="O3530"/>
      <c r="P3530"/>
      <c r="Q3530"/>
      <c r="R3530"/>
      <c r="S3530"/>
    </row>
    <row r="3531" spans="1:19" ht="15" x14ac:dyDescent="0.2">
      <c r="A3531"/>
      <c r="B3531"/>
      <c r="C3531"/>
      <c r="D3531"/>
      <c r="E3531"/>
      <c r="F3531"/>
      <c r="G3531"/>
      <c r="H3531"/>
      <c r="I3531"/>
      <c r="J3531"/>
      <c r="K3531"/>
      <c r="L3531"/>
      <c r="M3531"/>
      <c r="N3531"/>
      <c r="O3531"/>
      <c r="P3531"/>
      <c r="Q3531"/>
      <c r="R3531"/>
      <c r="S3531"/>
    </row>
    <row r="3532" spans="1:19" ht="15" x14ac:dyDescent="0.2">
      <c r="A3532"/>
      <c r="B3532"/>
      <c r="C3532"/>
      <c r="D3532"/>
      <c r="E3532"/>
      <c r="F3532"/>
      <c r="G3532"/>
      <c r="H3532"/>
      <c r="I3532"/>
      <c r="J3532"/>
      <c r="K3532"/>
      <c r="L3532"/>
      <c r="M3532"/>
      <c r="N3532"/>
      <c r="O3532"/>
      <c r="P3532"/>
      <c r="Q3532"/>
      <c r="R3532"/>
      <c r="S3532"/>
    </row>
    <row r="3533" spans="1:19" ht="15" x14ac:dyDescent="0.2">
      <c r="A3533"/>
      <c r="B3533"/>
      <c r="C3533"/>
      <c r="D3533"/>
      <c r="E3533"/>
      <c r="F3533"/>
      <c r="G3533"/>
      <c r="H3533"/>
      <c r="I3533"/>
      <c r="J3533"/>
      <c r="K3533"/>
      <c r="L3533"/>
      <c r="M3533"/>
      <c r="N3533"/>
      <c r="O3533"/>
      <c r="P3533"/>
      <c r="Q3533"/>
      <c r="R3533"/>
      <c r="S3533"/>
    </row>
    <row r="3534" spans="1:19" ht="15" x14ac:dyDescent="0.2">
      <c r="A3534"/>
      <c r="B3534"/>
      <c r="C3534"/>
      <c r="D3534"/>
      <c r="E3534"/>
      <c r="F3534"/>
      <c r="G3534"/>
      <c r="H3534"/>
      <c r="I3534"/>
      <c r="J3534"/>
      <c r="K3534"/>
      <c r="L3534"/>
      <c r="M3534"/>
      <c r="N3534"/>
      <c r="O3534"/>
      <c r="P3534"/>
      <c r="Q3534"/>
      <c r="R3534"/>
      <c r="S3534"/>
    </row>
    <row r="3535" spans="1:19" ht="15" x14ac:dyDescent="0.2">
      <c r="A3535"/>
      <c r="B3535"/>
      <c r="C3535"/>
      <c r="D3535"/>
      <c r="E3535"/>
      <c r="F3535"/>
      <c r="G3535"/>
      <c r="H3535"/>
      <c r="I3535"/>
      <c r="J3535"/>
      <c r="K3535"/>
      <c r="L3535"/>
      <c r="M3535"/>
      <c r="N3535"/>
      <c r="O3535"/>
      <c r="P3535"/>
      <c r="Q3535"/>
      <c r="R3535"/>
      <c r="S3535"/>
    </row>
    <row r="3536" spans="1:19" ht="15" x14ac:dyDescent="0.2">
      <c r="A3536"/>
      <c r="B3536"/>
      <c r="C3536"/>
      <c r="D3536"/>
      <c r="E3536"/>
      <c r="F3536"/>
      <c r="G3536"/>
      <c r="H3536"/>
      <c r="I3536"/>
      <c r="J3536"/>
      <c r="K3536"/>
      <c r="L3536"/>
      <c r="M3536"/>
      <c r="N3536"/>
      <c r="O3536"/>
      <c r="P3536"/>
      <c r="Q3536"/>
      <c r="R3536"/>
      <c r="S3536"/>
    </row>
    <row r="3537" spans="1:19" ht="15" x14ac:dyDescent="0.2">
      <c r="A3537"/>
      <c r="B3537"/>
      <c r="C3537"/>
      <c r="D3537"/>
      <c r="E3537"/>
      <c r="F3537"/>
      <c r="G3537"/>
      <c r="H3537"/>
      <c r="I3537"/>
      <c r="J3537"/>
      <c r="K3537"/>
      <c r="L3537"/>
      <c r="M3537"/>
      <c r="N3537"/>
      <c r="O3537"/>
      <c r="P3537"/>
      <c r="Q3537"/>
      <c r="R3537"/>
      <c r="S3537"/>
    </row>
    <row r="3538" spans="1:19" ht="15" x14ac:dyDescent="0.2">
      <c r="A3538"/>
      <c r="B3538"/>
      <c r="C3538"/>
      <c r="D3538"/>
      <c r="E3538"/>
      <c r="F3538"/>
      <c r="G3538"/>
      <c r="H3538"/>
      <c r="I3538"/>
      <c r="J3538"/>
      <c r="K3538"/>
      <c r="L3538"/>
      <c r="M3538"/>
      <c r="N3538"/>
      <c r="O3538"/>
      <c r="P3538"/>
      <c r="Q3538"/>
      <c r="R3538"/>
      <c r="S3538"/>
    </row>
    <row r="3539" spans="1:19" ht="15" x14ac:dyDescent="0.2">
      <c r="A3539"/>
      <c r="B3539"/>
      <c r="C3539"/>
      <c r="D3539"/>
      <c r="E3539"/>
      <c r="F3539"/>
      <c r="G3539"/>
      <c r="H3539"/>
      <c r="I3539"/>
      <c r="J3539"/>
      <c r="K3539"/>
      <c r="L3539"/>
      <c r="M3539"/>
      <c r="N3539"/>
      <c r="O3539"/>
      <c r="P3539"/>
      <c r="Q3539"/>
      <c r="R3539"/>
      <c r="S3539"/>
    </row>
    <row r="3540" spans="1:19" ht="15" x14ac:dyDescent="0.2">
      <c r="A3540"/>
      <c r="B3540"/>
      <c r="C3540"/>
      <c r="D3540"/>
      <c r="E3540"/>
      <c r="F3540"/>
      <c r="G3540"/>
      <c r="H3540"/>
      <c r="I3540"/>
      <c r="J3540"/>
      <c r="K3540"/>
      <c r="L3540"/>
      <c r="M3540"/>
      <c r="N3540"/>
      <c r="O3540"/>
      <c r="P3540"/>
      <c r="Q3540"/>
      <c r="R3540"/>
      <c r="S3540"/>
    </row>
    <row r="3541" spans="1:19" ht="15" x14ac:dyDescent="0.2">
      <c r="A3541"/>
      <c r="B3541"/>
      <c r="C3541"/>
      <c r="D3541"/>
      <c r="E3541"/>
      <c r="F3541"/>
      <c r="G3541"/>
      <c r="H3541"/>
      <c r="I3541"/>
      <c r="J3541"/>
      <c r="K3541"/>
      <c r="L3541"/>
      <c r="M3541"/>
      <c r="N3541"/>
      <c r="O3541"/>
      <c r="P3541"/>
      <c r="Q3541"/>
      <c r="R3541"/>
      <c r="S3541"/>
    </row>
    <row r="3542" spans="1:19" ht="15" x14ac:dyDescent="0.2">
      <c r="A3542"/>
      <c r="B3542"/>
      <c r="C3542"/>
      <c r="D3542"/>
      <c r="E3542"/>
      <c r="F3542"/>
      <c r="G3542"/>
      <c r="H3542"/>
      <c r="I3542"/>
      <c r="J3542"/>
      <c r="K3542"/>
      <c r="L3542"/>
      <c r="M3542"/>
      <c r="N3542"/>
      <c r="O3542"/>
      <c r="P3542"/>
      <c r="Q3542"/>
      <c r="R3542"/>
      <c r="S3542"/>
    </row>
    <row r="3543" spans="1:19" ht="15" x14ac:dyDescent="0.2">
      <c r="A3543"/>
      <c r="B3543"/>
      <c r="C3543"/>
      <c r="D3543"/>
      <c r="E3543"/>
      <c r="F3543"/>
      <c r="G3543"/>
      <c r="H3543"/>
      <c r="I3543"/>
      <c r="J3543"/>
      <c r="K3543"/>
      <c r="L3543"/>
      <c r="M3543"/>
      <c r="N3543"/>
      <c r="O3543"/>
      <c r="P3543"/>
      <c r="Q3543"/>
      <c r="R3543"/>
      <c r="S3543"/>
    </row>
    <row r="3544" spans="1:19" ht="15" x14ac:dyDescent="0.2">
      <c r="A3544"/>
      <c r="B3544"/>
      <c r="C3544"/>
      <c r="D3544"/>
      <c r="E3544"/>
      <c r="F3544"/>
      <c r="G3544"/>
      <c r="H3544"/>
      <c r="I3544"/>
      <c r="J3544"/>
      <c r="K3544"/>
      <c r="L3544"/>
      <c r="M3544"/>
      <c r="N3544"/>
      <c r="O3544"/>
      <c r="P3544"/>
      <c r="Q3544"/>
      <c r="R3544"/>
      <c r="S3544"/>
    </row>
    <row r="3545" spans="1:19" ht="15" x14ac:dyDescent="0.2">
      <c r="A3545"/>
      <c r="B3545"/>
      <c r="C3545"/>
      <c r="D3545"/>
      <c r="E3545"/>
      <c r="F3545"/>
      <c r="G3545"/>
      <c r="H3545"/>
      <c r="I3545"/>
      <c r="J3545"/>
      <c r="K3545"/>
      <c r="L3545"/>
      <c r="M3545"/>
      <c r="N3545"/>
      <c r="O3545"/>
      <c r="P3545"/>
      <c r="Q3545"/>
      <c r="R3545"/>
      <c r="S3545"/>
    </row>
    <row r="3546" spans="1:19" ht="15" x14ac:dyDescent="0.2">
      <c r="A3546"/>
      <c r="B3546"/>
      <c r="C3546"/>
      <c r="D3546"/>
      <c r="E3546"/>
      <c r="F3546"/>
      <c r="G3546"/>
      <c r="H3546"/>
      <c r="I3546"/>
      <c r="J3546"/>
      <c r="K3546"/>
      <c r="L3546"/>
      <c r="M3546"/>
      <c r="N3546"/>
      <c r="O3546"/>
      <c r="P3546"/>
      <c r="Q3546"/>
      <c r="R3546"/>
      <c r="S3546"/>
    </row>
    <row r="3547" spans="1:19" ht="15" x14ac:dyDescent="0.2">
      <c r="A3547"/>
      <c r="B3547"/>
      <c r="C3547"/>
      <c r="D3547"/>
      <c r="E3547"/>
      <c r="F3547"/>
      <c r="G3547"/>
      <c r="H3547"/>
      <c r="I3547"/>
      <c r="J3547"/>
      <c r="K3547"/>
      <c r="L3547"/>
      <c r="M3547"/>
      <c r="N3547"/>
      <c r="O3547"/>
      <c r="P3547"/>
      <c r="Q3547"/>
      <c r="R3547"/>
      <c r="S3547"/>
    </row>
    <row r="3548" spans="1:19" ht="15" x14ac:dyDescent="0.2">
      <c r="A3548"/>
      <c r="B3548"/>
      <c r="C3548"/>
      <c r="D3548"/>
      <c r="E3548"/>
      <c r="F3548"/>
      <c r="G3548"/>
      <c r="H3548"/>
      <c r="I3548"/>
      <c r="J3548"/>
      <c r="K3548"/>
      <c r="L3548"/>
      <c r="M3548"/>
      <c r="N3548"/>
      <c r="O3548"/>
      <c r="P3548"/>
      <c r="Q3548"/>
      <c r="R3548"/>
      <c r="S3548"/>
    </row>
    <row r="3549" spans="1:19" ht="15" x14ac:dyDescent="0.2">
      <c r="A3549"/>
      <c r="B3549"/>
      <c r="C3549"/>
      <c r="D3549"/>
      <c r="E3549"/>
      <c r="F3549"/>
      <c r="G3549"/>
      <c r="H3549"/>
      <c r="I3549"/>
      <c r="J3549"/>
      <c r="K3549"/>
      <c r="L3549"/>
      <c r="M3549"/>
      <c r="N3549"/>
      <c r="O3549"/>
      <c r="P3549"/>
      <c r="Q3549"/>
      <c r="R3549"/>
      <c r="S3549"/>
    </row>
    <row r="3550" spans="1:19" ht="15" x14ac:dyDescent="0.2">
      <c r="A3550"/>
      <c r="B3550"/>
      <c r="C3550"/>
      <c r="D3550"/>
      <c r="E3550"/>
      <c r="F3550"/>
      <c r="G3550"/>
      <c r="H3550"/>
      <c r="I3550"/>
      <c r="J3550"/>
      <c r="K3550"/>
      <c r="L3550"/>
      <c r="M3550"/>
      <c r="N3550"/>
      <c r="O3550"/>
      <c r="P3550"/>
      <c r="Q3550"/>
      <c r="R3550"/>
      <c r="S3550"/>
    </row>
    <row r="3551" spans="1:19" ht="15" x14ac:dyDescent="0.2">
      <c r="A3551"/>
      <c r="B3551"/>
      <c r="C3551"/>
      <c r="D3551"/>
      <c r="E3551"/>
      <c r="F3551"/>
      <c r="G3551"/>
      <c r="H3551"/>
      <c r="I3551"/>
      <c r="J3551"/>
      <c r="K3551"/>
      <c r="L3551"/>
      <c r="M3551"/>
      <c r="N3551"/>
      <c r="O3551"/>
      <c r="P3551"/>
      <c r="Q3551"/>
      <c r="R3551"/>
      <c r="S3551"/>
    </row>
    <row r="3552" spans="1:19" ht="15" x14ac:dyDescent="0.2">
      <c r="A3552"/>
      <c r="B3552"/>
      <c r="C3552"/>
      <c r="D3552"/>
      <c r="E3552"/>
      <c r="F3552"/>
      <c r="G3552"/>
      <c r="H3552"/>
      <c r="I3552"/>
      <c r="J3552"/>
      <c r="K3552"/>
      <c r="L3552"/>
      <c r="M3552"/>
      <c r="N3552"/>
      <c r="O3552"/>
      <c r="P3552"/>
      <c r="Q3552"/>
      <c r="R3552"/>
      <c r="S3552"/>
    </row>
    <row r="3553" spans="1:19" ht="15" x14ac:dyDescent="0.2">
      <c r="A3553"/>
      <c r="B3553"/>
      <c r="C3553"/>
      <c r="D3553"/>
      <c r="E3553"/>
      <c r="F3553"/>
      <c r="G3553"/>
      <c r="H3553"/>
      <c r="I3553"/>
      <c r="J3553"/>
      <c r="K3553"/>
      <c r="L3553"/>
      <c r="M3553"/>
      <c r="N3553"/>
      <c r="O3553"/>
      <c r="P3553"/>
      <c r="Q3553"/>
      <c r="R3553"/>
      <c r="S3553"/>
    </row>
    <row r="3554" spans="1:19" ht="15" x14ac:dyDescent="0.2">
      <c r="A3554"/>
      <c r="B3554"/>
      <c r="C3554"/>
      <c r="D3554"/>
      <c r="E3554"/>
      <c r="F3554"/>
      <c r="G3554"/>
      <c r="H3554"/>
      <c r="I3554"/>
      <c r="J3554"/>
      <c r="K3554"/>
      <c r="L3554"/>
      <c r="M3554"/>
      <c r="N3554"/>
      <c r="O3554"/>
      <c r="P3554"/>
      <c r="Q3554"/>
      <c r="R3554"/>
      <c r="S3554"/>
    </row>
    <row r="3555" spans="1:19" ht="15" x14ac:dyDescent="0.2">
      <c r="A3555"/>
      <c r="B3555"/>
      <c r="C3555"/>
      <c r="D3555"/>
      <c r="E3555"/>
      <c r="F3555"/>
      <c r="G3555"/>
      <c r="H3555"/>
      <c r="I3555"/>
      <c r="J3555"/>
      <c r="K3555"/>
      <c r="L3555"/>
      <c r="M3555"/>
      <c r="N3555"/>
      <c r="O3555"/>
      <c r="P3555"/>
      <c r="Q3555"/>
      <c r="R3555"/>
      <c r="S3555"/>
    </row>
    <row r="3556" spans="1:19" ht="15" x14ac:dyDescent="0.2">
      <c r="A3556"/>
      <c r="B3556"/>
      <c r="C3556"/>
      <c r="D3556"/>
      <c r="E3556"/>
      <c r="F3556"/>
      <c r="G3556"/>
      <c r="H3556"/>
      <c r="I3556"/>
      <c r="J3556"/>
      <c r="K3556"/>
      <c r="L3556"/>
      <c r="M3556"/>
      <c r="N3556"/>
      <c r="O3556"/>
      <c r="P3556"/>
      <c r="Q3556"/>
      <c r="R3556"/>
      <c r="S3556"/>
    </row>
    <row r="3557" spans="1:19" ht="15" x14ac:dyDescent="0.2">
      <c r="A3557"/>
      <c r="B3557"/>
      <c r="C3557"/>
      <c r="D3557"/>
      <c r="E3557"/>
      <c r="F3557"/>
      <c r="G3557"/>
      <c r="H3557"/>
      <c r="I3557"/>
      <c r="J3557"/>
      <c r="K3557"/>
      <c r="L3557"/>
      <c r="M3557"/>
      <c r="N3557"/>
      <c r="O3557"/>
      <c r="P3557"/>
      <c r="Q3557"/>
      <c r="R3557"/>
      <c r="S3557"/>
    </row>
    <row r="3558" spans="1:19" ht="15" x14ac:dyDescent="0.2">
      <c r="A3558"/>
      <c r="B3558"/>
      <c r="C3558"/>
      <c r="D3558"/>
      <c r="E3558"/>
      <c r="F3558"/>
      <c r="G3558"/>
      <c r="H3558"/>
      <c r="I3558"/>
      <c r="J3558"/>
      <c r="K3558"/>
      <c r="L3558"/>
      <c r="M3558"/>
      <c r="N3558"/>
      <c r="O3558"/>
      <c r="P3558"/>
      <c r="Q3558"/>
      <c r="R3558"/>
      <c r="S3558"/>
    </row>
    <row r="3559" spans="1:19" ht="15" x14ac:dyDescent="0.2">
      <c r="A3559"/>
      <c r="B3559"/>
      <c r="C3559"/>
      <c r="D3559"/>
      <c r="E3559"/>
      <c r="F3559"/>
      <c r="G3559"/>
      <c r="H3559"/>
      <c r="I3559"/>
      <c r="J3559"/>
      <c r="K3559"/>
      <c r="L3559"/>
      <c r="M3559"/>
      <c r="N3559"/>
      <c r="O3559"/>
      <c r="P3559"/>
      <c r="Q3559"/>
      <c r="R3559"/>
      <c r="S3559"/>
    </row>
    <row r="3560" spans="1:19" ht="15" x14ac:dyDescent="0.2">
      <c r="A3560"/>
      <c r="B3560"/>
      <c r="C3560"/>
      <c r="D3560"/>
      <c r="E3560"/>
      <c r="F3560"/>
      <c r="G3560"/>
      <c r="H3560"/>
      <c r="I3560"/>
      <c r="J3560"/>
      <c r="K3560"/>
      <c r="L3560"/>
      <c r="M3560"/>
      <c r="N3560"/>
      <c r="O3560"/>
      <c r="P3560"/>
      <c r="Q3560"/>
      <c r="R3560"/>
      <c r="S3560"/>
    </row>
    <row r="3561" spans="1:19" ht="15" x14ac:dyDescent="0.2">
      <c r="A3561"/>
      <c r="B3561"/>
      <c r="C3561"/>
      <c r="D3561"/>
      <c r="E3561"/>
      <c r="F3561"/>
      <c r="G3561"/>
      <c r="H3561"/>
      <c r="I3561"/>
      <c r="J3561"/>
      <c r="K3561"/>
      <c r="L3561"/>
      <c r="M3561"/>
      <c r="N3561"/>
      <c r="O3561"/>
      <c r="P3561"/>
      <c r="Q3561"/>
      <c r="R3561"/>
      <c r="S3561"/>
    </row>
    <row r="3562" spans="1:19" ht="15" x14ac:dyDescent="0.2">
      <c r="A3562"/>
      <c r="B3562"/>
      <c r="C3562"/>
      <c r="D3562"/>
      <c r="E3562"/>
      <c r="F3562"/>
      <c r="G3562"/>
      <c r="H3562"/>
      <c r="I3562"/>
      <c r="J3562"/>
      <c r="K3562"/>
      <c r="L3562"/>
      <c r="M3562"/>
      <c r="N3562"/>
      <c r="O3562"/>
      <c r="P3562"/>
      <c r="Q3562"/>
      <c r="R3562"/>
      <c r="S3562"/>
    </row>
    <row r="3563" spans="1:19" ht="15" x14ac:dyDescent="0.2">
      <c r="A3563"/>
      <c r="B3563"/>
      <c r="C3563"/>
      <c r="D3563"/>
      <c r="E3563"/>
      <c r="F3563"/>
      <c r="G3563"/>
      <c r="H3563"/>
      <c r="I3563"/>
      <c r="J3563"/>
      <c r="K3563"/>
      <c r="L3563"/>
      <c r="M3563"/>
      <c r="N3563"/>
      <c r="O3563"/>
      <c r="P3563"/>
      <c r="Q3563"/>
      <c r="R3563"/>
      <c r="S3563"/>
    </row>
    <row r="3564" spans="1:19" ht="15" x14ac:dyDescent="0.2">
      <c r="A3564"/>
      <c r="B3564"/>
      <c r="C3564"/>
      <c r="D3564"/>
      <c r="E3564"/>
      <c r="F3564"/>
      <c r="G3564"/>
      <c r="H3564"/>
      <c r="I3564"/>
      <c r="J3564"/>
      <c r="K3564"/>
      <c r="L3564"/>
      <c r="M3564"/>
      <c r="N3564"/>
      <c r="O3564"/>
      <c r="P3564"/>
      <c r="Q3564"/>
      <c r="R3564"/>
      <c r="S3564"/>
    </row>
    <row r="3565" spans="1:19" ht="15" x14ac:dyDescent="0.2">
      <c r="A3565"/>
      <c r="B3565"/>
      <c r="C3565"/>
      <c r="D3565"/>
      <c r="E3565"/>
      <c r="F3565"/>
      <c r="G3565"/>
      <c r="H3565"/>
      <c r="I3565"/>
      <c r="J3565"/>
      <c r="K3565"/>
      <c r="L3565"/>
      <c r="M3565"/>
      <c r="N3565"/>
      <c r="O3565"/>
      <c r="P3565"/>
      <c r="Q3565"/>
      <c r="R3565"/>
      <c r="S3565"/>
    </row>
    <row r="3566" spans="1:19" ht="15" x14ac:dyDescent="0.2">
      <c r="A3566"/>
      <c r="B3566"/>
      <c r="C3566"/>
      <c r="D3566"/>
      <c r="E3566"/>
      <c r="F3566"/>
      <c r="G3566"/>
      <c r="H3566"/>
      <c r="I3566"/>
      <c r="J3566"/>
      <c r="K3566"/>
      <c r="L3566"/>
      <c r="M3566"/>
      <c r="N3566"/>
      <c r="O3566"/>
      <c r="P3566"/>
      <c r="Q3566"/>
      <c r="R3566"/>
      <c r="S3566"/>
    </row>
    <row r="3567" spans="1:19" ht="15" x14ac:dyDescent="0.2">
      <c r="A3567"/>
      <c r="B3567"/>
      <c r="C3567"/>
      <c r="D3567"/>
      <c r="E3567"/>
      <c r="F3567"/>
      <c r="G3567"/>
      <c r="H3567"/>
      <c r="I3567"/>
      <c r="J3567"/>
      <c r="K3567"/>
      <c r="L3567"/>
      <c r="M3567"/>
      <c r="N3567"/>
      <c r="O3567"/>
      <c r="P3567"/>
      <c r="Q3567"/>
      <c r="R3567"/>
      <c r="S3567"/>
    </row>
    <row r="3568" spans="1:19" ht="15" x14ac:dyDescent="0.2">
      <c r="A3568"/>
      <c r="B3568"/>
      <c r="C3568"/>
      <c r="D3568"/>
      <c r="E3568"/>
      <c r="F3568"/>
      <c r="G3568"/>
      <c r="H3568"/>
      <c r="I3568"/>
      <c r="J3568"/>
      <c r="K3568"/>
      <c r="L3568"/>
      <c r="M3568"/>
      <c r="N3568"/>
      <c r="O3568"/>
      <c r="P3568"/>
      <c r="Q3568"/>
      <c r="R3568"/>
      <c r="S3568"/>
    </row>
    <row r="3569" spans="1:19" ht="15" x14ac:dyDescent="0.2">
      <c r="A3569"/>
      <c r="B3569"/>
      <c r="C3569"/>
      <c r="D3569"/>
      <c r="E3569"/>
      <c r="F3569"/>
      <c r="G3569"/>
      <c r="H3569"/>
      <c r="I3569"/>
      <c r="J3569"/>
      <c r="K3569"/>
      <c r="L3569"/>
      <c r="M3569"/>
      <c r="N3569"/>
      <c r="O3569"/>
      <c r="P3569"/>
      <c r="Q3569"/>
      <c r="R3569"/>
      <c r="S3569"/>
    </row>
    <row r="3570" spans="1:19" ht="15" x14ac:dyDescent="0.2">
      <c r="A3570"/>
      <c r="B3570"/>
      <c r="C3570"/>
      <c r="D3570"/>
      <c r="E3570"/>
      <c r="F3570"/>
      <c r="G3570"/>
      <c r="H3570"/>
      <c r="I3570"/>
      <c r="J3570"/>
      <c r="K3570"/>
      <c r="L3570"/>
      <c r="M3570"/>
      <c r="N3570"/>
      <c r="O3570"/>
      <c r="P3570"/>
      <c r="Q3570"/>
      <c r="R3570"/>
      <c r="S3570"/>
    </row>
    <row r="3571" spans="1:19" ht="15" x14ac:dyDescent="0.2">
      <c r="A3571"/>
      <c r="B3571"/>
      <c r="C3571"/>
      <c r="D3571"/>
      <c r="E3571"/>
      <c r="F3571"/>
      <c r="G3571"/>
      <c r="H3571"/>
      <c r="I3571"/>
      <c r="J3571"/>
      <c r="K3571"/>
      <c r="L3571"/>
      <c r="M3571"/>
      <c r="N3571"/>
      <c r="O3571"/>
      <c r="P3571"/>
      <c r="Q3571"/>
      <c r="R3571"/>
      <c r="S3571"/>
    </row>
    <row r="3572" spans="1:19" ht="15" x14ac:dyDescent="0.2">
      <c r="A3572"/>
      <c r="B3572"/>
      <c r="C3572"/>
      <c r="D3572"/>
      <c r="E3572"/>
      <c r="F3572"/>
      <c r="G3572"/>
      <c r="H3572"/>
      <c r="I3572"/>
      <c r="J3572"/>
      <c r="K3572"/>
      <c r="L3572"/>
      <c r="M3572"/>
      <c r="N3572"/>
      <c r="O3572"/>
      <c r="P3572"/>
      <c r="Q3572"/>
      <c r="R3572"/>
      <c r="S3572"/>
    </row>
    <row r="3573" spans="1:19" ht="15" x14ac:dyDescent="0.2">
      <c r="A3573"/>
      <c r="B3573"/>
      <c r="C3573"/>
      <c r="D3573"/>
      <c r="E3573"/>
      <c r="F3573"/>
      <c r="G3573"/>
      <c r="H3573"/>
      <c r="I3573"/>
      <c r="J3573"/>
      <c r="K3573"/>
      <c r="L3573"/>
      <c r="M3573"/>
      <c r="N3573"/>
      <c r="O3573"/>
      <c r="P3573"/>
      <c r="Q3573"/>
      <c r="R3573"/>
      <c r="S3573"/>
    </row>
    <row r="3574" spans="1:19" ht="15" x14ac:dyDescent="0.2">
      <c r="A3574"/>
      <c r="B3574"/>
      <c r="C3574"/>
      <c r="D3574"/>
      <c r="E3574"/>
      <c r="F3574"/>
      <c r="G3574"/>
      <c r="H3574"/>
      <c r="I3574"/>
      <c r="J3574"/>
      <c r="K3574"/>
      <c r="L3574"/>
      <c r="M3574"/>
      <c r="N3574"/>
      <c r="O3574"/>
      <c r="P3574"/>
      <c r="Q3574"/>
      <c r="R3574"/>
      <c r="S3574"/>
    </row>
    <row r="3575" spans="1:19" ht="15" x14ac:dyDescent="0.2">
      <c r="A3575"/>
      <c r="B3575"/>
      <c r="C3575"/>
      <c r="D3575"/>
      <c r="E3575"/>
      <c r="F3575"/>
      <c r="G3575"/>
      <c r="H3575"/>
      <c r="I3575"/>
      <c r="J3575"/>
      <c r="K3575"/>
      <c r="L3575"/>
      <c r="M3575"/>
      <c r="N3575"/>
      <c r="O3575"/>
      <c r="P3575"/>
      <c r="Q3575"/>
      <c r="R3575"/>
      <c r="S3575"/>
    </row>
    <row r="3576" spans="1:19" ht="15" x14ac:dyDescent="0.2">
      <c r="A3576"/>
      <c r="B3576"/>
      <c r="C3576"/>
      <c r="D3576"/>
      <c r="E3576"/>
      <c r="F3576"/>
      <c r="G3576"/>
      <c r="H3576"/>
      <c r="I3576"/>
      <c r="J3576"/>
      <c r="K3576"/>
      <c r="L3576"/>
      <c r="M3576"/>
      <c r="N3576"/>
      <c r="O3576"/>
      <c r="P3576"/>
      <c r="Q3576"/>
      <c r="R3576"/>
      <c r="S3576"/>
    </row>
    <row r="3577" spans="1:19" ht="15" x14ac:dyDescent="0.2">
      <c r="A3577"/>
      <c r="B3577"/>
      <c r="C3577"/>
      <c r="D3577"/>
      <c r="E3577"/>
      <c r="F3577"/>
      <c r="G3577"/>
      <c r="H3577"/>
      <c r="I3577"/>
      <c r="J3577"/>
      <c r="K3577"/>
      <c r="L3577"/>
      <c r="M3577"/>
      <c r="N3577"/>
      <c r="O3577"/>
      <c r="P3577"/>
      <c r="Q3577"/>
      <c r="R3577"/>
      <c r="S3577"/>
    </row>
    <row r="3578" spans="1:19" ht="15" x14ac:dyDescent="0.2">
      <c r="A3578"/>
      <c r="B3578"/>
      <c r="C3578"/>
      <c r="D3578"/>
      <c r="E3578"/>
      <c r="F3578"/>
      <c r="G3578"/>
      <c r="H3578"/>
      <c r="I3578"/>
      <c r="J3578"/>
      <c r="K3578"/>
      <c r="L3578"/>
      <c r="M3578"/>
      <c r="N3578"/>
      <c r="O3578"/>
      <c r="P3578"/>
      <c r="Q3578"/>
      <c r="R3578"/>
      <c r="S3578"/>
    </row>
    <row r="3579" spans="1:19" ht="15" x14ac:dyDescent="0.2">
      <c r="A3579"/>
      <c r="B3579"/>
      <c r="C3579"/>
      <c r="D3579"/>
      <c r="E3579"/>
      <c r="F3579"/>
      <c r="G3579"/>
      <c r="H3579"/>
      <c r="I3579"/>
      <c r="J3579"/>
      <c r="K3579"/>
      <c r="L3579"/>
      <c r="M3579"/>
      <c r="N3579"/>
      <c r="O3579"/>
      <c r="P3579"/>
      <c r="Q3579"/>
      <c r="R3579"/>
      <c r="S3579"/>
    </row>
    <row r="3580" spans="1:19" ht="15" x14ac:dyDescent="0.2">
      <c r="A3580"/>
      <c r="B3580"/>
      <c r="C3580"/>
      <c r="D3580"/>
      <c r="E3580"/>
      <c r="F3580"/>
      <c r="G3580"/>
      <c r="H3580"/>
      <c r="I3580"/>
      <c r="J3580"/>
      <c r="K3580"/>
      <c r="L3580"/>
      <c r="M3580"/>
      <c r="N3580"/>
      <c r="O3580"/>
      <c r="P3580"/>
      <c r="Q3580"/>
      <c r="R3580"/>
      <c r="S3580"/>
    </row>
    <row r="3581" spans="1:19" ht="15" x14ac:dyDescent="0.2">
      <c r="A3581"/>
      <c r="B3581"/>
      <c r="C3581"/>
      <c r="D3581"/>
      <c r="E3581"/>
      <c r="F3581"/>
      <c r="G3581"/>
      <c r="H3581"/>
      <c r="I3581"/>
      <c r="J3581"/>
      <c r="K3581"/>
      <c r="L3581"/>
      <c r="M3581"/>
      <c r="N3581"/>
      <c r="O3581"/>
      <c r="P3581"/>
      <c r="Q3581"/>
      <c r="R3581"/>
      <c r="S3581"/>
    </row>
    <row r="3582" spans="1:19" ht="15" x14ac:dyDescent="0.2">
      <c r="A3582"/>
      <c r="B3582"/>
      <c r="C3582"/>
      <c r="D3582"/>
      <c r="E3582"/>
      <c r="F3582"/>
      <c r="G3582"/>
      <c r="H3582"/>
      <c r="I3582"/>
      <c r="J3582"/>
      <c r="K3582"/>
      <c r="L3582"/>
      <c r="M3582"/>
      <c r="N3582"/>
      <c r="O3582"/>
      <c r="P3582"/>
      <c r="Q3582"/>
      <c r="R3582"/>
      <c r="S3582"/>
    </row>
    <row r="3583" spans="1:19" ht="15" x14ac:dyDescent="0.2">
      <c r="A3583"/>
      <c r="B3583"/>
      <c r="C3583"/>
      <c r="D3583"/>
      <c r="E3583"/>
      <c r="F3583"/>
      <c r="G3583"/>
      <c r="H3583"/>
      <c r="I3583"/>
      <c r="J3583"/>
      <c r="K3583"/>
      <c r="L3583"/>
      <c r="M3583"/>
      <c r="N3583"/>
      <c r="O3583"/>
      <c r="P3583"/>
      <c r="Q3583"/>
      <c r="R3583"/>
      <c r="S3583"/>
    </row>
    <row r="3584" spans="1:19" ht="15" x14ac:dyDescent="0.2">
      <c r="A3584"/>
      <c r="B3584"/>
      <c r="C3584"/>
      <c r="D3584"/>
      <c r="E3584"/>
      <c r="F3584"/>
      <c r="G3584"/>
      <c r="H3584"/>
      <c r="I3584"/>
      <c r="J3584"/>
      <c r="K3584"/>
      <c r="L3584"/>
      <c r="M3584"/>
      <c r="N3584"/>
      <c r="O3584"/>
      <c r="P3584"/>
      <c r="Q3584"/>
      <c r="R3584"/>
      <c r="S3584"/>
    </row>
    <row r="3585" spans="1:19" ht="15" x14ac:dyDescent="0.2">
      <c r="A3585"/>
      <c r="B3585"/>
      <c r="C3585"/>
      <c r="D3585"/>
      <c r="E3585"/>
      <c r="F3585"/>
      <c r="G3585"/>
      <c r="H3585"/>
      <c r="I3585"/>
      <c r="J3585"/>
      <c r="K3585"/>
      <c r="L3585"/>
      <c r="M3585"/>
      <c r="N3585"/>
      <c r="O3585"/>
      <c r="P3585"/>
      <c r="Q3585"/>
      <c r="R3585"/>
      <c r="S3585"/>
    </row>
    <row r="3586" spans="1:19" ht="15" x14ac:dyDescent="0.2">
      <c r="A3586"/>
      <c r="B3586"/>
      <c r="C3586"/>
      <c r="D3586"/>
      <c r="E3586"/>
      <c r="F3586"/>
      <c r="G3586"/>
      <c r="H3586"/>
      <c r="I3586"/>
      <c r="J3586"/>
      <c r="K3586"/>
      <c r="L3586"/>
      <c r="M3586"/>
      <c r="N3586"/>
      <c r="O3586"/>
      <c r="P3586"/>
      <c r="Q3586"/>
      <c r="R3586"/>
      <c r="S3586"/>
    </row>
    <row r="3587" spans="1:19" ht="15" x14ac:dyDescent="0.2">
      <c r="A3587"/>
      <c r="B3587"/>
      <c r="C3587"/>
      <c r="D3587"/>
      <c r="E3587"/>
      <c r="F3587"/>
      <c r="G3587"/>
      <c r="H3587"/>
      <c r="I3587"/>
      <c r="J3587"/>
      <c r="K3587"/>
      <c r="L3587"/>
      <c r="M3587"/>
      <c r="N3587"/>
      <c r="O3587"/>
      <c r="P3587"/>
      <c r="Q3587"/>
      <c r="R3587"/>
      <c r="S3587"/>
    </row>
    <row r="3588" spans="1:19" ht="15" x14ac:dyDescent="0.2">
      <c r="A3588"/>
      <c r="B3588"/>
      <c r="C3588"/>
      <c r="D3588"/>
      <c r="E3588"/>
      <c r="F3588"/>
      <c r="G3588"/>
      <c r="H3588"/>
      <c r="I3588"/>
      <c r="J3588"/>
      <c r="K3588"/>
      <c r="L3588"/>
      <c r="M3588"/>
      <c r="N3588"/>
      <c r="O3588"/>
      <c r="P3588"/>
      <c r="Q3588"/>
      <c r="R3588"/>
      <c r="S3588"/>
    </row>
    <row r="3589" spans="1:19" ht="15" x14ac:dyDescent="0.2">
      <c r="A3589"/>
      <c r="B3589"/>
      <c r="C3589"/>
      <c r="D3589"/>
      <c r="E3589"/>
      <c r="F3589"/>
      <c r="G3589"/>
      <c r="H3589"/>
      <c r="I3589"/>
      <c r="J3589"/>
      <c r="K3589"/>
      <c r="L3589"/>
      <c r="M3589"/>
      <c r="N3589"/>
      <c r="O3589"/>
      <c r="P3589"/>
      <c r="Q3589"/>
      <c r="R3589"/>
      <c r="S3589"/>
    </row>
    <row r="3590" spans="1:19" ht="15" x14ac:dyDescent="0.2">
      <c r="A3590"/>
      <c r="B3590"/>
      <c r="C3590"/>
      <c r="D3590"/>
      <c r="E3590"/>
      <c r="F3590"/>
      <c r="G3590"/>
      <c r="H3590"/>
      <c r="I3590"/>
      <c r="J3590"/>
      <c r="K3590"/>
      <c r="L3590"/>
      <c r="M3590"/>
      <c r="N3590"/>
      <c r="O3590"/>
      <c r="P3590"/>
      <c r="Q3590"/>
      <c r="R3590"/>
      <c r="S3590"/>
    </row>
    <row r="3591" spans="1:19" ht="15" x14ac:dyDescent="0.2">
      <c r="A3591"/>
      <c r="B3591"/>
      <c r="C3591"/>
      <c r="D3591"/>
      <c r="E3591"/>
      <c r="F3591"/>
      <c r="G3591"/>
      <c r="H3591"/>
      <c r="I3591"/>
      <c r="J3591"/>
      <c r="K3591"/>
      <c r="L3591"/>
      <c r="M3591"/>
      <c r="N3591"/>
      <c r="O3591"/>
      <c r="P3591"/>
      <c r="Q3591"/>
      <c r="R3591"/>
      <c r="S3591"/>
    </row>
    <row r="3592" spans="1:19" ht="15" x14ac:dyDescent="0.2">
      <c r="A3592"/>
      <c r="B3592"/>
      <c r="C3592"/>
      <c r="D3592"/>
      <c r="E3592"/>
      <c r="F3592"/>
      <c r="G3592"/>
      <c r="H3592"/>
      <c r="I3592"/>
      <c r="J3592"/>
      <c r="K3592"/>
      <c r="L3592"/>
      <c r="M3592"/>
      <c r="N3592"/>
      <c r="O3592"/>
      <c r="P3592"/>
      <c r="Q3592"/>
      <c r="R3592"/>
      <c r="S3592"/>
    </row>
    <row r="3593" spans="1:19" ht="15" x14ac:dyDescent="0.2">
      <c r="A3593"/>
      <c r="B3593"/>
      <c r="C3593"/>
      <c r="D3593"/>
      <c r="E3593"/>
      <c r="F3593"/>
      <c r="G3593"/>
      <c r="H3593"/>
      <c r="I3593"/>
      <c r="J3593"/>
      <c r="K3593"/>
      <c r="L3593"/>
      <c r="M3593"/>
      <c r="N3593"/>
      <c r="O3593"/>
      <c r="P3593"/>
      <c r="Q3593"/>
      <c r="R3593"/>
      <c r="S3593"/>
    </row>
    <row r="3594" spans="1:19" ht="15" x14ac:dyDescent="0.2">
      <c r="A3594"/>
      <c r="B3594"/>
      <c r="C3594"/>
      <c r="D3594"/>
      <c r="E3594"/>
      <c r="F3594"/>
      <c r="G3594"/>
      <c r="H3594"/>
      <c r="I3594"/>
      <c r="J3594"/>
      <c r="K3594"/>
      <c r="L3594"/>
      <c r="M3594"/>
      <c r="N3594"/>
      <c r="O3594"/>
      <c r="P3594"/>
      <c r="Q3594"/>
      <c r="R3594"/>
      <c r="S3594"/>
    </row>
    <row r="3595" spans="1:19" ht="15" x14ac:dyDescent="0.2">
      <c r="A3595"/>
      <c r="B3595"/>
      <c r="C3595"/>
      <c r="D3595"/>
      <c r="E3595"/>
      <c r="F3595"/>
      <c r="G3595"/>
      <c r="H3595"/>
      <c r="I3595"/>
      <c r="J3595"/>
      <c r="K3595"/>
      <c r="L3595"/>
      <c r="M3595"/>
      <c r="N3595"/>
      <c r="O3595"/>
      <c r="P3595"/>
      <c r="Q3595"/>
      <c r="R3595"/>
      <c r="S3595"/>
    </row>
    <row r="3596" spans="1:19" ht="15" x14ac:dyDescent="0.2">
      <c r="A3596"/>
      <c r="B3596"/>
      <c r="C3596"/>
      <c r="D3596"/>
      <c r="E3596"/>
      <c r="F3596"/>
      <c r="G3596"/>
      <c r="H3596"/>
      <c r="I3596"/>
      <c r="J3596"/>
      <c r="K3596"/>
      <c r="L3596"/>
      <c r="M3596"/>
      <c r="N3596"/>
      <c r="O3596"/>
      <c r="P3596"/>
      <c r="Q3596"/>
      <c r="R3596"/>
      <c r="S3596"/>
    </row>
    <row r="3597" spans="1:19" ht="15" x14ac:dyDescent="0.2">
      <c r="A3597"/>
      <c r="B3597"/>
      <c r="C3597"/>
      <c r="D3597"/>
      <c r="E3597"/>
      <c r="F3597"/>
      <c r="G3597"/>
      <c r="H3597"/>
      <c r="I3597"/>
      <c r="J3597"/>
      <c r="K3597"/>
      <c r="L3597"/>
      <c r="M3597"/>
      <c r="N3597"/>
      <c r="O3597"/>
      <c r="P3597"/>
      <c r="Q3597"/>
      <c r="R3597"/>
      <c r="S3597"/>
    </row>
    <row r="3598" spans="1:19" ht="15" x14ac:dyDescent="0.2">
      <c r="A3598"/>
      <c r="B3598"/>
      <c r="C3598"/>
      <c r="D3598"/>
      <c r="E3598"/>
      <c r="F3598"/>
      <c r="G3598"/>
      <c r="H3598"/>
      <c r="I3598"/>
      <c r="J3598"/>
      <c r="K3598"/>
      <c r="L3598"/>
      <c r="M3598"/>
      <c r="N3598"/>
      <c r="O3598"/>
      <c r="P3598"/>
      <c r="Q3598"/>
      <c r="R3598"/>
      <c r="S3598"/>
    </row>
    <row r="3599" spans="1:19" ht="15" x14ac:dyDescent="0.2">
      <c r="A3599"/>
      <c r="B3599"/>
      <c r="C3599"/>
      <c r="D3599"/>
      <c r="E3599"/>
      <c r="F3599"/>
      <c r="G3599"/>
      <c r="H3599"/>
      <c r="I3599"/>
      <c r="J3599"/>
      <c r="K3599"/>
      <c r="L3599"/>
      <c r="M3599"/>
      <c r="N3599"/>
      <c r="O3599"/>
      <c r="P3599"/>
      <c r="Q3599"/>
      <c r="R3599"/>
      <c r="S3599"/>
    </row>
    <row r="3600" spans="1:19" ht="15" x14ac:dyDescent="0.2">
      <c r="A3600"/>
      <c r="B3600"/>
      <c r="C3600"/>
      <c r="D3600"/>
      <c r="E3600"/>
      <c r="F3600"/>
      <c r="G3600"/>
      <c r="H3600"/>
      <c r="I3600"/>
      <c r="J3600"/>
      <c r="K3600"/>
      <c r="L3600"/>
      <c r="M3600"/>
      <c r="N3600"/>
      <c r="O3600"/>
      <c r="P3600"/>
      <c r="Q3600"/>
      <c r="R3600"/>
      <c r="S3600"/>
    </row>
    <row r="3601" spans="1:19" ht="15" x14ac:dyDescent="0.2">
      <c r="A3601"/>
      <c r="B3601"/>
      <c r="C3601"/>
      <c r="D3601"/>
      <c r="E3601"/>
      <c r="F3601"/>
      <c r="G3601"/>
      <c r="H3601"/>
      <c r="I3601"/>
      <c r="J3601"/>
      <c r="K3601"/>
      <c r="L3601"/>
      <c r="M3601"/>
      <c r="N3601"/>
      <c r="O3601"/>
      <c r="P3601"/>
      <c r="Q3601"/>
      <c r="R3601"/>
      <c r="S3601"/>
    </row>
    <row r="3602" spans="1:19" ht="15" x14ac:dyDescent="0.2">
      <c r="A3602"/>
      <c r="B3602"/>
      <c r="C3602"/>
      <c r="D3602"/>
      <c r="E3602"/>
      <c r="F3602"/>
      <c r="G3602"/>
      <c r="H3602"/>
      <c r="I3602"/>
      <c r="J3602"/>
      <c r="K3602"/>
      <c r="L3602"/>
      <c r="M3602"/>
      <c r="N3602"/>
      <c r="O3602"/>
      <c r="P3602"/>
      <c r="Q3602"/>
      <c r="R3602"/>
      <c r="S3602"/>
    </row>
    <row r="3603" spans="1:19" ht="15" x14ac:dyDescent="0.2">
      <c r="A3603"/>
      <c r="B3603"/>
      <c r="C3603"/>
      <c r="D3603"/>
      <c r="E3603"/>
      <c r="F3603"/>
      <c r="G3603"/>
      <c r="H3603"/>
      <c r="I3603"/>
      <c r="J3603"/>
      <c r="K3603"/>
      <c r="L3603"/>
      <c r="M3603"/>
      <c r="N3603"/>
      <c r="O3603"/>
      <c r="P3603"/>
      <c r="Q3603"/>
      <c r="R3603"/>
      <c r="S3603"/>
    </row>
    <row r="3604" spans="1:19" ht="15" x14ac:dyDescent="0.2">
      <c r="A3604"/>
      <c r="B3604"/>
      <c r="C3604"/>
      <c r="D3604"/>
      <c r="E3604"/>
      <c r="F3604"/>
      <c r="G3604"/>
      <c r="H3604"/>
      <c r="I3604"/>
      <c r="J3604"/>
      <c r="K3604"/>
      <c r="L3604"/>
      <c r="M3604"/>
      <c r="N3604"/>
      <c r="O3604"/>
      <c r="P3604"/>
      <c r="Q3604"/>
      <c r="R3604"/>
      <c r="S3604"/>
    </row>
    <row r="3605" spans="1:19" ht="15" x14ac:dyDescent="0.2">
      <c r="A3605"/>
      <c r="B3605"/>
      <c r="C3605"/>
      <c r="D3605"/>
      <c r="E3605"/>
      <c r="F3605"/>
      <c r="G3605"/>
      <c r="H3605"/>
      <c r="I3605"/>
      <c r="J3605"/>
      <c r="K3605"/>
      <c r="L3605"/>
      <c r="M3605"/>
      <c r="N3605"/>
      <c r="O3605"/>
      <c r="P3605"/>
      <c r="Q3605"/>
      <c r="R3605"/>
      <c r="S3605"/>
    </row>
    <row r="3606" spans="1:19" ht="15" x14ac:dyDescent="0.2">
      <c r="A3606"/>
      <c r="B3606"/>
      <c r="C3606"/>
      <c r="D3606"/>
      <c r="E3606"/>
      <c r="F3606"/>
      <c r="G3606"/>
      <c r="H3606"/>
      <c r="I3606"/>
      <c r="J3606"/>
      <c r="K3606"/>
      <c r="L3606"/>
      <c r="M3606"/>
      <c r="N3606"/>
      <c r="O3606"/>
      <c r="P3606"/>
      <c r="Q3606"/>
      <c r="R3606"/>
      <c r="S3606"/>
    </row>
    <row r="3607" spans="1:19" ht="15" x14ac:dyDescent="0.2">
      <c r="A3607"/>
      <c r="B3607"/>
      <c r="C3607"/>
      <c r="D3607"/>
      <c r="E3607"/>
      <c r="F3607"/>
      <c r="G3607"/>
      <c r="H3607"/>
      <c r="I3607"/>
      <c r="J3607"/>
      <c r="K3607"/>
      <c r="L3607"/>
      <c r="M3607"/>
      <c r="N3607"/>
      <c r="O3607"/>
      <c r="P3607"/>
      <c r="Q3607"/>
      <c r="R3607"/>
      <c r="S3607"/>
    </row>
    <row r="3608" spans="1:19" ht="15" x14ac:dyDescent="0.2">
      <c r="A3608"/>
      <c r="B3608"/>
      <c r="C3608"/>
      <c r="D3608"/>
      <c r="E3608"/>
      <c r="F3608"/>
      <c r="G3608"/>
      <c r="H3608"/>
      <c r="I3608"/>
      <c r="J3608"/>
      <c r="K3608"/>
      <c r="L3608"/>
      <c r="M3608"/>
      <c r="N3608"/>
      <c r="O3608"/>
      <c r="P3608"/>
      <c r="Q3608"/>
      <c r="R3608"/>
      <c r="S3608"/>
    </row>
    <row r="3609" spans="1:19" ht="15" x14ac:dyDescent="0.2">
      <c r="A3609"/>
      <c r="B3609"/>
      <c r="C3609"/>
      <c r="D3609"/>
      <c r="E3609"/>
      <c r="F3609"/>
      <c r="G3609"/>
      <c r="H3609"/>
      <c r="I3609"/>
      <c r="J3609"/>
      <c r="K3609"/>
      <c r="L3609"/>
      <c r="M3609"/>
      <c r="N3609"/>
      <c r="O3609"/>
      <c r="P3609"/>
      <c r="Q3609"/>
      <c r="R3609"/>
      <c r="S3609"/>
    </row>
    <row r="3610" spans="1:19" ht="15" x14ac:dyDescent="0.2">
      <c r="A3610"/>
      <c r="B3610"/>
      <c r="C3610"/>
      <c r="D3610"/>
      <c r="E3610"/>
      <c r="F3610"/>
      <c r="G3610"/>
      <c r="H3610"/>
      <c r="I3610"/>
      <c r="J3610"/>
      <c r="K3610"/>
      <c r="L3610"/>
      <c r="M3610"/>
      <c r="N3610"/>
      <c r="O3610"/>
      <c r="P3610"/>
      <c r="Q3610"/>
      <c r="R3610"/>
      <c r="S3610"/>
    </row>
    <row r="3611" spans="1:19" ht="15" x14ac:dyDescent="0.2">
      <c r="A3611"/>
      <c r="B3611"/>
      <c r="C3611"/>
      <c r="D3611"/>
      <c r="E3611"/>
      <c r="F3611"/>
      <c r="G3611"/>
      <c r="H3611"/>
      <c r="I3611"/>
      <c r="J3611"/>
      <c r="K3611"/>
      <c r="L3611"/>
      <c r="M3611"/>
      <c r="N3611"/>
      <c r="O3611"/>
      <c r="P3611"/>
      <c r="Q3611"/>
      <c r="R3611"/>
      <c r="S3611"/>
    </row>
    <row r="3612" spans="1:19" ht="15" x14ac:dyDescent="0.2">
      <c r="A3612"/>
      <c r="B3612"/>
      <c r="C3612"/>
      <c r="D3612"/>
      <c r="E3612"/>
      <c r="F3612"/>
      <c r="G3612"/>
      <c r="H3612"/>
      <c r="I3612"/>
      <c r="J3612"/>
      <c r="K3612"/>
      <c r="L3612"/>
      <c r="M3612"/>
      <c r="N3612"/>
      <c r="O3612"/>
      <c r="P3612"/>
      <c r="Q3612"/>
      <c r="R3612"/>
      <c r="S3612"/>
    </row>
    <row r="3613" spans="1:19" ht="15" x14ac:dyDescent="0.2">
      <c r="A3613"/>
      <c r="B3613"/>
      <c r="C3613"/>
      <c r="D3613"/>
      <c r="E3613"/>
      <c r="F3613"/>
      <c r="G3613"/>
      <c r="H3613"/>
      <c r="I3613"/>
      <c r="J3613"/>
      <c r="K3613"/>
      <c r="L3613"/>
      <c r="M3613"/>
      <c r="N3613"/>
      <c r="O3613"/>
      <c r="P3613"/>
      <c r="Q3613"/>
      <c r="R3613"/>
      <c r="S3613"/>
    </row>
    <row r="3614" spans="1:19" ht="15" x14ac:dyDescent="0.2">
      <c r="A3614"/>
      <c r="B3614"/>
      <c r="C3614"/>
      <c r="D3614"/>
      <c r="E3614"/>
      <c r="F3614"/>
      <c r="G3614"/>
      <c r="H3614"/>
      <c r="I3614"/>
      <c r="J3614"/>
      <c r="K3614"/>
      <c r="L3614"/>
      <c r="M3614"/>
      <c r="N3614"/>
      <c r="O3614"/>
      <c r="P3614"/>
      <c r="Q3614"/>
      <c r="R3614"/>
      <c r="S3614"/>
    </row>
    <row r="3615" spans="1:19" ht="15" x14ac:dyDescent="0.2">
      <c r="A3615"/>
      <c r="B3615"/>
      <c r="C3615"/>
      <c r="D3615"/>
      <c r="E3615"/>
      <c r="F3615"/>
      <c r="G3615"/>
      <c r="H3615"/>
      <c r="I3615"/>
      <c r="J3615"/>
      <c r="K3615"/>
      <c r="L3615"/>
      <c r="M3615"/>
      <c r="N3615"/>
      <c r="O3615"/>
      <c r="P3615"/>
      <c r="Q3615"/>
      <c r="R3615"/>
      <c r="S3615"/>
    </row>
    <row r="3616" spans="1:19" ht="15" x14ac:dyDescent="0.2">
      <c r="A3616"/>
      <c r="B3616"/>
      <c r="C3616"/>
      <c r="D3616"/>
      <c r="E3616"/>
      <c r="F3616"/>
      <c r="G3616"/>
      <c r="H3616"/>
      <c r="I3616"/>
      <c r="J3616"/>
      <c r="K3616"/>
      <c r="L3616"/>
      <c r="M3616"/>
      <c r="N3616"/>
      <c r="O3616"/>
      <c r="P3616"/>
      <c r="Q3616"/>
      <c r="R3616"/>
      <c r="S3616"/>
    </row>
    <row r="3617" spans="1:19" ht="15" x14ac:dyDescent="0.2">
      <c r="A3617"/>
      <c r="B3617"/>
      <c r="C3617"/>
      <c r="D3617"/>
      <c r="E3617"/>
      <c r="F3617"/>
      <c r="G3617"/>
      <c r="H3617"/>
      <c r="I3617"/>
      <c r="J3617"/>
      <c r="K3617"/>
      <c r="L3617"/>
      <c r="M3617"/>
      <c r="N3617"/>
      <c r="O3617"/>
      <c r="P3617"/>
      <c r="Q3617"/>
      <c r="R3617"/>
      <c r="S3617"/>
    </row>
    <row r="3618" spans="1:19" ht="15" x14ac:dyDescent="0.2">
      <c r="A3618"/>
      <c r="B3618"/>
      <c r="C3618"/>
      <c r="D3618"/>
      <c r="E3618"/>
      <c r="F3618"/>
      <c r="G3618"/>
      <c r="H3618"/>
      <c r="I3618"/>
      <c r="J3618"/>
      <c r="K3618"/>
      <c r="L3618"/>
      <c r="M3618"/>
      <c r="N3618"/>
      <c r="O3618"/>
      <c r="P3618"/>
      <c r="Q3618"/>
      <c r="R3618"/>
      <c r="S3618"/>
    </row>
    <row r="3619" spans="1:19" ht="15" x14ac:dyDescent="0.2">
      <c r="A3619"/>
      <c r="B3619"/>
      <c r="C3619"/>
      <c r="D3619"/>
      <c r="E3619"/>
      <c r="F3619"/>
      <c r="G3619"/>
      <c r="H3619"/>
      <c r="I3619"/>
      <c r="J3619"/>
      <c r="K3619"/>
      <c r="L3619"/>
      <c r="M3619"/>
      <c r="N3619"/>
      <c r="O3619"/>
      <c r="P3619"/>
      <c r="Q3619"/>
      <c r="R3619"/>
      <c r="S3619"/>
    </row>
    <row r="3620" spans="1:19" ht="15" x14ac:dyDescent="0.2">
      <c r="A3620"/>
      <c r="B3620"/>
      <c r="C3620"/>
      <c r="D3620"/>
      <c r="E3620"/>
      <c r="F3620"/>
      <c r="G3620"/>
      <c r="H3620"/>
      <c r="I3620"/>
      <c r="J3620"/>
      <c r="K3620"/>
      <c r="L3620"/>
      <c r="M3620"/>
      <c r="N3620"/>
      <c r="O3620"/>
      <c r="P3620"/>
      <c r="Q3620"/>
      <c r="R3620"/>
      <c r="S3620"/>
    </row>
    <row r="3621" spans="1:19" ht="15" x14ac:dyDescent="0.2">
      <c r="A3621"/>
      <c r="B3621"/>
      <c r="C3621"/>
      <c r="D3621"/>
      <c r="E3621"/>
      <c r="F3621"/>
      <c r="G3621"/>
      <c r="H3621"/>
      <c r="I3621"/>
      <c r="J3621"/>
      <c r="K3621"/>
      <c r="L3621"/>
      <c r="M3621"/>
      <c r="N3621"/>
      <c r="O3621"/>
      <c r="P3621"/>
      <c r="Q3621"/>
      <c r="R3621"/>
      <c r="S3621"/>
    </row>
    <row r="3622" spans="1:19" ht="15" x14ac:dyDescent="0.2">
      <c r="A3622"/>
      <c r="B3622"/>
      <c r="C3622"/>
      <c r="D3622"/>
      <c r="E3622"/>
      <c r="F3622"/>
      <c r="G3622"/>
      <c r="H3622"/>
      <c r="I3622"/>
      <c r="J3622"/>
      <c r="K3622"/>
      <c r="L3622"/>
      <c r="M3622"/>
      <c r="N3622"/>
      <c r="O3622"/>
      <c r="P3622"/>
      <c r="Q3622"/>
      <c r="R3622"/>
      <c r="S3622"/>
    </row>
    <row r="3623" spans="1:19" ht="15" x14ac:dyDescent="0.2">
      <c r="A3623"/>
      <c r="B3623"/>
      <c r="C3623"/>
      <c r="D3623"/>
      <c r="E3623"/>
      <c r="F3623"/>
      <c r="G3623"/>
      <c r="H3623"/>
      <c r="I3623"/>
      <c r="J3623"/>
      <c r="K3623"/>
      <c r="L3623"/>
      <c r="M3623"/>
      <c r="N3623"/>
      <c r="O3623"/>
      <c r="P3623"/>
      <c r="Q3623"/>
      <c r="R3623"/>
      <c r="S3623"/>
    </row>
    <row r="3624" spans="1:19" ht="15" x14ac:dyDescent="0.2">
      <c r="A3624"/>
      <c r="B3624"/>
      <c r="C3624"/>
      <c r="D3624"/>
      <c r="E3624"/>
      <c r="F3624"/>
      <c r="G3624"/>
      <c r="H3624"/>
      <c r="I3624"/>
      <c r="J3624"/>
      <c r="K3624"/>
      <c r="L3624"/>
      <c r="M3624"/>
      <c r="N3624"/>
      <c r="O3624"/>
      <c r="P3624"/>
      <c r="Q3624"/>
      <c r="R3624"/>
      <c r="S3624"/>
    </row>
    <row r="3625" spans="1:19" ht="15" x14ac:dyDescent="0.2">
      <c r="A3625"/>
      <c r="B3625"/>
      <c r="C3625"/>
      <c r="D3625"/>
      <c r="E3625"/>
      <c r="F3625"/>
      <c r="G3625"/>
      <c r="H3625"/>
      <c r="I3625"/>
      <c r="J3625"/>
      <c r="K3625"/>
      <c r="L3625"/>
      <c r="M3625"/>
      <c r="N3625"/>
      <c r="O3625"/>
      <c r="P3625"/>
      <c r="Q3625"/>
      <c r="R3625"/>
      <c r="S3625"/>
    </row>
    <row r="3626" spans="1:19" ht="15" x14ac:dyDescent="0.2">
      <c r="A3626"/>
      <c r="B3626"/>
      <c r="C3626"/>
      <c r="D3626"/>
      <c r="E3626"/>
      <c r="F3626"/>
      <c r="G3626"/>
      <c r="H3626"/>
      <c r="I3626"/>
      <c r="J3626"/>
      <c r="K3626"/>
      <c r="L3626"/>
      <c r="M3626"/>
      <c r="N3626"/>
      <c r="O3626"/>
      <c r="P3626"/>
      <c r="Q3626"/>
      <c r="R3626"/>
      <c r="S3626"/>
    </row>
    <row r="3627" spans="1:19" ht="15" x14ac:dyDescent="0.2">
      <c r="A3627"/>
      <c r="B3627"/>
      <c r="C3627"/>
      <c r="D3627"/>
      <c r="E3627"/>
      <c r="F3627"/>
      <c r="G3627"/>
      <c r="H3627"/>
      <c r="I3627"/>
      <c r="J3627"/>
      <c r="K3627"/>
      <c r="L3627"/>
      <c r="M3627"/>
      <c r="N3627"/>
      <c r="O3627"/>
      <c r="P3627"/>
      <c r="Q3627"/>
      <c r="R3627"/>
      <c r="S3627"/>
    </row>
    <row r="3628" spans="1:19" ht="15" x14ac:dyDescent="0.2">
      <c r="A3628"/>
      <c r="B3628"/>
      <c r="C3628"/>
      <c r="D3628"/>
      <c r="E3628"/>
      <c r="F3628"/>
      <c r="G3628"/>
      <c r="H3628"/>
      <c r="I3628"/>
      <c r="J3628"/>
      <c r="K3628"/>
      <c r="L3628"/>
      <c r="M3628"/>
      <c r="N3628"/>
      <c r="O3628"/>
      <c r="P3628"/>
      <c r="Q3628"/>
      <c r="R3628"/>
      <c r="S3628"/>
    </row>
    <row r="3629" spans="1:19" ht="15" x14ac:dyDescent="0.2">
      <c r="A3629"/>
      <c r="B3629"/>
      <c r="C3629"/>
      <c r="D3629"/>
      <c r="E3629"/>
      <c r="F3629"/>
      <c r="G3629"/>
      <c r="H3629"/>
      <c r="I3629"/>
      <c r="J3629"/>
      <c r="K3629"/>
      <c r="L3629"/>
      <c r="M3629"/>
      <c r="N3629"/>
      <c r="O3629"/>
      <c r="P3629"/>
      <c r="Q3629"/>
      <c r="R3629"/>
      <c r="S3629"/>
    </row>
    <row r="3630" spans="1:19" ht="15" x14ac:dyDescent="0.2">
      <c r="A3630"/>
      <c r="B3630"/>
      <c r="C3630"/>
      <c r="D3630"/>
      <c r="E3630"/>
      <c r="F3630"/>
      <c r="G3630"/>
      <c r="H3630"/>
      <c r="I3630"/>
      <c r="J3630"/>
      <c r="K3630"/>
      <c r="L3630"/>
      <c r="M3630"/>
      <c r="N3630"/>
      <c r="O3630"/>
      <c r="P3630"/>
      <c r="Q3630"/>
      <c r="R3630"/>
      <c r="S3630"/>
    </row>
    <row r="3631" spans="1:19" ht="15" x14ac:dyDescent="0.2">
      <c r="A3631"/>
      <c r="B3631"/>
      <c r="C3631"/>
      <c r="D3631"/>
      <c r="E3631"/>
      <c r="F3631"/>
      <c r="G3631"/>
      <c r="H3631"/>
      <c r="I3631"/>
      <c r="J3631"/>
      <c r="K3631"/>
      <c r="L3631"/>
      <c r="M3631"/>
      <c r="N3631"/>
      <c r="O3631"/>
      <c r="P3631"/>
      <c r="Q3631"/>
      <c r="R3631"/>
      <c r="S3631"/>
    </row>
    <row r="3632" spans="1:19" ht="15" x14ac:dyDescent="0.2">
      <c r="A3632"/>
      <c r="B3632"/>
      <c r="C3632"/>
      <c r="D3632"/>
      <c r="E3632"/>
      <c r="F3632"/>
      <c r="G3632"/>
      <c r="H3632"/>
      <c r="I3632"/>
      <c r="J3632"/>
      <c r="K3632"/>
      <c r="L3632"/>
      <c r="M3632"/>
      <c r="N3632"/>
      <c r="O3632"/>
      <c r="P3632"/>
      <c r="Q3632"/>
      <c r="R3632"/>
      <c r="S3632"/>
    </row>
    <row r="3633" spans="1:19" ht="15" x14ac:dyDescent="0.2">
      <c r="A3633"/>
      <c r="B3633"/>
      <c r="C3633"/>
      <c r="D3633"/>
      <c r="E3633"/>
      <c r="F3633"/>
      <c r="G3633"/>
      <c r="H3633"/>
      <c r="I3633"/>
      <c r="J3633"/>
      <c r="K3633"/>
      <c r="L3633"/>
      <c r="M3633"/>
      <c r="N3633"/>
      <c r="O3633"/>
      <c r="P3633"/>
      <c r="Q3633"/>
      <c r="R3633"/>
      <c r="S3633"/>
    </row>
    <row r="3634" spans="1:19" ht="15" x14ac:dyDescent="0.2">
      <c r="A3634"/>
      <c r="B3634"/>
      <c r="C3634"/>
      <c r="D3634"/>
      <c r="E3634"/>
      <c r="F3634"/>
      <c r="G3634"/>
      <c r="H3634"/>
      <c r="I3634"/>
      <c r="J3634"/>
      <c r="K3634"/>
      <c r="L3634"/>
      <c r="M3634"/>
      <c r="N3634"/>
      <c r="O3634"/>
      <c r="P3634"/>
      <c r="Q3634"/>
      <c r="R3634"/>
      <c r="S3634"/>
    </row>
    <row r="3635" spans="1:19" ht="15" x14ac:dyDescent="0.2">
      <c r="A3635"/>
      <c r="B3635"/>
      <c r="C3635"/>
      <c r="D3635"/>
      <c r="E3635"/>
      <c r="F3635"/>
      <c r="G3635"/>
      <c r="H3635"/>
      <c r="I3635"/>
      <c r="J3635"/>
      <c r="K3635"/>
      <c r="L3635"/>
      <c r="M3635"/>
      <c r="N3635"/>
      <c r="O3635"/>
      <c r="P3635"/>
      <c r="Q3635"/>
      <c r="R3635"/>
      <c r="S3635"/>
    </row>
    <row r="3636" spans="1:19" ht="15" x14ac:dyDescent="0.2">
      <c r="A3636"/>
      <c r="B3636"/>
      <c r="C3636"/>
      <c r="D3636"/>
      <c r="E3636"/>
      <c r="F3636"/>
      <c r="G3636"/>
      <c r="H3636"/>
      <c r="I3636"/>
      <c r="J3636"/>
      <c r="K3636"/>
      <c r="L3636"/>
      <c r="M3636"/>
      <c r="N3636"/>
      <c r="O3636"/>
      <c r="P3636"/>
      <c r="Q3636"/>
      <c r="R3636"/>
      <c r="S3636"/>
    </row>
    <row r="3637" spans="1:19" ht="15" x14ac:dyDescent="0.2">
      <c r="A3637"/>
      <c r="B3637"/>
      <c r="C3637"/>
      <c r="D3637"/>
      <c r="E3637"/>
      <c r="F3637"/>
      <c r="G3637"/>
      <c r="H3637"/>
      <c r="I3637"/>
      <c r="J3637"/>
      <c r="K3637"/>
      <c r="L3637"/>
      <c r="M3637"/>
      <c r="N3637"/>
      <c r="O3637"/>
      <c r="P3637"/>
      <c r="Q3637"/>
      <c r="R3637"/>
      <c r="S3637"/>
    </row>
    <row r="3638" spans="1:19" ht="15" x14ac:dyDescent="0.2">
      <c r="A3638"/>
      <c r="B3638"/>
      <c r="C3638"/>
      <c r="D3638"/>
      <c r="E3638"/>
      <c r="F3638"/>
      <c r="G3638"/>
      <c r="H3638"/>
      <c r="I3638"/>
      <c r="J3638"/>
      <c r="K3638"/>
      <c r="L3638"/>
      <c r="M3638"/>
      <c r="N3638"/>
      <c r="O3638"/>
      <c r="P3638"/>
      <c r="Q3638"/>
      <c r="R3638"/>
      <c r="S3638"/>
    </row>
    <row r="3639" spans="1:19" ht="15" x14ac:dyDescent="0.2">
      <c r="A3639"/>
      <c r="B3639"/>
      <c r="C3639"/>
      <c r="D3639"/>
      <c r="E3639"/>
      <c r="F3639"/>
      <c r="G3639"/>
      <c r="H3639"/>
      <c r="I3639"/>
      <c r="J3639"/>
      <c r="K3639"/>
      <c r="L3639"/>
      <c r="M3639"/>
      <c r="N3639"/>
      <c r="O3639"/>
      <c r="P3639"/>
      <c r="Q3639"/>
      <c r="R3639"/>
      <c r="S3639"/>
    </row>
    <row r="3640" spans="1:19" ht="15" x14ac:dyDescent="0.2">
      <c r="A3640"/>
      <c r="B3640"/>
      <c r="C3640"/>
      <c r="D3640"/>
      <c r="E3640"/>
      <c r="F3640"/>
      <c r="G3640"/>
      <c r="H3640"/>
      <c r="I3640"/>
      <c r="J3640"/>
      <c r="K3640"/>
      <c r="L3640"/>
      <c r="M3640"/>
      <c r="N3640"/>
      <c r="O3640"/>
      <c r="P3640"/>
      <c r="Q3640"/>
      <c r="R3640"/>
      <c r="S3640"/>
    </row>
    <row r="3641" spans="1:19" ht="15" x14ac:dyDescent="0.2">
      <c r="A3641"/>
      <c r="B3641"/>
      <c r="C3641"/>
      <c r="D3641"/>
      <c r="E3641"/>
      <c r="F3641"/>
      <c r="G3641"/>
      <c r="H3641"/>
      <c r="I3641"/>
      <c r="J3641"/>
      <c r="K3641"/>
      <c r="L3641"/>
      <c r="M3641"/>
      <c r="N3641"/>
      <c r="O3641"/>
      <c r="P3641"/>
      <c r="Q3641"/>
      <c r="R3641"/>
      <c r="S3641"/>
    </row>
    <row r="3642" spans="1:19" ht="15" x14ac:dyDescent="0.2">
      <c r="A3642"/>
      <c r="B3642"/>
      <c r="C3642"/>
      <c r="D3642"/>
      <c r="E3642"/>
      <c r="F3642"/>
      <c r="G3642"/>
      <c r="H3642"/>
      <c r="I3642"/>
      <c r="J3642"/>
      <c r="K3642"/>
      <c r="L3642"/>
      <c r="M3642"/>
      <c r="N3642"/>
      <c r="O3642"/>
      <c r="P3642"/>
      <c r="Q3642"/>
      <c r="R3642"/>
      <c r="S3642"/>
    </row>
    <row r="3643" spans="1:19" ht="15" x14ac:dyDescent="0.2">
      <c r="A3643"/>
      <c r="B3643"/>
      <c r="C3643"/>
      <c r="D3643"/>
      <c r="E3643"/>
      <c r="F3643"/>
      <c r="G3643"/>
      <c r="H3643"/>
      <c r="I3643"/>
      <c r="J3643"/>
      <c r="K3643"/>
      <c r="L3643"/>
      <c r="M3643"/>
      <c r="N3643"/>
      <c r="O3643"/>
      <c r="P3643"/>
      <c r="Q3643"/>
      <c r="R3643"/>
      <c r="S3643"/>
    </row>
    <row r="3644" spans="1:19" ht="15" x14ac:dyDescent="0.2">
      <c r="A3644"/>
      <c r="B3644"/>
      <c r="C3644"/>
      <c r="D3644"/>
      <c r="E3644"/>
      <c r="F3644"/>
      <c r="G3644"/>
      <c r="H3644"/>
      <c r="I3644"/>
      <c r="J3644"/>
      <c r="K3644"/>
      <c r="L3644"/>
      <c r="M3644"/>
      <c r="N3644"/>
      <c r="O3644"/>
      <c r="P3644"/>
      <c r="Q3644"/>
      <c r="R3644"/>
      <c r="S3644"/>
    </row>
    <row r="3645" spans="1:19" ht="15" x14ac:dyDescent="0.2">
      <c r="A3645"/>
      <c r="B3645"/>
      <c r="C3645"/>
      <c r="D3645"/>
      <c r="E3645"/>
      <c r="F3645"/>
      <c r="G3645"/>
      <c r="H3645"/>
      <c r="I3645"/>
      <c r="J3645"/>
      <c r="K3645"/>
      <c r="L3645"/>
      <c r="M3645"/>
      <c r="N3645"/>
      <c r="O3645"/>
      <c r="P3645"/>
      <c r="Q3645"/>
      <c r="R3645"/>
      <c r="S3645"/>
    </row>
    <row r="3646" spans="1:19" ht="15" x14ac:dyDescent="0.2">
      <c r="A3646"/>
      <c r="B3646"/>
      <c r="C3646"/>
      <c r="D3646"/>
      <c r="E3646"/>
      <c r="F3646"/>
      <c r="G3646"/>
      <c r="H3646"/>
      <c r="I3646"/>
      <c r="J3646"/>
      <c r="K3646"/>
      <c r="L3646"/>
      <c r="M3646"/>
      <c r="N3646"/>
      <c r="O3646"/>
      <c r="P3646"/>
      <c r="Q3646"/>
      <c r="R3646"/>
      <c r="S3646"/>
    </row>
    <row r="3647" spans="1:19" ht="15" x14ac:dyDescent="0.2">
      <c r="A3647"/>
      <c r="B3647"/>
      <c r="C3647"/>
      <c r="D3647"/>
      <c r="E3647"/>
      <c r="F3647"/>
      <c r="G3647"/>
      <c r="H3647"/>
      <c r="I3647"/>
      <c r="J3647"/>
      <c r="K3647"/>
      <c r="L3647"/>
      <c r="M3647"/>
      <c r="N3647"/>
      <c r="O3647"/>
      <c r="P3647"/>
      <c r="Q3647"/>
      <c r="R3647"/>
      <c r="S3647"/>
    </row>
    <row r="3648" spans="1:19" ht="15" x14ac:dyDescent="0.2">
      <c r="A3648"/>
      <c r="B3648"/>
      <c r="C3648"/>
      <c r="D3648"/>
      <c r="E3648"/>
      <c r="F3648"/>
      <c r="G3648"/>
      <c r="H3648"/>
      <c r="I3648"/>
      <c r="J3648"/>
      <c r="K3648"/>
      <c r="L3648"/>
      <c r="M3648"/>
      <c r="N3648"/>
      <c r="O3648"/>
      <c r="P3648"/>
      <c r="Q3648"/>
      <c r="R3648"/>
      <c r="S3648"/>
    </row>
    <row r="3649" spans="1:19" ht="15" x14ac:dyDescent="0.2">
      <c r="A3649"/>
      <c r="B3649"/>
      <c r="C3649"/>
      <c r="D3649"/>
      <c r="E3649"/>
      <c r="F3649"/>
      <c r="G3649"/>
      <c r="H3649"/>
      <c r="I3649"/>
      <c r="J3649"/>
      <c r="K3649"/>
      <c r="L3649"/>
      <c r="M3649"/>
      <c r="N3649"/>
      <c r="O3649"/>
      <c r="P3649"/>
      <c r="Q3649"/>
      <c r="R3649"/>
      <c r="S3649"/>
    </row>
    <row r="3650" spans="1:19" ht="15" x14ac:dyDescent="0.2">
      <c r="A3650"/>
      <c r="B3650"/>
      <c r="C3650"/>
      <c r="D3650"/>
      <c r="E3650"/>
      <c r="F3650"/>
      <c r="G3650"/>
      <c r="H3650"/>
      <c r="I3650"/>
      <c r="J3650"/>
      <c r="K3650"/>
      <c r="L3650"/>
      <c r="M3650"/>
      <c r="N3650"/>
      <c r="O3650"/>
      <c r="P3650"/>
      <c r="Q3650"/>
      <c r="R3650"/>
      <c r="S3650"/>
    </row>
    <row r="3651" spans="1:19" ht="15" x14ac:dyDescent="0.2">
      <c r="A3651"/>
      <c r="B3651"/>
      <c r="C3651"/>
      <c r="D3651"/>
      <c r="E3651"/>
      <c r="F3651"/>
      <c r="G3651"/>
      <c r="H3651"/>
      <c r="I3651"/>
      <c r="J3651"/>
      <c r="K3651"/>
      <c r="L3651"/>
      <c r="M3651"/>
      <c r="N3651"/>
      <c r="O3651"/>
      <c r="P3651"/>
      <c r="Q3651"/>
      <c r="R3651"/>
      <c r="S3651"/>
    </row>
    <row r="3652" spans="1:19" ht="15" x14ac:dyDescent="0.2">
      <c r="A3652"/>
      <c r="B3652"/>
      <c r="C3652"/>
      <c r="D3652"/>
      <c r="E3652"/>
      <c r="F3652"/>
      <c r="G3652"/>
      <c r="H3652"/>
      <c r="I3652"/>
      <c r="J3652"/>
      <c r="K3652"/>
      <c r="L3652"/>
      <c r="M3652"/>
      <c r="N3652"/>
      <c r="O3652"/>
      <c r="P3652"/>
      <c r="Q3652"/>
      <c r="R3652"/>
      <c r="S3652"/>
    </row>
    <row r="3653" spans="1:19" ht="15" x14ac:dyDescent="0.2">
      <c r="A3653"/>
      <c r="B3653"/>
      <c r="C3653"/>
      <c r="D3653"/>
      <c r="E3653"/>
      <c r="F3653"/>
      <c r="G3653"/>
      <c r="H3653"/>
      <c r="I3653"/>
      <c r="J3653"/>
      <c r="K3653"/>
      <c r="L3653"/>
      <c r="M3653"/>
      <c r="N3653"/>
      <c r="O3653"/>
      <c r="P3653"/>
      <c r="Q3653"/>
      <c r="R3653"/>
      <c r="S3653"/>
    </row>
    <row r="3654" spans="1:19" ht="15" x14ac:dyDescent="0.2">
      <c r="A3654"/>
      <c r="B3654"/>
      <c r="C3654"/>
      <c r="D3654"/>
      <c r="E3654"/>
      <c r="F3654"/>
      <c r="G3654"/>
      <c r="H3654"/>
      <c r="I3654"/>
      <c r="J3654"/>
      <c r="K3654"/>
      <c r="L3654"/>
      <c r="M3654"/>
      <c r="N3654"/>
      <c r="O3654"/>
      <c r="P3654"/>
      <c r="Q3654"/>
      <c r="R3654"/>
      <c r="S3654"/>
    </row>
    <row r="3655" spans="1:19" ht="15" x14ac:dyDescent="0.2">
      <c r="A3655"/>
      <c r="B3655"/>
      <c r="C3655"/>
      <c r="D3655"/>
      <c r="E3655"/>
      <c r="F3655"/>
      <c r="G3655"/>
      <c r="H3655"/>
      <c r="I3655"/>
      <c r="J3655"/>
      <c r="K3655"/>
      <c r="L3655"/>
      <c r="M3655"/>
      <c r="N3655"/>
      <c r="O3655"/>
      <c r="P3655"/>
      <c r="Q3655"/>
      <c r="R3655"/>
      <c r="S3655"/>
    </row>
    <row r="3656" spans="1:19" ht="15" x14ac:dyDescent="0.2">
      <c r="A3656"/>
      <c r="B3656"/>
      <c r="C3656"/>
      <c r="D3656"/>
      <c r="E3656"/>
      <c r="F3656"/>
      <c r="G3656"/>
      <c r="H3656"/>
      <c r="I3656"/>
      <c r="J3656"/>
      <c r="K3656"/>
      <c r="L3656"/>
      <c r="M3656"/>
      <c r="N3656"/>
      <c r="O3656"/>
      <c r="P3656"/>
      <c r="Q3656"/>
      <c r="R3656"/>
      <c r="S3656"/>
    </row>
    <row r="3657" spans="1:19" ht="15" x14ac:dyDescent="0.2">
      <c r="A3657"/>
      <c r="B3657"/>
      <c r="C3657"/>
      <c r="D3657"/>
      <c r="E3657"/>
      <c r="F3657"/>
      <c r="G3657"/>
      <c r="H3657"/>
      <c r="I3657"/>
      <c r="J3657"/>
      <c r="K3657"/>
      <c r="L3657"/>
      <c r="M3657"/>
      <c r="N3657"/>
      <c r="O3657"/>
      <c r="P3657"/>
      <c r="Q3657"/>
      <c r="R3657"/>
      <c r="S3657"/>
    </row>
    <row r="3658" spans="1:19" ht="15" x14ac:dyDescent="0.2">
      <c r="A3658"/>
      <c r="B3658"/>
      <c r="C3658"/>
      <c r="D3658"/>
      <c r="E3658"/>
      <c r="F3658"/>
      <c r="G3658"/>
      <c r="H3658"/>
      <c r="I3658"/>
      <c r="J3658"/>
      <c r="K3658"/>
      <c r="L3658"/>
      <c r="M3658"/>
      <c r="N3658"/>
      <c r="O3658"/>
      <c r="P3658"/>
      <c r="Q3658"/>
      <c r="R3658"/>
      <c r="S3658"/>
    </row>
    <row r="3659" spans="1:19" ht="15" x14ac:dyDescent="0.2">
      <c r="A3659"/>
      <c r="B3659"/>
      <c r="C3659"/>
      <c r="D3659"/>
      <c r="E3659"/>
      <c r="F3659"/>
      <c r="G3659"/>
      <c r="H3659"/>
      <c r="I3659"/>
      <c r="J3659"/>
      <c r="K3659"/>
      <c r="L3659"/>
      <c r="M3659"/>
      <c r="N3659"/>
      <c r="O3659"/>
      <c r="P3659"/>
      <c r="Q3659"/>
      <c r="R3659"/>
      <c r="S3659"/>
    </row>
    <row r="3660" spans="1:19" ht="15" x14ac:dyDescent="0.2">
      <c r="A3660"/>
      <c r="B3660"/>
      <c r="C3660"/>
      <c r="D3660"/>
      <c r="E3660"/>
      <c r="F3660"/>
      <c r="G3660"/>
      <c r="H3660"/>
      <c r="I3660"/>
      <c r="J3660"/>
      <c r="K3660"/>
      <c r="L3660"/>
      <c r="M3660"/>
      <c r="N3660"/>
      <c r="O3660"/>
      <c r="P3660"/>
      <c r="Q3660"/>
      <c r="R3660"/>
      <c r="S3660"/>
    </row>
    <row r="3661" spans="1:19" ht="15" x14ac:dyDescent="0.2">
      <c r="A3661"/>
      <c r="B3661"/>
      <c r="C3661"/>
      <c r="D3661"/>
      <c r="E3661"/>
      <c r="F3661"/>
      <c r="G3661"/>
      <c r="H3661"/>
      <c r="I3661"/>
      <c r="J3661"/>
      <c r="K3661"/>
      <c r="L3661"/>
      <c r="M3661"/>
      <c r="N3661"/>
      <c r="O3661"/>
      <c r="P3661"/>
      <c r="Q3661"/>
      <c r="R3661"/>
      <c r="S3661"/>
    </row>
    <row r="3662" spans="1:19" ht="15" x14ac:dyDescent="0.2">
      <c r="A3662"/>
      <c r="B3662"/>
      <c r="C3662"/>
      <c r="D3662"/>
      <c r="E3662"/>
      <c r="F3662"/>
      <c r="G3662"/>
      <c r="H3662"/>
      <c r="I3662"/>
      <c r="J3662"/>
      <c r="K3662"/>
      <c r="L3662"/>
      <c r="M3662"/>
      <c r="N3662"/>
      <c r="O3662"/>
      <c r="P3662"/>
      <c r="Q3662"/>
      <c r="R3662"/>
      <c r="S3662"/>
    </row>
    <row r="3663" spans="1:19" ht="15" x14ac:dyDescent="0.2">
      <c r="A3663"/>
      <c r="B3663"/>
      <c r="C3663"/>
      <c r="D3663"/>
      <c r="E3663"/>
      <c r="F3663"/>
      <c r="G3663"/>
      <c r="H3663"/>
      <c r="I3663"/>
      <c r="J3663"/>
      <c r="K3663"/>
      <c r="L3663"/>
      <c r="M3663"/>
      <c r="N3663"/>
      <c r="O3663"/>
      <c r="P3663"/>
      <c r="Q3663"/>
      <c r="R3663"/>
      <c r="S3663"/>
    </row>
    <row r="3664" spans="1:19" ht="15" x14ac:dyDescent="0.2">
      <c r="A3664"/>
      <c r="B3664"/>
      <c r="C3664"/>
      <c r="D3664"/>
      <c r="E3664"/>
      <c r="F3664"/>
      <c r="G3664"/>
      <c r="H3664"/>
      <c r="I3664"/>
      <c r="J3664"/>
      <c r="K3664"/>
      <c r="L3664"/>
      <c r="M3664"/>
      <c r="N3664"/>
      <c r="O3664"/>
      <c r="P3664"/>
      <c r="Q3664"/>
      <c r="R3664"/>
      <c r="S3664"/>
    </row>
    <row r="3665" spans="1:19" ht="15" x14ac:dyDescent="0.2">
      <c r="A3665"/>
      <c r="B3665"/>
      <c r="C3665"/>
      <c r="D3665"/>
      <c r="E3665"/>
      <c r="F3665"/>
      <c r="G3665"/>
      <c r="H3665"/>
      <c r="I3665"/>
      <c r="J3665"/>
      <c r="K3665"/>
      <c r="L3665"/>
      <c r="M3665"/>
      <c r="N3665"/>
      <c r="O3665"/>
      <c r="P3665"/>
      <c r="Q3665"/>
      <c r="R3665"/>
      <c r="S3665"/>
    </row>
    <row r="3666" spans="1:19" ht="15" x14ac:dyDescent="0.2">
      <c r="A3666"/>
      <c r="B3666"/>
      <c r="C3666"/>
      <c r="D3666"/>
      <c r="E3666"/>
      <c r="F3666"/>
      <c r="G3666"/>
      <c r="H3666"/>
      <c r="I3666"/>
      <c r="J3666"/>
      <c r="K3666"/>
      <c r="L3666"/>
      <c r="M3666"/>
      <c r="N3666"/>
      <c r="O3666"/>
      <c r="P3666"/>
      <c r="Q3666"/>
      <c r="R3666"/>
      <c r="S3666"/>
    </row>
    <row r="3667" spans="1:19" ht="15" x14ac:dyDescent="0.2">
      <c r="A3667"/>
      <c r="B3667"/>
      <c r="C3667"/>
      <c r="D3667"/>
      <c r="E3667"/>
      <c r="F3667"/>
      <c r="G3667"/>
      <c r="H3667"/>
      <c r="I3667"/>
      <c r="J3667"/>
      <c r="K3667"/>
      <c r="L3667"/>
      <c r="M3667"/>
      <c r="N3667"/>
      <c r="O3667"/>
      <c r="P3667"/>
      <c r="Q3667"/>
      <c r="R3667"/>
      <c r="S3667"/>
    </row>
    <row r="3668" spans="1:19" ht="15" x14ac:dyDescent="0.2">
      <c r="A3668"/>
      <c r="B3668"/>
      <c r="C3668"/>
      <c r="D3668"/>
      <c r="E3668"/>
      <c r="F3668"/>
      <c r="G3668"/>
      <c r="H3668"/>
      <c r="I3668"/>
      <c r="J3668"/>
      <c r="K3668"/>
      <c r="L3668"/>
      <c r="M3668"/>
      <c r="N3668"/>
      <c r="O3668"/>
      <c r="P3668"/>
      <c r="Q3668"/>
      <c r="R3668"/>
      <c r="S3668"/>
    </row>
    <row r="3669" spans="1:19" ht="15" x14ac:dyDescent="0.2">
      <c r="A3669"/>
      <c r="B3669"/>
      <c r="C3669"/>
      <c r="D3669"/>
      <c r="E3669"/>
      <c r="F3669"/>
      <c r="G3669"/>
      <c r="H3669"/>
      <c r="I3669"/>
      <c r="J3669"/>
      <c r="K3669"/>
      <c r="L3669"/>
      <c r="M3669"/>
      <c r="N3669"/>
      <c r="O3669"/>
      <c r="P3669"/>
      <c r="Q3669"/>
      <c r="R3669"/>
      <c r="S3669"/>
    </row>
    <row r="3670" spans="1:19" ht="15" x14ac:dyDescent="0.2">
      <c r="A3670"/>
      <c r="B3670"/>
      <c r="C3670"/>
      <c r="D3670"/>
      <c r="E3670"/>
      <c r="F3670"/>
      <c r="G3670"/>
      <c r="H3670"/>
      <c r="I3670"/>
      <c r="J3670"/>
      <c r="K3670"/>
      <c r="L3670"/>
      <c r="M3670"/>
      <c r="N3670"/>
      <c r="O3670"/>
      <c r="P3670"/>
      <c r="Q3670"/>
      <c r="R3670"/>
      <c r="S3670"/>
    </row>
    <row r="3671" spans="1:19" ht="15" x14ac:dyDescent="0.2">
      <c r="A3671"/>
      <c r="B3671"/>
      <c r="C3671"/>
      <c r="D3671"/>
      <c r="E3671"/>
      <c r="F3671"/>
      <c r="G3671"/>
      <c r="H3671"/>
      <c r="I3671"/>
      <c r="J3671"/>
      <c r="K3671"/>
      <c r="L3671"/>
      <c r="M3671"/>
      <c r="N3671"/>
      <c r="O3671"/>
      <c r="P3671"/>
      <c r="Q3671"/>
      <c r="R3671"/>
      <c r="S3671"/>
    </row>
    <row r="3672" spans="1:19" ht="15" x14ac:dyDescent="0.2">
      <c r="A3672"/>
      <c r="B3672"/>
      <c r="C3672"/>
      <c r="D3672"/>
      <c r="E3672"/>
      <c r="F3672"/>
      <c r="G3672"/>
      <c r="H3672"/>
      <c r="I3672"/>
      <c r="J3672"/>
      <c r="K3672"/>
      <c r="L3672"/>
      <c r="M3672"/>
      <c r="N3672"/>
      <c r="O3672"/>
      <c r="P3672"/>
      <c r="Q3672"/>
      <c r="R3672"/>
      <c r="S3672"/>
    </row>
    <row r="3673" spans="1:19" ht="15" x14ac:dyDescent="0.2">
      <c r="A3673"/>
      <c r="B3673"/>
      <c r="C3673"/>
      <c r="D3673"/>
      <c r="E3673"/>
      <c r="F3673"/>
      <c r="G3673"/>
      <c r="H3673"/>
      <c r="I3673"/>
      <c r="J3673"/>
      <c r="K3673"/>
      <c r="L3673"/>
      <c r="M3673"/>
      <c r="N3673"/>
      <c r="O3673"/>
      <c r="P3673"/>
      <c r="Q3673"/>
      <c r="R3673"/>
      <c r="S3673"/>
    </row>
    <row r="3674" spans="1:19" ht="15" x14ac:dyDescent="0.2">
      <c r="A3674"/>
      <c r="B3674"/>
      <c r="C3674"/>
      <c r="D3674"/>
      <c r="E3674"/>
      <c r="F3674"/>
      <c r="G3674"/>
      <c r="H3674"/>
      <c r="I3674"/>
      <c r="J3674"/>
      <c r="K3674"/>
      <c r="L3674"/>
      <c r="M3674"/>
      <c r="N3674"/>
      <c r="O3674"/>
      <c r="P3674"/>
      <c r="Q3674"/>
      <c r="R3674"/>
      <c r="S3674"/>
    </row>
    <row r="3675" spans="1:19" ht="15" x14ac:dyDescent="0.2">
      <c r="A3675"/>
      <c r="B3675"/>
      <c r="C3675"/>
      <c r="D3675"/>
      <c r="E3675"/>
      <c r="F3675"/>
      <c r="G3675"/>
      <c r="H3675"/>
      <c r="I3675"/>
      <c r="J3675"/>
      <c r="K3675"/>
      <c r="L3675"/>
      <c r="M3675"/>
      <c r="N3675"/>
      <c r="O3675"/>
      <c r="P3675"/>
      <c r="Q3675"/>
      <c r="R3675"/>
      <c r="S3675"/>
    </row>
    <row r="3676" spans="1:19" ht="15" x14ac:dyDescent="0.2">
      <c r="A3676"/>
      <c r="B3676"/>
      <c r="C3676"/>
      <c r="D3676"/>
      <c r="E3676"/>
      <c r="F3676"/>
      <c r="G3676"/>
      <c r="H3676"/>
      <c r="I3676"/>
      <c r="J3676"/>
      <c r="K3676"/>
      <c r="L3676"/>
      <c r="M3676"/>
      <c r="N3676"/>
      <c r="O3676"/>
      <c r="P3676"/>
      <c r="Q3676"/>
      <c r="R3676"/>
      <c r="S3676"/>
    </row>
    <row r="3677" spans="1:19" ht="15" x14ac:dyDescent="0.2">
      <c r="A3677"/>
      <c r="B3677"/>
      <c r="C3677"/>
      <c r="D3677"/>
      <c r="E3677"/>
      <c r="F3677"/>
      <c r="G3677"/>
      <c r="H3677"/>
      <c r="I3677"/>
      <c r="J3677"/>
      <c r="K3677"/>
      <c r="L3677"/>
      <c r="M3677"/>
      <c r="N3677"/>
      <c r="O3677"/>
      <c r="P3677"/>
      <c r="Q3677"/>
      <c r="R3677"/>
      <c r="S3677"/>
    </row>
    <row r="3678" spans="1:19" ht="15" x14ac:dyDescent="0.2">
      <c r="A3678"/>
      <c r="B3678"/>
      <c r="C3678"/>
      <c r="D3678"/>
      <c r="E3678"/>
      <c r="F3678"/>
      <c r="G3678"/>
      <c r="H3678"/>
      <c r="I3678"/>
      <c r="J3678"/>
      <c r="K3678"/>
      <c r="L3678"/>
      <c r="M3678"/>
      <c r="N3678"/>
      <c r="O3678"/>
      <c r="P3678"/>
      <c r="Q3678"/>
      <c r="R3678"/>
      <c r="S3678"/>
    </row>
    <row r="3679" spans="1:19" ht="15" x14ac:dyDescent="0.2">
      <c r="A3679"/>
      <c r="B3679"/>
      <c r="C3679"/>
      <c r="D3679"/>
      <c r="E3679"/>
      <c r="F3679"/>
      <c r="G3679"/>
      <c r="H3679"/>
      <c r="I3679"/>
      <c r="J3679"/>
      <c r="K3679"/>
      <c r="L3679"/>
      <c r="M3679"/>
      <c r="N3679"/>
      <c r="O3679"/>
      <c r="P3679"/>
      <c r="Q3679"/>
      <c r="R3679"/>
      <c r="S3679"/>
    </row>
    <row r="3680" spans="1:19" ht="15" x14ac:dyDescent="0.2">
      <c r="A3680"/>
      <c r="B3680"/>
      <c r="C3680"/>
      <c r="D3680"/>
      <c r="E3680"/>
      <c r="F3680"/>
      <c r="G3680"/>
      <c r="H3680"/>
      <c r="I3680"/>
      <c r="J3680"/>
      <c r="K3680"/>
      <c r="L3680"/>
      <c r="M3680"/>
      <c r="N3680"/>
      <c r="O3680"/>
      <c r="P3680"/>
      <c r="Q3680"/>
      <c r="R3680"/>
      <c r="S3680"/>
    </row>
    <row r="3681" spans="1:19" ht="15" x14ac:dyDescent="0.2">
      <c r="A3681"/>
      <c r="B3681"/>
      <c r="C3681"/>
      <c r="D3681"/>
      <c r="E3681"/>
      <c r="F3681"/>
      <c r="G3681"/>
      <c r="H3681"/>
      <c r="I3681"/>
      <c r="J3681"/>
      <c r="K3681"/>
      <c r="L3681"/>
      <c r="M3681"/>
      <c r="N3681"/>
      <c r="O3681"/>
      <c r="P3681"/>
      <c r="Q3681"/>
      <c r="R3681"/>
      <c r="S3681"/>
    </row>
    <row r="3682" spans="1:19" ht="15" x14ac:dyDescent="0.2">
      <c r="A3682"/>
      <c r="B3682"/>
      <c r="C3682"/>
      <c r="D3682"/>
      <c r="E3682"/>
      <c r="F3682"/>
      <c r="G3682"/>
      <c r="H3682"/>
      <c r="I3682"/>
      <c r="J3682"/>
      <c r="K3682"/>
      <c r="L3682"/>
      <c r="M3682"/>
      <c r="N3682"/>
      <c r="O3682"/>
      <c r="P3682"/>
      <c r="Q3682"/>
      <c r="R3682"/>
      <c r="S3682"/>
    </row>
    <row r="3683" spans="1:19" ht="15" x14ac:dyDescent="0.2">
      <c r="A3683"/>
      <c r="B3683"/>
      <c r="C3683"/>
      <c r="D3683"/>
      <c r="E3683"/>
      <c r="F3683"/>
      <c r="G3683"/>
      <c r="H3683"/>
      <c r="I3683"/>
      <c r="J3683"/>
      <c r="K3683"/>
      <c r="L3683"/>
      <c r="M3683"/>
      <c r="N3683"/>
      <c r="O3683"/>
      <c r="P3683"/>
      <c r="Q3683"/>
      <c r="R3683"/>
      <c r="S3683"/>
    </row>
    <row r="3684" spans="1:19" ht="15" x14ac:dyDescent="0.2">
      <c r="A3684"/>
      <c r="B3684"/>
      <c r="C3684"/>
      <c r="D3684"/>
      <c r="E3684"/>
      <c r="F3684"/>
      <c r="G3684"/>
      <c r="H3684"/>
      <c r="I3684"/>
      <c r="J3684"/>
      <c r="K3684"/>
      <c r="L3684"/>
      <c r="M3684"/>
      <c r="N3684"/>
      <c r="O3684"/>
      <c r="P3684"/>
      <c r="Q3684"/>
      <c r="R3684"/>
      <c r="S3684"/>
    </row>
    <row r="3685" spans="1:19" ht="15" x14ac:dyDescent="0.2">
      <c r="A3685"/>
      <c r="B3685"/>
      <c r="C3685"/>
      <c r="D3685"/>
      <c r="E3685"/>
      <c r="F3685"/>
      <c r="G3685"/>
      <c r="H3685"/>
      <c r="I3685"/>
      <c r="J3685"/>
      <c r="K3685"/>
      <c r="L3685"/>
      <c r="M3685"/>
      <c r="N3685"/>
      <c r="O3685"/>
      <c r="P3685"/>
      <c r="Q3685"/>
      <c r="R3685"/>
      <c r="S3685"/>
    </row>
    <row r="3686" spans="1:19" ht="15" x14ac:dyDescent="0.2">
      <c r="A3686"/>
      <c r="B3686"/>
      <c r="C3686"/>
      <c r="D3686"/>
      <c r="E3686"/>
      <c r="F3686"/>
      <c r="G3686"/>
      <c r="H3686"/>
      <c r="I3686"/>
      <c r="J3686"/>
      <c r="K3686"/>
      <c r="L3686"/>
      <c r="M3686"/>
      <c r="N3686"/>
      <c r="O3686"/>
      <c r="P3686"/>
      <c r="Q3686"/>
      <c r="R3686"/>
      <c r="S3686"/>
    </row>
    <row r="3687" spans="1:19" ht="15" x14ac:dyDescent="0.2">
      <c r="A3687"/>
      <c r="B3687"/>
      <c r="C3687"/>
      <c r="D3687"/>
      <c r="E3687"/>
      <c r="F3687"/>
      <c r="G3687"/>
      <c r="H3687"/>
      <c r="I3687"/>
      <c r="J3687"/>
      <c r="K3687"/>
      <c r="L3687"/>
      <c r="M3687"/>
      <c r="N3687"/>
      <c r="O3687"/>
      <c r="P3687"/>
      <c r="Q3687"/>
      <c r="R3687"/>
      <c r="S3687"/>
    </row>
    <row r="3688" spans="1:19" ht="15" x14ac:dyDescent="0.2">
      <c r="A3688"/>
      <c r="B3688"/>
      <c r="C3688"/>
      <c r="D3688"/>
      <c r="E3688"/>
      <c r="F3688"/>
      <c r="G3688"/>
      <c r="H3688"/>
      <c r="I3688"/>
      <c r="J3688"/>
      <c r="K3688"/>
      <c r="L3688"/>
      <c r="M3688"/>
      <c r="N3688"/>
      <c r="O3688"/>
      <c r="P3688"/>
      <c r="Q3688"/>
      <c r="R3688"/>
      <c r="S3688"/>
    </row>
    <row r="3689" spans="1:19" ht="15" x14ac:dyDescent="0.2">
      <c r="A3689"/>
      <c r="B3689"/>
      <c r="C3689"/>
      <c r="D3689"/>
      <c r="E3689"/>
      <c r="F3689"/>
      <c r="G3689"/>
      <c r="H3689"/>
      <c r="I3689"/>
      <c r="J3689"/>
      <c r="K3689"/>
      <c r="L3689"/>
      <c r="M3689"/>
      <c r="N3689"/>
      <c r="O3689"/>
      <c r="P3689"/>
      <c r="Q3689"/>
      <c r="R3689"/>
      <c r="S3689"/>
    </row>
    <row r="3690" spans="1:19" ht="15" x14ac:dyDescent="0.2">
      <c r="A3690"/>
      <c r="B3690"/>
      <c r="C3690"/>
      <c r="D3690"/>
      <c r="E3690"/>
      <c r="F3690"/>
      <c r="G3690"/>
      <c r="H3690"/>
      <c r="I3690"/>
      <c r="J3690"/>
      <c r="K3690"/>
      <c r="L3690"/>
      <c r="M3690"/>
      <c r="N3690"/>
      <c r="O3690"/>
      <c r="P3690"/>
      <c r="Q3690"/>
      <c r="R3690"/>
      <c r="S3690"/>
    </row>
    <row r="3691" spans="1:19" ht="15" x14ac:dyDescent="0.2">
      <c r="A3691"/>
      <c r="B3691"/>
      <c r="C3691"/>
      <c r="D3691"/>
      <c r="E3691"/>
      <c r="F3691"/>
      <c r="G3691"/>
      <c r="H3691"/>
      <c r="I3691"/>
      <c r="J3691"/>
      <c r="K3691"/>
      <c r="L3691"/>
      <c r="M3691"/>
      <c r="N3691"/>
      <c r="O3691"/>
      <c r="P3691"/>
      <c r="Q3691"/>
      <c r="R3691"/>
      <c r="S3691"/>
    </row>
    <row r="3692" spans="1:19" ht="15" x14ac:dyDescent="0.2">
      <c r="A3692"/>
      <c r="B3692"/>
      <c r="C3692"/>
      <c r="D3692"/>
      <c r="E3692"/>
      <c r="F3692"/>
      <c r="G3692"/>
      <c r="H3692"/>
      <c r="I3692"/>
      <c r="J3692"/>
      <c r="K3692"/>
      <c r="L3692"/>
      <c r="M3692"/>
      <c r="N3692"/>
      <c r="O3692"/>
      <c r="P3692"/>
      <c r="Q3692"/>
      <c r="R3692"/>
      <c r="S3692"/>
    </row>
    <row r="3693" spans="1:19" ht="15" x14ac:dyDescent="0.2">
      <c r="A3693"/>
      <c r="B3693"/>
      <c r="C3693"/>
      <c r="D3693"/>
      <c r="E3693"/>
      <c r="F3693"/>
      <c r="G3693"/>
      <c r="H3693"/>
      <c r="I3693"/>
      <c r="J3693"/>
      <c r="K3693"/>
      <c r="L3693"/>
      <c r="M3693"/>
      <c r="N3693"/>
      <c r="O3693"/>
      <c r="P3693"/>
      <c r="Q3693"/>
      <c r="R3693"/>
      <c r="S3693"/>
    </row>
    <row r="3694" spans="1:19" ht="15" x14ac:dyDescent="0.2">
      <c r="A3694"/>
      <c r="B3694"/>
      <c r="C3694"/>
      <c r="D3694"/>
      <c r="E3694"/>
      <c r="F3694"/>
      <c r="G3694"/>
      <c r="H3694"/>
      <c r="I3694"/>
      <c r="J3694"/>
      <c r="K3694"/>
      <c r="L3694"/>
      <c r="M3694"/>
      <c r="N3694"/>
      <c r="O3694"/>
      <c r="P3694"/>
      <c r="Q3694"/>
      <c r="R3694"/>
      <c r="S3694"/>
    </row>
    <row r="3695" spans="1:19" ht="15" x14ac:dyDescent="0.2">
      <c r="A3695"/>
      <c r="B3695"/>
      <c r="C3695"/>
      <c r="D3695"/>
      <c r="E3695"/>
      <c r="F3695"/>
      <c r="G3695"/>
      <c r="H3695"/>
      <c r="I3695"/>
      <c r="J3695"/>
      <c r="K3695"/>
      <c r="L3695"/>
      <c r="M3695"/>
      <c r="N3695"/>
      <c r="O3695"/>
      <c r="P3695"/>
      <c r="Q3695"/>
      <c r="R3695"/>
      <c r="S3695"/>
    </row>
    <row r="3696" spans="1:19" ht="15" x14ac:dyDescent="0.2">
      <c r="A3696"/>
      <c r="B3696"/>
      <c r="C3696"/>
      <c r="D3696"/>
      <c r="E3696"/>
      <c r="F3696"/>
      <c r="G3696"/>
      <c r="H3696"/>
      <c r="I3696"/>
      <c r="J3696"/>
      <c r="K3696"/>
      <c r="L3696"/>
      <c r="M3696"/>
      <c r="N3696"/>
      <c r="O3696"/>
      <c r="P3696"/>
      <c r="Q3696"/>
      <c r="R3696"/>
      <c r="S3696"/>
    </row>
    <row r="3697" spans="1:19" ht="15" x14ac:dyDescent="0.2">
      <c r="A3697"/>
      <c r="B3697"/>
      <c r="C3697"/>
      <c r="D3697"/>
      <c r="E3697"/>
      <c r="F3697"/>
      <c r="G3697"/>
      <c r="H3697"/>
      <c r="I3697"/>
      <c r="J3697"/>
      <c r="K3697"/>
      <c r="L3697"/>
      <c r="M3697"/>
      <c r="N3697"/>
      <c r="O3697"/>
      <c r="P3697"/>
      <c r="Q3697"/>
      <c r="R3697"/>
      <c r="S3697"/>
    </row>
    <row r="3698" spans="1:19" ht="15" x14ac:dyDescent="0.2">
      <c r="A3698"/>
      <c r="B3698"/>
      <c r="C3698"/>
      <c r="D3698"/>
      <c r="E3698"/>
      <c r="F3698"/>
      <c r="G3698"/>
      <c r="H3698"/>
      <c r="I3698"/>
      <c r="J3698"/>
      <c r="K3698"/>
      <c r="L3698"/>
      <c r="M3698"/>
      <c r="N3698"/>
      <c r="O3698"/>
      <c r="P3698"/>
      <c r="Q3698"/>
      <c r="R3698"/>
      <c r="S3698"/>
    </row>
    <row r="3699" spans="1:19" ht="15" x14ac:dyDescent="0.2">
      <c r="A3699"/>
      <c r="B3699"/>
      <c r="C3699"/>
      <c r="D3699"/>
      <c r="E3699"/>
      <c r="F3699"/>
      <c r="G3699"/>
      <c r="H3699"/>
      <c r="I3699"/>
      <c r="J3699"/>
      <c r="K3699"/>
      <c r="L3699"/>
      <c r="M3699"/>
      <c r="N3699"/>
      <c r="O3699"/>
      <c r="P3699"/>
      <c r="Q3699"/>
      <c r="R3699"/>
      <c r="S3699"/>
    </row>
    <row r="3700" spans="1:19" ht="15" x14ac:dyDescent="0.2">
      <c r="A3700"/>
      <c r="B3700"/>
      <c r="C3700"/>
      <c r="D3700"/>
      <c r="E3700"/>
      <c r="F3700"/>
      <c r="G3700"/>
      <c r="H3700"/>
      <c r="I3700"/>
      <c r="J3700"/>
      <c r="K3700"/>
      <c r="L3700"/>
      <c r="M3700"/>
      <c r="N3700"/>
      <c r="O3700"/>
      <c r="P3700"/>
      <c r="Q3700"/>
      <c r="R3700"/>
      <c r="S3700"/>
    </row>
    <row r="3701" spans="1:19" ht="15" x14ac:dyDescent="0.2">
      <c r="A3701"/>
      <c r="B3701"/>
      <c r="C3701"/>
      <c r="D3701"/>
      <c r="E3701"/>
      <c r="F3701"/>
      <c r="G3701"/>
      <c r="H3701"/>
      <c r="I3701"/>
      <c r="J3701"/>
      <c r="K3701"/>
      <c r="L3701"/>
      <c r="M3701"/>
      <c r="N3701"/>
      <c r="O3701"/>
      <c r="P3701"/>
      <c r="Q3701"/>
      <c r="R3701"/>
      <c r="S3701"/>
    </row>
    <row r="3702" spans="1:19" ht="15" x14ac:dyDescent="0.2">
      <c r="A3702"/>
      <c r="B3702"/>
      <c r="C3702"/>
      <c r="D3702"/>
      <c r="E3702"/>
      <c r="F3702"/>
      <c r="G3702"/>
      <c r="H3702"/>
      <c r="I3702"/>
      <c r="J3702"/>
      <c r="K3702"/>
      <c r="L3702"/>
      <c r="M3702"/>
      <c r="N3702"/>
      <c r="O3702"/>
      <c r="P3702"/>
      <c r="Q3702"/>
      <c r="R3702"/>
      <c r="S3702"/>
    </row>
    <row r="3703" spans="1:19" ht="15" x14ac:dyDescent="0.2">
      <c r="A3703"/>
      <c r="B3703"/>
      <c r="C3703"/>
      <c r="D3703"/>
      <c r="E3703"/>
      <c r="F3703"/>
      <c r="G3703"/>
      <c r="H3703"/>
      <c r="I3703"/>
      <c r="J3703"/>
      <c r="K3703"/>
      <c r="L3703"/>
      <c r="M3703"/>
      <c r="N3703"/>
      <c r="O3703"/>
      <c r="P3703"/>
      <c r="Q3703"/>
      <c r="R3703"/>
      <c r="S3703"/>
    </row>
    <row r="3704" spans="1:19" ht="15" x14ac:dyDescent="0.2">
      <c r="A3704"/>
      <c r="B3704"/>
      <c r="C3704"/>
      <c r="D3704"/>
      <c r="E3704"/>
      <c r="F3704"/>
      <c r="G3704"/>
      <c r="H3704"/>
      <c r="I3704"/>
      <c r="J3704"/>
      <c r="K3704"/>
      <c r="L3704"/>
      <c r="M3704"/>
      <c r="N3704"/>
      <c r="O3704"/>
      <c r="P3704"/>
      <c r="Q3704"/>
      <c r="R3704"/>
      <c r="S3704"/>
    </row>
    <row r="3705" spans="1:19" ht="15" x14ac:dyDescent="0.2">
      <c r="A3705"/>
      <c r="B3705"/>
      <c r="C3705"/>
      <c r="D3705"/>
      <c r="E3705"/>
      <c r="F3705"/>
      <c r="G3705"/>
      <c r="H3705"/>
      <c r="I3705"/>
      <c r="J3705"/>
      <c r="K3705"/>
      <c r="L3705"/>
      <c r="M3705"/>
      <c r="N3705"/>
      <c r="O3705"/>
      <c r="P3705"/>
      <c r="Q3705"/>
      <c r="R3705"/>
      <c r="S3705"/>
    </row>
    <row r="3706" spans="1:19" ht="15" x14ac:dyDescent="0.2">
      <c r="A3706"/>
      <c r="B3706"/>
      <c r="C3706"/>
      <c r="D3706"/>
      <c r="E3706"/>
      <c r="F3706"/>
      <c r="G3706"/>
      <c r="H3706"/>
      <c r="I3706"/>
      <c r="J3706"/>
      <c r="K3706"/>
      <c r="L3706"/>
      <c r="M3706"/>
      <c r="N3706"/>
      <c r="O3706"/>
      <c r="P3706"/>
      <c r="Q3706"/>
      <c r="R3706"/>
      <c r="S3706"/>
    </row>
    <row r="3707" spans="1:19" ht="15" x14ac:dyDescent="0.2">
      <c r="A3707"/>
      <c r="B3707"/>
      <c r="C3707"/>
      <c r="D3707"/>
      <c r="E3707"/>
      <c r="F3707"/>
      <c r="G3707"/>
      <c r="H3707"/>
      <c r="I3707"/>
      <c r="J3707"/>
      <c r="K3707"/>
      <c r="L3707"/>
      <c r="M3707"/>
      <c r="N3707"/>
      <c r="O3707"/>
      <c r="P3707"/>
      <c r="Q3707"/>
      <c r="R3707"/>
      <c r="S3707"/>
    </row>
    <row r="3708" spans="1:19" ht="15" x14ac:dyDescent="0.2">
      <c r="A3708"/>
      <c r="B3708"/>
      <c r="C3708"/>
      <c r="D3708"/>
      <c r="E3708"/>
      <c r="F3708"/>
      <c r="G3708"/>
      <c r="H3708"/>
      <c r="I3708"/>
      <c r="J3708"/>
      <c r="K3708"/>
      <c r="L3708"/>
      <c r="M3708"/>
      <c r="N3708"/>
      <c r="O3708"/>
      <c r="P3708"/>
      <c r="Q3708"/>
      <c r="R3708"/>
      <c r="S3708"/>
    </row>
    <row r="3709" spans="1:19" ht="15" x14ac:dyDescent="0.2">
      <c r="A3709"/>
      <c r="B3709"/>
      <c r="C3709"/>
      <c r="D3709"/>
      <c r="E3709"/>
      <c r="F3709"/>
      <c r="G3709"/>
      <c r="H3709"/>
      <c r="I3709"/>
      <c r="J3709"/>
      <c r="K3709"/>
      <c r="L3709"/>
      <c r="M3709"/>
      <c r="N3709"/>
      <c r="O3709"/>
      <c r="P3709"/>
      <c r="Q3709"/>
      <c r="R3709"/>
      <c r="S3709"/>
    </row>
    <row r="3710" spans="1:19" ht="15" x14ac:dyDescent="0.2">
      <c r="A3710"/>
      <c r="B3710"/>
      <c r="C3710"/>
      <c r="D3710"/>
      <c r="E3710"/>
      <c r="F3710"/>
      <c r="G3710"/>
      <c r="H3710"/>
      <c r="I3710"/>
      <c r="J3710"/>
      <c r="K3710"/>
      <c r="L3710"/>
      <c r="M3710"/>
      <c r="N3710"/>
      <c r="O3710"/>
      <c r="P3710"/>
      <c r="Q3710"/>
      <c r="R3710"/>
      <c r="S3710"/>
    </row>
    <row r="3711" spans="1:19" ht="15" x14ac:dyDescent="0.2">
      <c r="A3711"/>
      <c r="B3711"/>
      <c r="C3711"/>
      <c r="D3711"/>
      <c r="E3711"/>
      <c r="F3711"/>
      <c r="G3711"/>
      <c r="H3711"/>
      <c r="I3711"/>
      <c r="J3711"/>
      <c r="K3711"/>
      <c r="L3711"/>
      <c r="M3711"/>
      <c r="N3711"/>
      <c r="O3711"/>
      <c r="P3711"/>
      <c r="Q3711"/>
      <c r="R3711"/>
      <c r="S3711"/>
    </row>
    <row r="3712" spans="1:19" ht="15" x14ac:dyDescent="0.2">
      <c r="A3712"/>
      <c r="B3712"/>
      <c r="C3712"/>
      <c r="D3712"/>
      <c r="E3712"/>
      <c r="F3712"/>
      <c r="G3712"/>
      <c r="H3712"/>
      <c r="I3712"/>
      <c r="J3712"/>
      <c r="K3712"/>
      <c r="L3712"/>
      <c r="M3712"/>
      <c r="N3712"/>
      <c r="O3712"/>
      <c r="P3712"/>
      <c r="Q3712"/>
      <c r="R3712"/>
      <c r="S3712"/>
    </row>
    <row r="3713" spans="1:19" ht="15" x14ac:dyDescent="0.2">
      <c r="A3713"/>
      <c r="B3713"/>
      <c r="C3713"/>
      <c r="D3713"/>
      <c r="E3713"/>
      <c r="F3713"/>
      <c r="G3713"/>
      <c r="H3713"/>
      <c r="I3713"/>
      <c r="J3713"/>
      <c r="K3713"/>
      <c r="L3713"/>
      <c r="M3713"/>
      <c r="N3713"/>
      <c r="O3713"/>
      <c r="P3713"/>
      <c r="Q3713"/>
      <c r="R3713"/>
      <c r="S3713"/>
    </row>
    <row r="3714" spans="1:19" ht="15" x14ac:dyDescent="0.2">
      <c r="A3714"/>
      <c r="B3714"/>
      <c r="C3714"/>
      <c r="D3714"/>
      <c r="E3714"/>
      <c r="F3714"/>
      <c r="G3714"/>
      <c r="H3714"/>
      <c r="I3714"/>
      <c r="J3714"/>
      <c r="K3714"/>
      <c r="L3714"/>
      <c r="M3714"/>
      <c r="N3714"/>
      <c r="O3714"/>
      <c r="P3714"/>
      <c r="Q3714"/>
      <c r="R3714"/>
      <c r="S3714"/>
    </row>
    <row r="3715" spans="1:19" ht="15" x14ac:dyDescent="0.2">
      <c r="A3715"/>
      <c r="B3715"/>
      <c r="C3715"/>
      <c r="D3715"/>
      <c r="E3715"/>
      <c r="F3715"/>
      <c r="G3715"/>
      <c r="H3715"/>
      <c r="I3715"/>
      <c r="J3715"/>
      <c r="K3715"/>
      <c r="L3715"/>
      <c r="M3715"/>
      <c r="N3715"/>
      <c r="O3715"/>
      <c r="P3715"/>
      <c r="Q3715"/>
      <c r="R3715"/>
      <c r="S3715"/>
    </row>
    <row r="3716" spans="1:19" ht="15" x14ac:dyDescent="0.2">
      <c r="A3716"/>
      <c r="B3716"/>
      <c r="C3716"/>
      <c r="D3716"/>
      <c r="E3716"/>
      <c r="F3716"/>
      <c r="G3716"/>
      <c r="H3716"/>
      <c r="I3716"/>
      <c r="J3716"/>
      <c r="K3716"/>
      <c r="L3716"/>
      <c r="M3716"/>
      <c r="N3716"/>
      <c r="O3716"/>
      <c r="P3716"/>
      <c r="Q3716"/>
      <c r="R3716"/>
      <c r="S3716"/>
    </row>
    <row r="3717" spans="1:19" ht="15" x14ac:dyDescent="0.2">
      <c r="A3717"/>
      <c r="B3717"/>
      <c r="C3717"/>
      <c r="D3717"/>
      <c r="E3717"/>
      <c r="F3717"/>
      <c r="G3717"/>
      <c r="H3717"/>
      <c r="I3717"/>
      <c r="J3717"/>
      <c r="K3717"/>
      <c r="L3717"/>
      <c r="M3717"/>
      <c r="N3717"/>
      <c r="O3717"/>
      <c r="P3717"/>
      <c r="Q3717"/>
      <c r="R3717"/>
      <c r="S3717"/>
    </row>
    <row r="3718" spans="1:19" ht="15" x14ac:dyDescent="0.2">
      <c r="A3718"/>
      <c r="B3718"/>
      <c r="C3718"/>
      <c r="D3718"/>
      <c r="E3718"/>
      <c r="F3718"/>
      <c r="G3718"/>
      <c r="H3718"/>
      <c r="I3718"/>
      <c r="J3718"/>
      <c r="K3718"/>
      <c r="L3718"/>
      <c r="M3718"/>
      <c r="N3718"/>
      <c r="O3718"/>
      <c r="P3718"/>
      <c r="Q3718"/>
      <c r="R3718"/>
      <c r="S3718"/>
    </row>
    <row r="3719" spans="1:19" ht="15" x14ac:dyDescent="0.2">
      <c r="A3719"/>
      <c r="B3719"/>
      <c r="C3719"/>
      <c r="D3719"/>
      <c r="E3719"/>
      <c r="F3719"/>
      <c r="G3719"/>
      <c r="H3719"/>
      <c r="I3719"/>
      <c r="J3719"/>
      <c r="K3719"/>
      <c r="L3719"/>
      <c r="M3719"/>
      <c r="N3719"/>
      <c r="O3719"/>
      <c r="P3719"/>
      <c r="Q3719"/>
      <c r="R3719"/>
      <c r="S3719"/>
    </row>
    <row r="3720" spans="1:19" ht="15" x14ac:dyDescent="0.2">
      <c r="A3720"/>
      <c r="B3720"/>
      <c r="C3720"/>
      <c r="D3720"/>
      <c r="E3720"/>
      <c r="F3720"/>
      <c r="G3720"/>
      <c r="H3720"/>
      <c r="I3720"/>
      <c r="J3720"/>
      <c r="K3720"/>
      <c r="L3720"/>
      <c r="M3720"/>
      <c r="N3720"/>
      <c r="O3720"/>
      <c r="P3720"/>
      <c r="Q3720"/>
      <c r="R3720"/>
      <c r="S3720"/>
    </row>
    <row r="3721" spans="1:19" ht="15" x14ac:dyDescent="0.2">
      <c r="A3721"/>
      <c r="B3721"/>
      <c r="C3721"/>
      <c r="D3721"/>
      <c r="E3721"/>
      <c r="F3721"/>
      <c r="G3721"/>
      <c r="H3721"/>
      <c r="I3721"/>
      <c r="J3721"/>
      <c r="K3721"/>
      <c r="L3721"/>
      <c r="M3721"/>
      <c r="N3721"/>
      <c r="O3721"/>
      <c r="P3721"/>
      <c r="Q3721"/>
      <c r="R3721"/>
      <c r="S3721"/>
    </row>
    <row r="3722" spans="1:19" ht="15" x14ac:dyDescent="0.2">
      <c r="A3722"/>
      <c r="B3722"/>
      <c r="C3722"/>
      <c r="D3722"/>
      <c r="E3722"/>
      <c r="F3722"/>
      <c r="G3722"/>
      <c r="H3722"/>
      <c r="I3722"/>
      <c r="J3722"/>
      <c r="K3722"/>
      <c r="L3722"/>
      <c r="M3722"/>
      <c r="N3722"/>
      <c r="O3722"/>
      <c r="P3722"/>
      <c r="Q3722"/>
      <c r="R3722"/>
      <c r="S3722"/>
    </row>
    <row r="3723" spans="1:19" ht="15" x14ac:dyDescent="0.2">
      <c r="A3723"/>
      <c r="B3723"/>
      <c r="C3723"/>
      <c r="D3723"/>
      <c r="E3723"/>
      <c r="F3723"/>
      <c r="G3723"/>
      <c r="H3723"/>
      <c r="I3723"/>
      <c r="J3723"/>
      <c r="K3723"/>
      <c r="L3723"/>
      <c r="M3723"/>
      <c r="N3723"/>
      <c r="O3723"/>
      <c r="P3723"/>
      <c r="Q3723"/>
      <c r="R3723"/>
      <c r="S3723"/>
    </row>
    <row r="3724" spans="1:19" ht="15" x14ac:dyDescent="0.2">
      <c r="A3724"/>
      <c r="B3724"/>
      <c r="C3724"/>
      <c r="D3724"/>
      <c r="E3724"/>
      <c r="F3724"/>
      <c r="G3724"/>
      <c r="H3724"/>
      <c r="I3724"/>
      <c r="J3724"/>
      <c r="K3724"/>
      <c r="L3724"/>
      <c r="M3724"/>
      <c r="N3724"/>
      <c r="O3724"/>
      <c r="P3724"/>
      <c r="Q3724"/>
      <c r="R3724"/>
      <c r="S3724"/>
    </row>
    <row r="3725" spans="1:19" ht="15" x14ac:dyDescent="0.2">
      <c r="A3725"/>
      <c r="B3725"/>
      <c r="C3725"/>
      <c r="D3725"/>
      <c r="E3725"/>
      <c r="F3725"/>
      <c r="G3725"/>
      <c r="H3725"/>
      <c r="I3725"/>
      <c r="J3725"/>
      <c r="K3725"/>
      <c r="L3725"/>
      <c r="M3725"/>
      <c r="N3725"/>
      <c r="O3725"/>
      <c r="P3725"/>
      <c r="Q3725"/>
      <c r="R3725"/>
      <c r="S3725"/>
    </row>
    <row r="3726" spans="1:19" ht="15" x14ac:dyDescent="0.2">
      <c r="A3726"/>
      <c r="B3726"/>
      <c r="C3726"/>
      <c r="D3726"/>
      <c r="E3726"/>
      <c r="F3726"/>
      <c r="G3726"/>
      <c r="H3726"/>
      <c r="I3726"/>
      <c r="J3726"/>
      <c r="K3726"/>
      <c r="L3726"/>
      <c r="M3726"/>
      <c r="N3726"/>
      <c r="O3726"/>
      <c r="P3726"/>
      <c r="Q3726"/>
      <c r="R3726"/>
      <c r="S3726"/>
    </row>
    <row r="3727" spans="1:19" ht="15" x14ac:dyDescent="0.2">
      <c r="A3727"/>
      <c r="B3727"/>
      <c r="C3727"/>
      <c r="D3727"/>
      <c r="E3727"/>
      <c r="F3727"/>
      <c r="G3727"/>
      <c r="H3727"/>
      <c r="I3727"/>
      <c r="J3727"/>
      <c r="K3727"/>
      <c r="L3727"/>
      <c r="M3727"/>
      <c r="N3727"/>
      <c r="O3727"/>
      <c r="P3727"/>
      <c r="Q3727"/>
      <c r="R3727"/>
      <c r="S3727"/>
    </row>
    <row r="3728" spans="1:19" ht="15" x14ac:dyDescent="0.2">
      <c r="A3728"/>
      <c r="B3728"/>
      <c r="C3728"/>
      <c r="D3728"/>
      <c r="E3728"/>
      <c r="F3728"/>
      <c r="G3728"/>
      <c r="H3728"/>
      <c r="I3728"/>
      <c r="J3728"/>
      <c r="K3728"/>
      <c r="L3728"/>
      <c r="M3728"/>
      <c r="N3728"/>
      <c r="O3728"/>
      <c r="P3728"/>
      <c r="Q3728"/>
      <c r="R3728"/>
      <c r="S3728"/>
    </row>
    <row r="3729" spans="1:19" ht="15" x14ac:dyDescent="0.2">
      <c r="A3729"/>
      <c r="B3729"/>
      <c r="C3729"/>
      <c r="D3729"/>
      <c r="E3729"/>
      <c r="F3729"/>
      <c r="G3729"/>
      <c r="H3729"/>
      <c r="I3729"/>
      <c r="J3729"/>
      <c r="K3729"/>
      <c r="L3729"/>
      <c r="M3729"/>
      <c r="N3729"/>
      <c r="O3729"/>
      <c r="P3729"/>
      <c r="Q3729"/>
      <c r="R3729"/>
      <c r="S3729"/>
    </row>
    <row r="3730" spans="1:19" ht="15" x14ac:dyDescent="0.2">
      <c r="A3730"/>
      <c r="B3730"/>
      <c r="C3730"/>
      <c r="D3730"/>
      <c r="E3730"/>
      <c r="F3730"/>
      <c r="G3730"/>
      <c r="H3730"/>
      <c r="I3730"/>
      <c r="J3730"/>
      <c r="K3730"/>
      <c r="L3730"/>
      <c r="M3730"/>
      <c r="N3730"/>
      <c r="O3730"/>
      <c r="P3730"/>
      <c r="Q3730"/>
      <c r="R3730"/>
      <c r="S3730"/>
    </row>
    <row r="3731" spans="1:19" ht="15" x14ac:dyDescent="0.2">
      <c r="A3731"/>
      <c r="B3731"/>
      <c r="C3731"/>
      <c r="D3731"/>
      <c r="E3731"/>
      <c r="F3731"/>
      <c r="G3731"/>
      <c r="H3731"/>
      <c r="I3731"/>
      <c r="J3731"/>
      <c r="K3731"/>
      <c r="L3731"/>
      <c r="M3731"/>
      <c r="N3731"/>
      <c r="O3731"/>
      <c r="P3731"/>
      <c r="Q3731"/>
      <c r="R3731"/>
      <c r="S3731"/>
    </row>
    <row r="3732" spans="1:19" ht="15" x14ac:dyDescent="0.2">
      <c r="A3732"/>
      <c r="B3732"/>
      <c r="C3732"/>
      <c r="D3732"/>
      <c r="E3732"/>
      <c r="F3732"/>
      <c r="G3732"/>
      <c r="H3732"/>
      <c r="I3732"/>
      <c r="J3732"/>
      <c r="K3732"/>
      <c r="L3732"/>
      <c r="M3732"/>
      <c r="N3732"/>
      <c r="O3732"/>
      <c r="P3732"/>
      <c r="Q3732"/>
      <c r="R3732"/>
      <c r="S3732"/>
    </row>
    <row r="3733" spans="1:19" ht="15" x14ac:dyDescent="0.2">
      <c r="A3733"/>
      <c r="B3733"/>
      <c r="C3733"/>
      <c r="D3733"/>
      <c r="E3733"/>
      <c r="F3733"/>
      <c r="G3733"/>
      <c r="H3733"/>
      <c r="I3733"/>
      <c r="J3733"/>
      <c r="K3733"/>
      <c r="L3733"/>
      <c r="M3733"/>
      <c r="N3733"/>
      <c r="O3733"/>
      <c r="P3733"/>
      <c r="Q3733"/>
      <c r="R3733"/>
      <c r="S3733"/>
    </row>
    <row r="3734" spans="1:19" ht="15" x14ac:dyDescent="0.2">
      <c r="A3734"/>
      <c r="B3734"/>
      <c r="C3734"/>
      <c r="D3734"/>
      <c r="E3734"/>
      <c r="F3734"/>
      <c r="G3734"/>
      <c r="H3734"/>
      <c r="I3734"/>
      <c r="J3734"/>
      <c r="K3734"/>
      <c r="L3734"/>
      <c r="M3734"/>
      <c r="N3734"/>
      <c r="O3734"/>
      <c r="P3734"/>
      <c r="Q3734"/>
      <c r="R3734"/>
      <c r="S3734"/>
    </row>
    <row r="3735" spans="1:19" ht="15" x14ac:dyDescent="0.2">
      <c r="A3735"/>
      <c r="B3735"/>
      <c r="C3735"/>
      <c r="D3735"/>
      <c r="E3735"/>
      <c r="F3735"/>
      <c r="G3735"/>
      <c r="H3735"/>
      <c r="I3735"/>
      <c r="J3735"/>
      <c r="K3735"/>
      <c r="L3735"/>
      <c r="M3735"/>
      <c r="N3735"/>
      <c r="O3735"/>
      <c r="P3735"/>
      <c r="Q3735"/>
      <c r="R3735"/>
      <c r="S3735"/>
    </row>
    <row r="3736" spans="1:19" ht="15" x14ac:dyDescent="0.2">
      <c r="A3736"/>
      <c r="B3736"/>
      <c r="C3736"/>
      <c r="D3736"/>
      <c r="E3736"/>
      <c r="F3736"/>
      <c r="G3736"/>
      <c r="H3736"/>
      <c r="I3736"/>
      <c r="J3736"/>
      <c r="K3736"/>
      <c r="L3736"/>
      <c r="M3736"/>
      <c r="N3736"/>
      <c r="O3736"/>
      <c r="P3736"/>
      <c r="Q3736"/>
      <c r="R3736"/>
      <c r="S3736"/>
    </row>
    <row r="3737" spans="1:19" ht="15" x14ac:dyDescent="0.2">
      <c r="A3737"/>
      <c r="B3737"/>
      <c r="C3737"/>
      <c r="D3737"/>
      <c r="E3737"/>
      <c r="F3737"/>
      <c r="G3737"/>
      <c r="H3737"/>
      <c r="I3737"/>
      <c r="J3737"/>
      <c r="K3737"/>
      <c r="L3737"/>
      <c r="M3737"/>
      <c r="N3737"/>
      <c r="O3737"/>
      <c r="P3737"/>
      <c r="Q3737"/>
      <c r="R3737"/>
      <c r="S3737"/>
    </row>
    <row r="3738" spans="1:19" ht="15" x14ac:dyDescent="0.2">
      <c r="A3738"/>
      <c r="B3738"/>
      <c r="C3738"/>
      <c r="D3738"/>
      <c r="E3738"/>
      <c r="F3738"/>
      <c r="G3738"/>
      <c r="H3738"/>
      <c r="I3738"/>
      <c r="J3738"/>
      <c r="K3738"/>
      <c r="L3738"/>
      <c r="M3738"/>
      <c r="N3738"/>
      <c r="O3738"/>
      <c r="P3738"/>
      <c r="Q3738"/>
      <c r="R3738"/>
      <c r="S3738"/>
    </row>
    <row r="3739" spans="1:19" ht="15" x14ac:dyDescent="0.2">
      <c r="A3739"/>
      <c r="B3739"/>
      <c r="C3739"/>
      <c r="D3739"/>
      <c r="E3739"/>
      <c r="F3739"/>
      <c r="G3739"/>
      <c r="H3739"/>
      <c r="I3739"/>
      <c r="J3739"/>
      <c r="K3739"/>
      <c r="L3739"/>
      <c r="M3739"/>
      <c r="N3739"/>
      <c r="O3739"/>
      <c r="P3739"/>
      <c r="Q3739"/>
      <c r="R3739"/>
      <c r="S3739"/>
    </row>
    <row r="3740" spans="1:19" ht="15" x14ac:dyDescent="0.2">
      <c r="A3740"/>
      <c r="B3740"/>
      <c r="C3740"/>
      <c r="D3740"/>
      <c r="E3740"/>
      <c r="F3740"/>
      <c r="G3740"/>
      <c r="H3740"/>
      <c r="I3740"/>
      <c r="J3740"/>
      <c r="K3740"/>
      <c r="L3740"/>
      <c r="M3740"/>
      <c r="N3740"/>
      <c r="O3740"/>
      <c r="P3740"/>
      <c r="Q3740"/>
      <c r="R3740"/>
      <c r="S3740"/>
    </row>
    <row r="3741" spans="1:19" ht="15" x14ac:dyDescent="0.2">
      <c r="A3741"/>
      <c r="B3741"/>
      <c r="C3741"/>
      <c r="D3741"/>
      <c r="E3741"/>
      <c r="F3741"/>
      <c r="G3741"/>
      <c r="H3741"/>
      <c r="I3741"/>
      <c r="J3741"/>
      <c r="K3741"/>
      <c r="L3741"/>
      <c r="M3741"/>
      <c r="N3741"/>
      <c r="O3741"/>
      <c r="P3741"/>
      <c r="Q3741"/>
      <c r="R3741"/>
      <c r="S3741"/>
    </row>
    <row r="3742" spans="1:19" ht="15" x14ac:dyDescent="0.2">
      <c r="A3742"/>
      <c r="B3742"/>
      <c r="C3742"/>
      <c r="D3742"/>
      <c r="E3742"/>
      <c r="F3742"/>
      <c r="G3742"/>
      <c r="H3742"/>
      <c r="I3742"/>
      <c r="J3742"/>
      <c r="K3742"/>
      <c r="L3742"/>
      <c r="M3742"/>
      <c r="N3742"/>
      <c r="O3742"/>
      <c r="P3742"/>
      <c r="Q3742"/>
      <c r="R3742"/>
      <c r="S3742"/>
    </row>
    <row r="3743" spans="1:19" ht="15" x14ac:dyDescent="0.2">
      <c r="A3743"/>
      <c r="B3743"/>
      <c r="C3743"/>
      <c r="D3743"/>
      <c r="E3743"/>
      <c r="F3743"/>
      <c r="G3743"/>
      <c r="H3743"/>
      <c r="I3743"/>
      <c r="J3743"/>
      <c r="K3743"/>
      <c r="L3743"/>
      <c r="M3743"/>
      <c r="N3743"/>
      <c r="O3743"/>
      <c r="P3743"/>
      <c r="Q3743"/>
      <c r="R3743"/>
      <c r="S3743"/>
    </row>
    <row r="3744" spans="1:19" ht="15" x14ac:dyDescent="0.2">
      <c r="A3744"/>
      <c r="B3744"/>
      <c r="C3744"/>
      <c r="D3744"/>
      <c r="E3744"/>
      <c r="F3744"/>
      <c r="G3744"/>
      <c r="H3744"/>
      <c r="I3744"/>
      <c r="J3744"/>
      <c r="K3744"/>
      <c r="L3744"/>
      <c r="M3744"/>
      <c r="N3744"/>
      <c r="O3744"/>
      <c r="P3744"/>
      <c r="Q3744"/>
      <c r="R3744"/>
      <c r="S3744"/>
    </row>
    <row r="3745" spans="1:19" ht="15" x14ac:dyDescent="0.2">
      <c r="A3745"/>
      <c r="B3745"/>
      <c r="C3745"/>
      <c r="D3745"/>
      <c r="E3745"/>
      <c r="F3745"/>
      <c r="G3745"/>
      <c r="H3745"/>
      <c r="I3745"/>
      <c r="J3745"/>
      <c r="K3745"/>
      <c r="L3745"/>
      <c r="M3745"/>
      <c r="N3745"/>
      <c r="O3745"/>
      <c r="P3745"/>
      <c r="Q3745"/>
      <c r="R3745"/>
      <c r="S3745"/>
    </row>
    <row r="3746" spans="1:19" ht="15" x14ac:dyDescent="0.2">
      <c r="A3746"/>
      <c r="B3746"/>
      <c r="C3746"/>
      <c r="D3746"/>
      <c r="E3746"/>
      <c r="F3746"/>
      <c r="G3746"/>
      <c r="H3746"/>
      <c r="I3746"/>
      <c r="J3746"/>
      <c r="K3746"/>
      <c r="L3746"/>
      <c r="M3746"/>
      <c r="N3746"/>
      <c r="O3746"/>
      <c r="P3746"/>
      <c r="Q3746"/>
      <c r="R3746"/>
      <c r="S3746"/>
    </row>
    <row r="3747" spans="1:19" ht="15" x14ac:dyDescent="0.2">
      <c r="A3747"/>
      <c r="B3747"/>
      <c r="C3747"/>
      <c r="D3747"/>
      <c r="E3747"/>
      <c r="F3747"/>
      <c r="G3747"/>
      <c r="H3747"/>
      <c r="I3747"/>
      <c r="J3747"/>
      <c r="K3747"/>
      <c r="L3747"/>
      <c r="M3747"/>
      <c r="N3747"/>
      <c r="O3747"/>
      <c r="P3747"/>
      <c r="Q3747"/>
      <c r="R3747"/>
      <c r="S3747"/>
    </row>
    <row r="3748" spans="1:19" ht="15" x14ac:dyDescent="0.2">
      <c r="A3748"/>
      <c r="B3748"/>
      <c r="C3748"/>
      <c r="D3748"/>
      <c r="E3748"/>
      <c r="F3748"/>
      <c r="G3748"/>
      <c r="H3748"/>
      <c r="I3748"/>
      <c r="J3748"/>
      <c r="K3748"/>
      <c r="L3748"/>
      <c r="M3748"/>
      <c r="N3748"/>
      <c r="O3748"/>
      <c r="P3748"/>
      <c r="Q3748"/>
      <c r="R3748"/>
      <c r="S3748"/>
    </row>
    <row r="3749" spans="1:19" ht="15" x14ac:dyDescent="0.2">
      <c r="A3749"/>
      <c r="B3749"/>
      <c r="C3749"/>
      <c r="D3749"/>
      <c r="E3749"/>
      <c r="F3749"/>
      <c r="G3749"/>
      <c r="H3749"/>
      <c r="I3749"/>
      <c r="J3749"/>
      <c r="K3749"/>
      <c r="L3749"/>
      <c r="M3749"/>
      <c r="N3749"/>
      <c r="O3749"/>
      <c r="P3749"/>
      <c r="Q3749"/>
      <c r="R3749"/>
      <c r="S3749"/>
    </row>
    <row r="3750" spans="1:19" ht="15" x14ac:dyDescent="0.2">
      <c r="A3750"/>
      <c r="B3750"/>
      <c r="C3750"/>
      <c r="D3750"/>
      <c r="E3750"/>
      <c r="F3750"/>
      <c r="G3750"/>
      <c r="H3750"/>
      <c r="I3750"/>
      <c r="J3750"/>
      <c r="K3750"/>
      <c r="L3750"/>
      <c r="M3750"/>
      <c r="N3750"/>
      <c r="O3750"/>
      <c r="P3750"/>
      <c r="Q3750"/>
      <c r="R3750"/>
      <c r="S3750"/>
    </row>
    <row r="3751" spans="1:19" ht="15" x14ac:dyDescent="0.2">
      <c r="A3751"/>
      <c r="B3751"/>
      <c r="C3751"/>
      <c r="D3751"/>
      <c r="E3751"/>
      <c r="F3751"/>
      <c r="G3751"/>
      <c r="H3751"/>
      <c r="I3751"/>
      <c r="J3751"/>
      <c r="K3751"/>
      <c r="L3751"/>
      <c r="M3751"/>
      <c r="N3751"/>
      <c r="O3751"/>
      <c r="P3751"/>
      <c r="Q3751"/>
      <c r="R3751"/>
      <c r="S3751"/>
    </row>
    <row r="3752" spans="1:19" ht="15" x14ac:dyDescent="0.2">
      <c r="A3752"/>
      <c r="B3752"/>
      <c r="C3752"/>
      <c r="D3752"/>
      <c r="E3752"/>
      <c r="F3752"/>
      <c r="G3752"/>
      <c r="H3752"/>
      <c r="I3752"/>
      <c r="J3752"/>
      <c r="K3752"/>
      <c r="L3752"/>
      <c r="M3752"/>
      <c r="N3752"/>
      <c r="O3752"/>
      <c r="P3752"/>
      <c r="Q3752"/>
      <c r="R3752"/>
      <c r="S3752"/>
    </row>
    <row r="3753" spans="1:19" ht="15" x14ac:dyDescent="0.2">
      <c r="A3753"/>
      <c r="B3753"/>
      <c r="C3753"/>
      <c r="D3753"/>
      <c r="E3753"/>
      <c r="F3753"/>
      <c r="G3753"/>
      <c r="H3753"/>
      <c r="I3753"/>
      <c r="J3753"/>
      <c r="K3753"/>
      <c r="L3753"/>
      <c r="M3753"/>
      <c r="N3753"/>
      <c r="O3753"/>
      <c r="P3753"/>
      <c r="Q3753"/>
      <c r="R3753"/>
      <c r="S3753"/>
    </row>
    <row r="3754" spans="1:19" ht="15" x14ac:dyDescent="0.2">
      <c r="A3754"/>
      <c r="B3754"/>
      <c r="C3754"/>
      <c r="D3754"/>
      <c r="E3754"/>
      <c r="F3754"/>
      <c r="G3754"/>
      <c r="H3754"/>
      <c r="I3754"/>
      <c r="J3754"/>
      <c r="K3754"/>
      <c r="L3754"/>
      <c r="M3754"/>
      <c r="N3754"/>
      <c r="O3754"/>
      <c r="P3754"/>
      <c r="Q3754"/>
      <c r="R3754"/>
      <c r="S3754"/>
    </row>
    <row r="3755" spans="1:19" ht="15" x14ac:dyDescent="0.2">
      <c r="A3755"/>
      <c r="B3755"/>
      <c r="C3755"/>
      <c r="D3755"/>
      <c r="E3755"/>
      <c r="F3755"/>
      <c r="G3755"/>
      <c r="H3755"/>
      <c r="I3755"/>
      <c r="J3755"/>
      <c r="K3755"/>
      <c r="L3755"/>
      <c r="M3755"/>
      <c r="N3755"/>
      <c r="O3755"/>
      <c r="P3755"/>
      <c r="Q3755"/>
      <c r="R3755"/>
      <c r="S3755"/>
    </row>
    <row r="3756" spans="1:19" ht="15" x14ac:dyDescent="0.2">
      <c r="A3756"/>
      <c r="B3756"/>
      <c r="C3756"/>
      <c r="D3756"/>
      <c r="E3756"/>
      <c r="F3756"/>
      <c r="G3756"/>
      <c r="H3756"/>
      <c r="I3756"/>
      <c r="J3756"/>
      <c r="K3756"/>
      <c r="L3756"/>
      <c r="M3756"/>
      <c r="N3756"/>
      <c r="O3756"/>
      <c r="P3756"/>
      <c r="Q3756"/>
      <c r="R3756"/>
      <c r="S3756"/>
    </row>
    <row r="3757" spans="1:19" ht="15" x14ac:dyDescent="0.2">
      <c r="A3757"/>
      <c r="B3757"/>
      <c r="C3757"/>
      <c r="D3757"/>
      <c r="E3757"/>
      <c r="F3757"/>
      <c r="G3757"/>
      <c r="H3757"/>
      <c r="I3757"/>
      <c r="J3757"/>
      <c r="K3757"/>
      <c r="L3757"/>
      <c r="M3757"/>
      <c r="N3757"/>
      <c r="O3757"/>
      <c r="P3757"/>
      <c r="Q3757"/>
      <c r="R3757"/>
      <c r="S3757"/>
    </row>
    <row r="3758" spans="1:19" ht="15" x14ac:dyDescent="0.2">
      <c r="A3758"/>
      <c r="B3758"/>
      <c r="C3758"/>
      <c r="D3758"/>
      <c r="E3758"/>
      <c r="F3758"/>
      <c r="G3758"/>
      <c r="H3758"/>
      <c r="I3758"/>
      <c r="J3758"/>
      <c r="K3758"/>
      <c r="L3758"/>
      <c r="M3758"/>
      <c r="N3758"/>
      <c r="O3758"/>
      <c r="P3758"/>
      <c r="Q3758"/>
      <c r="R3758"/>
      <c r="S3758"/>
    </row>
    <row r="3759" spans="1:19" ht="15" x14ac:dyDescent="0.2">
      <c r="A3759"/>
      <c r="B3759"/>
      <c r="C3759"/>
      <c r="D3759"/>
      <c r="E3759"/>
      <c r="F3759"/>
      <c r="G3759"/>
      <c r="H3759"/>
      <c r="I3759"/>
      <c r="J3759"/>
      <c r="K3759"/>
      <c r="L3759"/>
      <c r="M3759"/>
      <c r="N3759"/>
      <c r="O3759"/>
      <c r="P3759"/>
      <c r="Q3759"/>
      <c r="R3759"/>
      <c r="S3759"/>
    </row>
    <row r="3760" spans="1:19" ht="15" x14ac:dyDescent="0.2">
      <c r="A3760"/>
      <c r="B3760"/>
      <c r="C3760"/>
      <c r="D3760"/>
      <c r="E3760"/>
      <c r="F3760"/>
      <c r="G3760"/>
      <c r="H3760"/>
      <c r="I3760"/>
      <c r="J3760"/>
      <c r="K3760"/>
      <c r="L3760"/>
      <c r="M3760"/>
      <c r="N3760"/>
      <c r="O3760"/>
      <c r="P3760"/>
      <c r="Q3760"/>
      <c r="R3760"/>
      <c r="S3760"/>
    </row>
    <row r="3761" spans="1:19" ht="15" x14ac:dyDescent="0.2">
      <c r="A3761"/>
      <c r="B3761"/>
      <c r="C3761"/>
      <c r="D3761"/>
      <c r="E3761"/>
      <c r="F3761"/>
      <c r="G3761"/>
      <c r="H3761"/>
      <c r="I3761"/>
      <c r="J3761"/>
      <c r="K3761"/>
      <c r="L3761"/>
      <c r="M3761"/>
      <c r="N3761"/>
      <c r="O3761"/>
      <c r="P3761"/>
      <c r="Q3761"/>
      <c r="R3761"/>
      <c r="S3761"/>
    </row>
    <row r="3762" spans="1:19" ht="15" x14ac:dyDescent="0.2">
      <c r="A3762"/>
      <c r="B3762"/>
      <c r="C3762"/>
      <c r="D3762"/>
      <c r="E3762"/>
      <c r="F3762"/>
      <c r="G3762"/>
      <c r="H3762"/>
      <c r="I3762"/>
      <c r="J3762"/>
      <c r="K3762"/>
      <c r="L3762"/>
      <c r="M3762"/>
      <c r="N3762"/>
      <c r="O3762"/>
      <c r="P3762"/>
      <c r="Q3762"/>
      <c r="R3762"/>
      <c r="S3762"/>
    </row>
    <row r="3763" spans="1:19" ht="15" x14ac:dyDescent="0.2">
      <c r="A3763"/>
      <c r="B3763"/>
      <c r="C3763"/>
      <c r="D3763"/>
      <c r="E3763"/>
      <c r="F3763"/>
      <c r="G3763"/>
      <c r="H3763"/>
      <c r="I3763"/>
      <c r="J3763"/>
      <c r="K3763"/>
      <c r="L3763"/>
      <c r="M3763"/>
      <c r="N3763"/>
      <c r="O3763"/>
      <c r="P3763"/>
      <c r="Q3763"/>
      <c r="R3763"/>
      <c r="S3763"/>
    </row>
    <row r="3764" spans="1:19" ht="15" x14ac:dyDescent="0.2">
      <c r="A3764"/>
      <c r="B3764"/>
      <c r="C3764"/>
      <c r="D3764"/>
      <c r="E3764"/>
      <c r="F3764"/>
      <c r="G3764"/>
      <c r="H3764"/>
      <c r="I3764"/>
      <c r="J3764"/>
      <c r="K3764"/>
      <c r="L3764"/>
      <c r="M3764"/>
      <c r="N3764"/>
      <c r="O3764"/>
      <c r="P3764"/>
      <c r="Q3764"/>
      <c r="R3764"/>
      <c r="S3764"/>
    </row>
    <row r="3765" spans="1:19" ht="15" x14ac:dyDescent="0.2">
      <c r="A3765"/>
      <c r="B3765"/>
      <c r="C3765"/>
      <c r="D3765"/>
      <c r="E3765"/>
      <c r="F3765"/>
      <c r="G3765"/>
      <c r="H3765"/>
      <c r="I3765"/>
      <c r="J3765"/>
      <c r="K3765"/>
      <c r="L3765"/>
      <c r="M3765"/>
      <c r="N3765"/>
      <c r="O3765"/>
      <c r="P3765"/>
      <c r="Q3765"/>
      <c r="R3765"/>
      <c r="S3765"/>
    </row>
    <row r="3766" spans="1:19" ht="15" x14ac:dyDescent="0.2">
      <c r="A3766"/>
      <c r="B3766"/>
      <c r="C3766"/>
      <c r="D3766"/>
      <c r="E3766"/>
      <c r="F3766"/>
      <c r="G3766"/>
      <c r="H3766"/>
      <c r="I3766"/>
      <c r="J3766"/>
      <c r="K3766"/>
      <c r="L3766"/>
      <c r="M3766"/>
      <c r="N3766"/>
      <c r="O3766"/>
      <c r="P3766"/>
      <c r="Q3766"/>
      <c r="R3766"/>
      <c r="S3766"/>
    </row>
    <row r="3767" spans="1:19" ht="15" x14ac:dyDescent="0.2">
      <c r="A3767"/>
      <c r="B3767"/>
      <c r="C3767"/>
      <c r="D3767"/>
      <c r="E3767"/>
      <c r="F3767"/>
      <c r="G3767"/>
      <c r="H3767"/>
      <c r="I3767"/>
      <c r="J3767"/>
      <c r="K3767"/>
      <c r="L3767"/>
      <c r="M3767"/>
      <c r="N3767"/>
      <c r="O3767"/>
      <c r="P3767"/>
      <c r="Q3767"/>
      <c r="R3767"/>
      <c r="S3767"/>
    </row>
    <row r="3768" spans="1:19" ht="15" x14ac:dyDescent="0.2">
      <c r="A3768"/>
      <c r="B3768"/>
      <c r="C3768"/>
      <c r="D3768"/>
      <c r="E3768"/>
      <c r="F3768"/>
      <c r="G3768"/>
      <c r="H3768"/>
      <c r="I3768"/>
      <c r="J3768"/>
      <c r="K3768"/>
      <c r="L3768"/>
      <c r="M3768"/>
      <c r="N3768"/>
      <c r="O3768"/>
      <c r="P3768"/>
      <c r="Q3768"/>
      <c r="R3768"/>
      <c r="S3768"/>
    </row>
    <row r="3769" spans="1:19" ht="15" x14ac:dyDescent="0.2">
      <c r="A3769"/>
      <c r="B3769"/>
      <c r="C3769"/>
      <c r="D3769"/>
      <c r="E3769"/>
      <c r="F3769"/>
      <c r="G3769"/>
      <c r="H3769"/>
      <c r="I3769"/>
      <c r="J3769"/>
      <c r="K3769"/>
      <c r="L3769"/>
      <c r="M3769"/>
      <c r="N3769"/>
      <c r="O3769"/>
      <c r="P3769"/>
      <c r="Q3769"/>
      <c r="R3769"/>
      <c r="S3769"/>
    </row>
    <row r="3770" spans="1:19" ht="15" x14ac:dyDescent="0.2">
      <c r="A3770"/>
      <c r="B3770"/>
      <c r="C3770"/>
      <c r="D3770"/>
      <c r="E3770"/>
      <c r="F3770"/>
      <c r="G3770"/>
      <c r="H3770"/>
      <c r="I3770"/>
      <c r="J3770"/>
      <c r="K3770"/>
      <c r="L3770"/>
      <c r="M3770"/>
      <c r="N3770"/>
      <c r="O3770"/>
      <c r="P3770"/>
      <c r="Q3770"/>
      <c r="R3770"/>
      <c r="S3770"/>
    </row>
    <row r="3771" spans="1:19" ht="15" x14ac:dyDescent="0.2">
      <c r="A3771"/>
      <c r="B3771"/>
      <c r="C3771"/>
      <c r="D3771"/>
      <c r="E3771"/>
      <c r="F3771"/>
      <c r="G3771"/>
      <c r="H3771"/>
      <c r="I3771"/>
      <c r="J3771"/>
      <c r="K3771"/>
      <c r="L3771"/>
      <c r="M3771"/>
      <c r="N3771"/>
      <c r="O3771"/>
      <c r="P3771"/>
      <c r="Q3771"/>
      <c r="R3771"/>
      <c r="S3771"/>
    </row>
    <row r="3772" spans="1:19" ht="15" x14ac:dyDescent="0.2">
      <c r="A3772"/>
      <c r="B3772"/>
      <c r="C3772"/>
      <c r="D3772"/>
      <c r="E3772"/>
      <c r="F3772"/>
      <c r="G3772"/>
      <c r="H3772"/>
      <c r="I3772"/>
      <c r="J3772"/>
      <c r="K3772"/>
      <c r="L3772"/>
      <c r="M3772"/>
      <c r="N3772"/>
      <c r="O3772"/>
      <c r="P3772"/>
      <c r="Q3772"/>
      <c r="R3772"/>
      <c r="S3772"/>
    </row>
    <row r="3773" spans="1:19" ht="15" x14ac:dyDescent="0.2">
      <c r="A3773"/>
      <c r="B3773"/>
      <c r="C3773"/>
      <c r="D3773"/>
      <c r="E3773"/>
      <c r="F3773"/>
      <c r="G3773"/>
      <c r="H3773"/>
      <c r="I3773"/>
      <c r="J3773"/>
      <c r="K3773"/>
      <c r="L3773"/>
      <c r="M3773"/>
      <c r="N3773"/>
      <c r="O3773"/>
      <c r="P3773"/>
      <c r="Q3773"/>
      <c r="R3773"/>
      <c r="S3773"/>
    </row>
    <row r="3774" spans="1:19" ht="15" x14ac:dyDescent="0.2">
      <c r="A3774"/>
      <c r="B3774"/>
      <c r="C3774"/>
      <c r="D3774"/>
      <c r="E3774"/>
      <c r="F3774"/>
      <c r="G3774"/>
      <c r="H3774"/>
      <c r="I3774"/>
      <c r="J3774"/>
      <c r="K3774"/>
      <c r="L3774"/>
      <c r="M3774"/>
      <c r="N3774"/>
      <c r="O3774"/>
      <c r="P3774"/>
      <c r="Q3774"/>
      <c r="R3774"/>
      <c r="S3774"/>
    </row>
    <row r="3775" spans="1:19" ht="15" x14ac:dyDescent="0.2">
      <c r="A3775"/>
      <c r="B3775"/>
      <c r="C3775"/>
      <c r="D3775"/>
      <c r="E3775"/>
      <c r="F3775"/>
      <c r="G3775"/>
      <c r="H3775"/>
      <c r="I3775"/>
      <c r="J3775"/>
      <c r="K3775"/>
      <c r="L3775"/>
      <c r="M3775"/>
      <c r="N3775"/>
      <c r="O3775"/>
      <c r="P3775"/>
      <c r="Q3775"/>
      <c r="R3775"/>
      <c r="S3775"/>
    </row>
    <row r="3776" spans="1:19" ht="15" x14ac:dyDescent="0.2">
      <c r="A3776"/>
      <c r="B3776"/>
      <c r="C3776"/>
      <c r="D3776"/>
      <c r="E3776"/>
      <c r="F3776"/>
      <c r="G3776"/>
      <c r="H3776"/>
      <c r="I3776"/>
      <c r="J3776"/>
      <c r="K3776"/>
      <c r="L3776"/>
      <c r="M3776"/>
      <c r="N3776"/>
      <c r="O3776"/>
      <c r="P3776"/>
      <c r="Q3776"/>
      <c r="R3776"/>
      <c r="S3776"/>
    </row>
    <row r="3777" spans="1:19" ht="15" x14ac:dyDescent="0.2">
      <c r="A3777"/>
      <c r="B3777"/>
      <c r="C3777"/>
      <c r="D3777"/>
      <c r="E3777"/>
      <c r="F3777"/>
      <c r="G3777"/>
      <c r="H3777"/>
      <c r="I3777"/>
      <c r="J3777"/>
      <c r="K3777"/>
      <c r="L3777"/>
      <c r="M3777"/>
      <c r="N3777"/>
      <c r="O3777"/>
      <c r="P3777"/>
      <c r="Q3777"/>
      <c r="R3777"/>
      <c r="S3777"/>
    </row>
    <row r="3778" spans="1:19" ht="15" x14ac:dyDescent="0.2">
      <c r="A3778"/>
      <c r="B3778"/>
      <c r="C3778"/>
      <c r="D3778"/>
      <c r="E3778"/>
      <c r="F3778"/>
      <c r="G3778"/>
      <c r="H3778"/>
      <c r="I3778"/>
      <c r="J3778"/>
      <c r="K3778"/>
      <c r="L3778"/>
      <c r="M3778"/>
      <c r="N3778"/>
      <c r="O3778"/>
      <c r="P3778"/>
      <c r="Q3778"/>
      <c r="R3778"/>
      <c r="S3778"/>
    </row>
    <row r="3779" spans="1:19" ht="15" x14ac:dyDescent="0.2">
      <c r="A3779"/>
      <c r="B3779"/>
      <c r="C3779"/>
      <c r="D3779"/>
      <c r="E3779"/>
      <c r="F3779"/>
      <c r="G3779"/>
      <c r="H3779"/>
      <c r="I3779"/>
      <c r="J3779"/>
      <c r="K3779"/>
      <c r="L3779"/>
      <c r="M3779"/>
      <c r="N3779"/>
      <c r="O3779"/>
      <c r="P3779"/>
      <c r="Q3779"/>
      <c r="R3779"/>
      <c r="S3779"/>
    </row>
    <row r="3780" spans="1:19" ht="15" x14ac:dyDescent="0.2">
      <c r="A3780"/>
      <c r="B3780"/>
      <c r="C3780"/>
      <c r="D3780"/>
      <c r="E3780"/>
      <c r="F3780"/>
      <c r="G3780"/>
      <c r="H3780"/>
      <c r="I3780"/>
      <c r="J3780"/>
      <c r="K3780"/>
      <c r="L3780"/>
      <c r="M3780"/>
      <c r="N3780"/>
      <c r="O3780"/>
      <c r="P3780"/>
      <c r="Q3780"/>
      <c r="R3780"/>
      <c r="S3780"/>
    </row>
    <row r="3781" spans="1:19" ht="15" x14ac:dyDescent="0.2">
      <c r="A3781"/>
      <c r="B3781"/>
      <c r="C3781"/>
      <c r="D3781"/>
      <c r="E3781"/>
      <c r="F3781"/>
      <c r="G3781"/>
      <c r="H3781"/>
      <c r="I3781"/>
      <c r="J3781"/>
      <c r="K3781"/>
      <c r="L3781"/>
      <c r="M3781"/>
      <c r="N3781"/>
      <c r="O3781"/>
      <c r="P3781"/>
      <c r="Q3781"/>
      <c r="R3781"/>
      <c r="S3781"/>
    </row>
    <row r="3782" spans="1:19" ht="15" x14ac:dyDescent="0.2">
      <c r="A3782"/>
      <c r="B3782"/>
      <c r="C3782"/>
      <c r="D3782"/>
      <c r="E3782"/>
      <c r="F3782"/>
      <c r="G3782"/>
      <c r="H3782"/>
      <c r="I3782"/>
      <c r="J3782"/>
      <c r="K3782"/>
      <c r="L3782"/>
      <c r="M3782"/>
      <c r="N3782"/>
      <c r="O3782"/>
      <c r="P3782"/>
      <c r="Q3782"/>
      <c r="R3782"/>
      <c r="S3782"/>
    </row>
    <row r="3783" spans="1:19" ht="15" x14ac:dyDescent="0.2">
      <c r="A3783"/>
      <c r="B3783"/>
      <c r="C3783"/>
      <c r="D3783"/>
      <c r="E3783"/>
      <c r="F3783"/>
      <c r="G3783"/>
      <c r="H3783"/>
      <c r="I3783"/>
      <c r="J3783"/>
      <c r="K3783"/>
      <c r="L3783"/>
      <c r="M3783"/>
      <c r="N3783"/>
      <c r="O3783"/>
      <c r="P3783"/>
      <c r="Q3783"/>
      <c r="R3783"/>
      <c r="S3783"/>
    </row>
    <row r="3784" spans="1:19" ht="15" x14ac:dyDescent="0.2">
      <c r="A3784"/>
      <c r="B3784"/>
      <c r="C3784"/>
      <c r="D3784"/>
      <c r="E3784"/>
      <c r="F3784"/>
      <c r="G3784"/>
      <c r="H3784"/>
      <c r="I3784"/>
      <c r="J3784"/>
      <c r="K3784"/>
      <c r="L3784"/>
      <c r="M3784"/>
      <c r="N3784"/>
      <c r="O3784"/>
      <c r="P3784"/>
      <c r="Q3784"/>
      <c r="R3784"/>
      <c r="S3784"/>
    </row>
    <row r="3785" spans="1:19" ht="15" x14ac:dyDescent="0.2">
      <c r="A3785"/>
      <c r="B3785"/>
      <c r="C3785"/>
      <c r="D3785"/>
      <c r="E3785"/>
      <c r="F3785"/>
      <c r="G3785"/>
      <c r="H3785"/>
      <c r="I3785"/>
      <c r="J3785"/>
      <c r="K3785"/>
      <c r="L3785"/>
      <c r="M3785"/>
      <c r="N3785"/>
      <c r="O3785"/>
      <c r="P3785"/>
      <c r="Q3785"/>
      <c r="R3785"/>
      <c r="S3785"/>
    </row>
    <row r="3786" spans="1:19" ht="15" x14ac:dyDescent="0.2">
      <c r="A3786"/>
      <c r="B3786"/>
      <c r="C3786"/>
      <c r="D3786"/>
      <c r="E3786"/>
      <c r="F3786"/>
      <c r="G3786"/>
      <c r="H3786"/>
      <c r="I3786"/>
      <c r="J3786"/>
      <c r="K3786"/>
      <c r="L3786"/>
      <c r="M3786"/>
      <c r="N3786"/>
      <c r="O3786"/>
      <c r="P3786"/>
      <c r="Q3786"/>
      <c r="R3786"/>
      <c r="S3786"/>
    </row>
    <row r="3787" spans="1:19" ht="15" x14ac:dyDescent="0.2">
      <c r="A3787"/>
      <c r="B3787"/>
      <c r="C3787"/>
      <c r="D3787"/>
      <c r="E3787"/>
      <c r="F3787"/>
      <c r="G3787"/>
      <c r="H3787"/>
      <c r="I3787"/>
      <c r="J3787"/>
      <c r="K3787"/>
      <c r="L3787"/>
      <c r="M3787"/>
      <c r="N3787"/>
      <c r="O3787"/>
      <c r="P3787"/>
      <c r="Q3787"/>
      <c r="R3787"/>
      <c r="S3787"/>
    </row>
    <row r="3788" spans="1:19" ht="15" x14ac:dyDescent="0.2">
      <c r="A3788"/>
      <c r="B3788"/>
      <c r="C3788"/>
      <c r="D3788"/>
      <c r="E3788"/>
      <c r="F3788"/>
      <c r="G3788"/>
      <c r="H3788"/>
      <c r="I3788"/>
      <c r="J3788"/>
      <c r="K3788"/>
      <c r="L3788"/>
      <c r="M3788"/>
      <c r="N3788"/>
      <c r="O3788"/>
      <c r="P3788"/>
      <c r="Q3788"/>
      <c r="R3788"/>
      <c r="S3788"/>
    </row>
    <row r="3789" spans="1:19" ht="15" x14ac:dyDescent="0.2">
      <c r="A3789"/>
      <c r="B3789"/>
      <c r="C3789"/>
      <c r="D3789"/>
      <c r="E3789"/>
      <c r="F3789"/>
      <c r="G3789"/>
      <c r="H3789"/>
      <c r="I3789"/>
      <c r="J3789"/>
      <c r="K3789"/>
      <c r="L3789"/>
      <c r="M3789"/>
      <c r="N3789"/>
      <c r="O3789"/>
      <c r="P3789"/>
      <c r="Q3789"/>
      <c r="R3789"/>
      <c r="S3789"/>
    </row>
    <row r="3790" spans="1:19" ht="15" x14ac:dyDescent="0.2">
      <c r="A3790"/>
      <c r="B3790"/>
      <c r="C3790"/>
      <c r="D3790"/>
      <c r="E3790"/>
      <c r="F3790"/>
      <c r="G3790"/>
      <c r="H3790"/>
      <c r="I3790"/>
      <c r="J3790"/>
      <c r="K3790"/>
      <c r="L3790"/>
      <c r="M3790"/>
      <c r="N3790"/>
      <c r="O3790"/>
      <c r="P3790"/>
      <c r="Q3790"/>
      <c r="R3790"/>
      <c r="S3790"/>
    </row>
    <row r="3791" spans="1:19" ht="15" x14ac:dyDescent="0.2">
      <c r="A3791"/>
      <c r="B3791"/>
      <c r="C3791"/>
      <c r="D3791"/>
      <c r="E3791"/>
      <c r="F3791"/>
      <c r="G3791"/>
      <c r="H3791"/>
      <c r="I3791"/>
      <c r="J3791"/>
      <c r="K3791"/>
      <c r="L3791"/>
      <c r="M3791"/>
      <c r="N3791"/>
      <c r="O3791"/>
      <c r="P3791"/>
      <c r="Q3791"/>
      <c r="R3791"/>
      <c r="S3791"/>
    </row>
    <row r="3792" spans="1:19" ht="15" x14ac:dyDescent="0.2">
      <c r="A3792"/>
      <c r="B3792"/>
      <c r="C3792"/>
      <c r="D3792"/>
      <c r="E3792"/>
      <c r="F3792"/>
      <c r="G3792"/>
      <c r="H3792"/>
      <c r="I3792"/>
      <c r="J3792"/>
      <c r="K3792"/>
      <c r="L3792"/>
      <c r="M3792"/>
      <c r="N3792"/>
      <c r="O3792"/>
      <c r="P3792"/>
      <c r="Q3792"/>
      <c r="R3792"/>
      <c r="S3792"/>
    </row>
    <row r="3793" spans="1:19" ht="15" x14ac:dyDescent="0.2">
      <c r="A3793"/>
      <c r="B3793"/>
      <c r="C3793"/>
      <c r="D3793"/>
      <c r="E3793"/>
      <c r="F3793"/>
      <c r="G3793"/>
      <c r="H3793"/>
      <c r="I3793"/>
      <c r="J3793"/>
      <c r="K3793"/>
      <c r="L3793"/>
      <c r="M3793"/>
      <c r="N3793"/>
      <c r="O3793"/>
      <c r="P3793"/>
      <c r="Q3793"/>
      <c r="R3793"/>
      <c r="S3793"/>
    </row>
    <row r="3794" spans="1:19" ht="15" x14ac:dyDescent="0.2">
      <c r="A3794"/>
      <c r="B3794"/>
      <c r="C3794"/>
      <c r="D3794"/>
      <c r="E3794"/>
      <c r="F3794"/>
      <c r="G3794"/>
      <c r="H3794"/>
      <c r="I3794"/>
      <c r="J3794"/>
      <c r="K3794"/>
      <c r="L3794"/>
      <c r="M3794"/>
      <c r="N3794"/>
      <c r="O3794"/>
      <c r="P3794"/>
      <c r="Q3794"/>
      <c r="R3794"/>
      <c r="S3794"/>
    </row>
    <row r="3795" spans="1:19" ht="15" x14ac:dyDescent="0.2">
      <c r="A3795"/>
      <c r="B3795"/>
      <c r="C3795"/>
      <c r="D3795"/>
      <c r="E3795"/>
      <c r="F3795"/>
      <c r="G3795"/>
      <c r="H3795"/>
      <c r="I3795"/>
      <c r="J3795"/>
      <c r="K3795"/>
      <c r="L3795"/>
      <c r="M3795"/>
      <c r="N3795"/>
      <c r="O3795"/>
      <c r="P3795"/>
      <c r="Q3795"/>
      <c r="R3795"/>
      <c r="S3795"/>
    </row>
    <row r="3796" spans="1:19" ht="15" x14ac:dyDescent="0.2">
      <c r="A3796"/>
      <c r="B3796"/>
      <c r="C3796"/>
      <c r="D3796"/>
      <c r="E3796"/>
      <c r="F3796"/>
      <c r="G3796"/>
      <c r="H3796"/>
      <c r="I3796"/>
      <c r="J3796"/>
      <c r="K3796"/>
      <c r="L3796"/>
      <c r="M3796"/>
      <c r="N3796"/>
      <c r="O3796"/>
      <c r="P3796"/>
      <c r="Q3796"/>
      <c r="R3796"/>
      <c r="S3796"/>
    </row>
    <row r="3797" spans="1:19" ht="15" x14ac:dyDescent="0.2">
      <c r="A3797"/>
      <c r="B3797"/>
      <c r="C3797"/>
      <c r="D3797"/>
      <c r="E3797"/>
      <c r="F3797"/>
      <c r="G3797"/>
      <c r="H3797"/>
      <c r="I3797"/>
      <c r="J3797"/>
      <c r="K3797"/>
      <c r="L3797"/>
      <c r="M3797"/>
      <c r="N3797"/>
      <c r="O3797"/>
      <c r="P3797"/>
      <c r="Q3797"/>
      <c r="R3797"/>
      <c r="S3797"/>
    </row>
    <row r="3798" spans="1:19" ht="15" x14ac:dyDescent="0.2">
      <c r="A3798"/>
      <c r="B3798"/>
      <c r="C3798"/>
      <c r="D3798"/>
      <c r="E3798"/>
      <c r="F3798"/>
      <c r="G3798"/>
      <c r="H3798"/>
      <c r="I3798"/>
      <c r="J3798"/>
      <c r="K3798"/>
      <c r="L3798"/>
      <c r="M3798"/>
      <c r="N3798"/>
      <c r="O3798"/>
      <c r="P3798"/>
      <c r="Q3798"/>
      <c r="R3798"/>
      <c r="S3798"/>
    </row>
    <row r="3799" spans="1:19" ht="15" x14ac:dyDescent="0.2">
      <c r="A3799"/>
      <c r="B3799"/>
      <c r="C3799"/>
      <c r="D3799"/>
      <c r="E3799"/>
      <c r="F3799"/>
      <c r="G3799"/>
      <c r="H3799"/>
      <c r="I3799"/>
      <c r="J3799"/>
      <c r="K3799"/>
      <c r="L3799"/>
      <c r="M3799"/>
      <c r="N3799"/>
      <c r="O3799"/>
      <c r="P3799"/>
      <c r="Q3799"/>
      <c r="R3799"/>
      <c r="S3799"/>
    </row>
    <row r="3800" spans="1:19" ht="15" x14ac:dyDescent="0.2">
      <c r="A3800"/>
      <c r="B3800"/>
      <c r="C3800"/>
      <c r="D3800"/>
      <c r="E3800"/>
      <c r="F3800"/>
      <c r="G3800"/>
      <c r="H3800"/>
      <c r="I3800"/>
      <c r="J3800"/>
      <c r="K3800"/>
      <c r="L3800"/>
      <c r="M3800"/>
      <c r="N3800"/>
      <c r="O3800"/>
      <c r="P3800"/>
      <c r="Q3800"/>
      <c r="R3800"/>
      <c r="S3800"/>
    </row>
    <row r="3801" spans="1:19" ht="15" x14ac:dyDescent="0.2">
      <c r="A3801"/>
      <c r="B3801"/>
      <c r="C3801"/>
      <c r="D3801"/>
      <c r="E3801"/>
      <c r="F3801"/>
      <c r="G3801"/>
      <c r="H3801"/>
      <c r="I3801"/>
      <c r="J3801"/>
      <c r="K3801"/>
      <c r="L3801"/>
      <c r="M3801"/>
      <c r="N3801"/>
      <c r="O3801"/>
      <c r="P3801"/>
      <c r="Q3801"/>
      <c r="R3801"/>
      <c r="S3801"/>
    </row>
    <row r="3802" spans="1:19" ht="15" x14ac:dyDescent="0.2">
      <c r="A3802"/>
      <c r="B3802"/>
      <c r="C3802"/>
      <c r="D3802"/>
      <c r="E3802"/>
      <c r="F3802"/>
      <c r="G3802"/>
      <c r="H3802"/>
      <c r="I3802"/>
      <c r="J3802"/>
      <c r="K3802"/>
      <c r="L3802"/>
      <c r="M3802"/>
      <c r="N3802"/>
      <c r="O3802"/>
      <c r="P3802"/>
      <c r="Q3802"/>
      <c r="R3802"/>
      <c r="S3802"/>
    </row>
    <row r="3803" spans="1:19" ht="15" x14ac:dyDescent="0.2">
      <c r="A3803"/>
      <c r="B3803"/>
      <c r="C3803"/>
      <c r="D3803"/>
      <c r="E3803"/>
      <c r="F3803"/>
      <c r="G3803"/>
      <c r="H3803"/>
      <c r="I3803"/>
      <c r="J3803"/>
      <c r="K3803"/>
      <c r="L3803"/>
      <c r="M3803"/>
      <c r="N3803"/>
      <c r="O3803"/>
      <c r="P3803"/>
      <c r="Q3803"/>
      <c r="R3803"/>
      <c r="S3803"/>
    </row>
    <row r="3804" spans="1:19" ht="15" x14ac:dyDescent="0.2">
      <c r="A3804"/>
      <c r="B3804"/>
      <c r="C3804"/>
      <c r="D3804"/>
      <c r="E3804"/>
      <c r="F3804"/>
      <c r="G3804"/>
      <c r="H3804"/>
      <c r="I3804"/>
      <c r="J3804"/>
      <c r="K3804"/>
      <c r="L3804"/>
      <c r="M3804"/>
      <c r="N3804"/>
      <c r="O3804"/>
      <c r="P3804"/>
      <c r="Q3804"/>
      <c r="R3804"/>
      <c r="S3804"/>
    </row>
    <row r="3805" spans="1:19" ht="15" x14ac:dyDescent="0.2">
      <c r="A3805"/>
      <c r="B3805"/>
      <c r="C3805"/>
      <c r="D3805"/>
      <c r="E3805"/>
      <c r="F3805"/>
      <c r="G3805"/>
      <c r="H3805"/>
      <c r="I3805"/>
      <c r="J3805"/>
      <c r="K3805"/>
      <c r="L3805"/>
      <c r="M3805"/>
      <c r="N3805"/>
      <c r="O3805"/>
      <c r="P3805"/>
      <c r="Q3805"/>
      <c r="R3805"/>
      <c r="S3805"/>
    </row>
    <row r="3806" spans="1:19" ht="15" x14ac:dyDescent="0.2">
      <c r="A3806"/>
      <c r="B3806"/>
      <c r="C3806"/>
      <c r="D3806"/>
      <c r="E3806"/>
      <c r="F3806"/>
      <c r="G3806"/>
      <c r="H3806"/>
      <c r="I3806"/>
      <c r="J3806"/>
      <c r="K3806"/>
      <c r="L3806"/>
      <c r="M3806"/>
      <c r="N3806"/>
      <c r="O3806"/>
      <c r="P3806"/>
      <c r="Q3806"/>
      <c r="R3806"/>
      <c r="S3806"/>
    </row>
    <row r="3807" spans="1:19" ht="15" x14ac:dyDescent="0.2">
      <c r="A3807"/>
      <c r="B3807"/>
      <c r="C3807"/>
      <c r="D3807"/>
      <c r="E3807"/>
      <c r="F3807"/>
      <c r="G3807"/>
      <c r="H3807"/>
      <c r="I3807"/>
      <c r="J3807"/>
      <c r="K3807"/>
      <c r="L3807"/>
      <c r="M3807"/>
      <c r="N3807"/>
      <c r="O3807"/>
      <c r="P3807"/>
      <c r="Q3807"/>
      <c r="R3807"/>
      <c r="S3807"/>
    </row>
    <row r="3808" spans="1:19" ht="15" x14ac:dyDescent="0.2">
      <c r="A3808"/>
      <c r="B3808"/>
      <c r="C3808"/>
      <c r="D3808"/>
      <c r="E3808"/>
      <c r="F3808"/>
      <c r="G3808"/>
      <c r="H3808"/>
      <c r="I3808"/>
      <c r="J3808"/>
      <c r="K3808"/>
      <c r="L3808"/>
      <c r="M3808"/>
      <c r="N3808"/>
      <c r="O3808"/>
      <c r="P3808"/>
      <c r="Q3808"/>
      <c r="R3808"/>
      <c r="S3808"/>
    </row>
    <row r="3809" spans="1:19" ht="15" x14ac:dyDescent="0.2">
      <c r="A3809"/>
      <c r="B3809"/>
      <c r="C3809"/>
      <c r="D3809"/>
      <c r="E3809"/>
      <c r="F3809"/>
      <c r="G3809"/>
      <c r="H3809"/>
      <c r="I3809"/>
      <c r="J3809"/>
      <c r="K3809"/>
      <c r="L3809"/>
      <c r="M3809"/>
      <c r="N3809"/>
      <c r="O3809"/>
      <c r="P3809"/>
      <c r="Q3809"/>
      <c r="R3809"/>
      <c r="S3809"/>
    </row>
    <row r="3810" spans="1:19" ht="15" x14ac:dyDescent="0.2">
      <c r="A3810"/>
      <c r="B3810"/>
      <c r="C3810"/>
      <c r="D3810"/>
      <c r="E3810"/>
      <c r="F3810"/>
      <c r="G3810"/>
      <c r="H3810"/>
      <c r="I3810"/>
      <c r="J3810"/>
      <c r="K3810"/>
      <c r="L3810"/>
      <c r="M3810"/>
      <c r="N3810"/>
      <c r="O3810"/>
      <c r="P3810"/>
      <c r="Q3810"/>
      <c r="R3810"/>
      <c r="S3810"/>
    </row>
    <row r="3811" spans="1:19" ht="15" x14ac:dyDescent="0.2">
      <c r="A3811"/>
      <c r="B3811"/>
      <c r="C3811"/>
      <c r="D3811"/>
      <c r="E3811"/>
      <c r="F3811"/>
      <c r="G3811"/>
      <c r="H3811"/>
      <c r="I3811"/>
      <c r="J3811"/>
      <c r="K3811"/>
      <c r="L3811"/>
      <c r="M3811"/>
      <c r="N3811"/>
      <c r="O3811"/>
      <c r="P3811"/>
      <c r="Q3811"/>
      <c r="R3811"/>
      <c r="S3811"/>
    </row>
    <row r="3812" spans="1:19" ht="15" x14ac:dyDescent="0.2">
      <c r="A3812"/>
      <c r="B3812"/>
      <c r="C3812"/>
      <c r="D3812"/>
      <c r="E3812"/>
      <c r="F3812"/>
      <c r="G3812"/>
      <c r="H3812"/>
      <c r="I3812"/>
      <c r="J3812"/>
      <c r="K3812"/>
      <c r="L3812"/>
      <c r="M3812"/>
      <c r="N3812"/>
      <c r="O3812"/>
      <c r="P3812"/>
      <c r="Q3812"/>
      <c r="R3812"/>
      <c r="S3812"/>
    </row>
    <row r="3813" spans="1:19" ht="15" x14ac:dyDescent="0.2">
      <c r="A3813"/>
      <c r="B3813"/>
      <c r="C3813"/>
      <c r="D3813"/>
      <c r="E3813"/>
      <c r="F3813"/>
      <c r="G3813"/>
      <c r="H3813"/>
      <c r="I3813"/>
      <c r="J3813"/>
      <c r="K3813"/>
      <c r="L3813"/>
      <c r="M3813"/>
      <c r="N3813"/>
      <c r="O3813"/>
      <c r="P3813"/>
      <c r="Q3813"/>
      <c r="R3813"/>
      <c r="S3813"/>
    </row>
    <row r="3814" spans="1:19" ht="15" x14ac:dyDescent="0.2">
      <c r="A3814"/>
      <c r="B3814"/>
      <c r="C3814"/>
      <c r="D3814"/>
      <c r="E3814"/>
      <c r="F3814"/>
      <c r="G3814"/>
      <c r="H3814"/>
      <c r="I3814"/>
      <c r="J3814"/>
      <c r="K3814"/>
      <c r="L3814"/>
      <c r="M3814"/>
      <c r="N3814"/>
      <c r="O3814"/>
      <c r="P3814"/>
      <c r="Q3814"/>
      <c r="R3814"/>
      <c r="S3814"/>
    </row>
    <row r="3815" spans="1:19" ht="15" x14ac:dyDescent="0.2">
      <c r="A3815"/>
      <c r="B3815"/>
      <c r="C3815"/>
      <c r="D3815"/>
      <c r="E3815"/>
      <c r="F3815"/>
      <c r="G3815"/>
      <c r="H3815"/>
      <c r="I3815"/>
      <c r="J3815"/>
      <c r="K3815"/>
      <c r="L3815"/>
      <c r="M3815"/>
      <c r="N3815"/>
      <c r="O3815"/>
      <c r="P3815"/>
      <c r="Q3815"/>
      <c r="R3815"/>
      <c r="S3815"/>
    </row>
    <row r="3816" spans="1:19" ht="15" x14ac:dyDescent="0.2">
      <c r="A3816"/>
      <c r="B3816"/>
      <c r="C3816"/>
      <c r="D3816"/>
      <c r="E3816"/>
      <c r="F3816"/>
      <c r="G3816"/>
      <c r="H3816"/>
      <c r="I3816"/>
      <c r="J3816"/>
      <c r="K3816"/>
      <c r="L3816"/>
      <c r="M3816"/>
      <c r="N3816"/>
      <c r="O3816"/>
      <c r="P3816"/>
      <c r="Q3816"/>
      <c r="R3816"/>
      <c r="S3816"/>
    </row>
    <row r="3817" spans="1:19" ht="15" x14ac:dyDescent="0.2">
      <c r="A3817"/>
      <c r="B3817"/>
      <c r="C3817"/>
      <c r="D3817"/>
      <c r="E3817"/>
      <c r="F3817"/>
      <c r="G3817"/>
      <c r="H3817"/>
      <c r="I3817"/>
      <c r="J3817"/>
      <c r="K3817"/>
      <c r="L3817"/>
      <c r="M3817"/>
      <c r="N3817"/>
      <c r="O3817"/>
      <c r="P3817"/>
      <c r="Q3817"/>
      <c r="R3817"/>
      <c r="S3817"/>
    </row>
    <row r="3818" spans="1:19" ht="15" x14ac:dyDescent="0.2">
      <c r="A3818"/>
      <c r="B3818"/>
      <c r="C3818"/>
      <c r="D3818"/>
      <c r="E3818"/>
      <c r="F3818"/>
      <c r="G3818"/>
      <c r="H3818"/>
      <c r="I3818"/>
      <c r="J3818"/>
      <c r="K3818"/>
      <c r="L3818"/>
      <c r="M3818"/>
      <c r="N3818"/>
      <c r="O3818"/>
      <c r="P3818"/>
      <c r="Q3818"/>
      <c r="R3818"/>
      <c r="S3818"/>
    </row>
    <row r="3819" spans="1:19" ht="15" x14ac:dyDescent="0.2">
      <c r="A3819"/>
      <c r="B3819"/>
      <c r="C3819"/>
      <c r="D3819"/>
      <c r="E3819"/>
      <c r="F3819"/>
      <c r="G3819"/>
      <c r="H3819"/>
      <c r="I3819"/>
      <c r="J3819"/>
      <c r="K3819"/>
      <c r="L3819"/>
      <c r="M3819"/>
      <c r="N3819"/>
      <c r="O3819"/>
      <c r="P3819"/>
      <c r="Q3819"/>
      <c r="R3819"/>
      <c r="S3819"/>
    </row>
    <row r="3820" spans="1:19" ht="15" x14ac:dyDescent="0.2">
      <c r="A3820"/>
      <c r="B3820"/>
      <c r="C3820"/>
      <c r="D3820"/>
      <c r="E3820"/>
      <c r="F3820"/>
      <c r="G3820"/>
      <c r="H3820"/>
      <c r="I3820"/>
      <c r="J3820"/>
      <c r="K3820"/>
      <c r="L3820"/>
      <c r="M3820"/>
      <c r="N3820"/>
      <c r="O3820"/>
      <c r="P3820"/>
      <c r="Q3820"/>
      <c r="R3820"/>
      <c r="S3820"/>
    </row>
    <row r="3821" spans="1:19" ht="15" x14ac:dyDescent="0.2">
      <c r="A3821"/>
      <c r="B3821"/>
      <c r="C3821"/>
      <c r="D3821"/>
      <c r="E3821"/>
      <c r="F3821"/>
      <c r="G3821"/>
      <c r="H3821"/>
      <c r="I3821"/>
      <c r="J3821"/>
      <c r="K3821"/>
      <c r="L3821"/>
      <c r="M3821"/>
      <c r="N3821"/>
      <c r="O3821"/>
      <c r="P3821"/>
      <c r="Q3821"/>
      <c r="R3821"/>
      <c r="S3821"/>
    </row>
    <row r="3822" spans="1:19" ht="15" x14ac:dyDescent="0.2">
      <c r="A3822"/>
      <c r="B3822"/>
      <c r="C3822"/>
      <c r="D3822"/>
      <c r="E3822"/>
      <c r="F3822"/>
      <c r="G3822"/>
      <c r="H3822"/>
      <c r="I3822"/>
      <c r="J3822"/>
      <c r="K3822"/>
      <c r="L3822"/>
      <c r="M3822"/>
      <c r="N3822"/>
      <c r="O3822"/>
      <c r="P3822"/>
      <c r="Q3822"/>
      <c r="R3822"/>
      <c r="S3822"/>
    </row>
    <row r="3823" spans="1:19" ht="15" x14ac:dyDescent="0.2">
      <c r="A3823"/>
      <c r="B3823"/>
      <c r="C3823"/>
      <c r="D3823"/>
      <c r="E3823"/>
      <c r="F3823"/>
      <c r="G3823"/>
      <c r="H3823"/>
      <c r="I3823"/>
      <c r="J3823"/>
      <c r="K3823"/>
      <c r="L3823"/>
      <c r="M3823"/>
      <c r="N3823"/>
      <c r="O3823"/>
      <c r="P3823"/>
      <c r="Q3823"/>
      <c r="R3823"/>
      <c r="S3823"/>
    </row>
    <row r="3824" spans="1:19" ht="15" x14ac:dyDescent="0.2">
      <c r="A3824"/>
      <c r="B3824"/>
      <c r="C3824"/>
      <c r="D3824"/>
      <c r="E3824"/>
      <c r="F3824"/>
      <c r="G3824"/>
      <c r="H3824"/>
      <c r="I3824"/>
      <c r="J3824"/>
      <c r="K3824"/>
      <c r="L3824"/>
      <c r="M3824"/>
      <c r="N3824"/>
      <c r="O3824"/>
      <c r="P3824"/>
      <c r="Q3824"/>
      <c r="R3824"/>
      <c r="S3824"/>
    </row>
    <row r="3825" spans="1:19" ht="15" x14ac:dyDescent="0.2">
      <c r="A3825"/>
      <c r="B3825"/>
      <c r="C3825"/>
      <c r="D3825"/>
      <c r="E3825"/>
      <c r="F3825"/>
      <c r="G3825"/>
      <c r="H3825"/>
      <c r="I3825"/>
      <c r="J3825"/>
      <c r="K3825"/>
      <c r="L3825"/>
      <c r="M3825"/>
      <c r="N3825"/>
      <c r="O3825"/>
      <c r="P3825"/>
      <c r="Q3825"/>
      <c r="R3825"/>
      <c r="S3825"/>
    </row>
    <row r="3826" spans="1:19" ht="15" x14ac:dyDescent="0.2">
      <c r="A3826"/>
      <c r="B3826"/>
      <c r="C3826"/>
      <c r="D3826"/>
      <c r="E3826"/>
      <c r="F3826"/>
      <c r="G3826"/>
      <c r="H3826"/>
      <c r="I3826"/>
      <c r="J3826"/>
      <c r="K3826"/>
      <c r="L3826"/>
      <c r="M3826"/>
      <c r="N3826"/>
      <c r="O3826"/>
      <c r="P3826"/>
      <c r="Q3826"/>
      <c r="R3826"/>
      <c r="S3826"/>
    </row>
    <row r="3827" spans="1:19" ht="15" x14ac:dyDescent="0.2">
      <c r="A3827"/>
      <c r="B3827"/>
      <c r="C3827"/>
      <c r="D3827"/>
      <c r="E3827"/>
      <c r="F3827"/>
      <c r="G3827"/>
      <c r="H3827"/>
      <c r="I3827"/>
      <c r="J3827"/>
      <c r="K3827"/>
      <c r="L3827"/>
      <c r="M3827"/>
      <c r="N3827"/>
      <c r="O3827"/>
      <c r="P3827"/>
      <c r="Q3827"/>
      <c r="R3827"/>
      <c r="S3827"/>
    </row>
    <row r="3828" spans="1:19" ht="15" x14ac:dyDescent="0.2">
      <c r="A3828"/>
      <c r="B3828"/>
      <c r="C3828"/>
      <c r="D3828"/>
      <c r="E3828"/>
      <c r="F3828"/>
      <c r="G3828"/>
      <c r="H3828"/>
      <c r="I3828"/>
      <c r="J3828"/>
      <c r="K3828"/>
      <c r="L3828"/>
      <c r="M3828"/>
      <c r="N3828"/>
      <c r="O3828"/>
      <c r="P3828"/>
      <c r="Q3828"/>
      <c r="R3828"/>
      <c r="S3828"/>
    </row>
    <row r="3829" spans="1:19" ht="15" x14ac:dyDescent="0.2">
      <c r="A3829"/>
      <c r="B3829"/>
      <c r="C3829"/>
      <c r="D3829"/>
      <c r="E3829"/>
      <c r="F3829"/>
      <c r="G3829"/>
      <c r="H3829"/>
      <c r="I3829"/>
      <c r="J3829"/>
      <c r="K3829"/>
      <c r="L3829"/>
      <c r="M3829"/>
      <c r="N3829"/>
      <c r="O3829"/>
      <c r="P3829"/>
      <c r="Q3829"/>
      <c r="R3829"/>
      <c r="S3829"/>
    </row>
    <row r="3830" spans="1:19" ht="15" x14ac:dyDescent="0.2">
      <c r="A3830"/>
      <c r="B3830"/>
      <c r="C3830"/>
      <c r="D3830"/>
      <c r="E3830"/>
      <c r="F3830"/>
      <c r="G3830"/>
      <c r="H3830"/>
      <c r="I3830"/>
      <c r="J3830"/>
      <c r="K3830"/>
      <c r="L3830"/>
      <c r="M3830"/>
      <c r="N3830"/>
      <c r="O3830"/>
      <c r="P3830"/>
      <c r="Q3830"/>
      <c r="R3830"/>
      <c r="S3830"/>
    </row>
    <row r="3831" spans="1:19" ht="15" x14ac:dyDescent="0.2">
      <c r="A3831"/>
      <c r="B3831"/>
      <c r="C3831"/>
      <c r="D3831"/>
      <c r="E3831"/>
      <c r="F3831"/>
      <c r="G3831"/>
      <c r="H3831"/>
      <c r="I3831"/>
      <c r="J3831"/>
      <c r="K3831"/>
      <c r="L3831"/>
      <c r="M3831"/>
      <c r="N3831"/>
      <c r="O3831"/>
      <c r="P3831"/>
      <c r="Q3831"/>
      <c r="R3831"/>
      <c r="S3831"/>
    </row>
    <row r="3832" spans="1:19" ht="15" x14ac:dyDescent="0.2">
      <c r="A3832"/>
      <c r="B3832"/>
      <c r="C3832"/>
      <c r="D3832"/>
      <c r="E3832"/>
      <c r="F3832"/>
      <c r="G3832"/>
      <c r="H3832"/>
      <c r="I3832"/>
      <c r="J3832"/>
      <c r="K3832"/>
      <c r="L3832"/>
      <c r="M3832"/>
      <c r="N3832"/>
      <c r="O3832"/>
      <c r="P3832"/>
      <c r="Q3832"/>
      <c r="R3832"/>
      <c r="S3832"/>
    </row>
    <row r="3833" spans="1:19" ht="15" x14ac:dyDescent="0.2">
      <c r="A3833"/>
      <c r="B3833"/>
      <c r="C3833"/>
      <c r="D3833"/>
      <c r="E3833"/>
      <c r="F3833"/>
      <c r="G3833"/>
      <c r="H3833"/>
      <c r="I3833"/>
      <c r="J3833"/>
      <c r="K3833"/>
      <c r="L3833"/>
      <c r="M3833"/>
      <c r="N3833"/>
      <c r="O3833"/>
      <c r="P3833"/>
      <c r="Q3833"/>
      <c r="R3833"/>
      <c r="S3833"/>
    </row>
    <row r="3834" spans="1:19" ht="15" x14ac:dyDescent="0.2">
      <c r="A3834"/>
      <c r="B3834"/>
      <c r="C3834"/>
      <c r="D3834"/>
      <c r="E3834"/>
      <c r="F3834"/>
      <c r="G3834"/>
      <c r="H3834"/>
      <c r="I3834"/>
      <c r="J3834"/>
      <c r="K3834"/>
      <c r="L3834"/>
      <c r="M3834"/>
      <c r="N3834"/>
      <c r="O3834"/>
      <c r="P3834"/>
      <c r="Q3834"/>
      <c r="R3834"/>
      <c r="S3834"/>
    </row>
    <row r="3835" spans="1:19" ht="15" x14ac:dyDescent="0.2">
      <c r="A3835"/>
      <c r="B3835"/>
      <c r="C3835"/>
      <c r="D3835"/>
      <c r="E3835"/>
      <c r="F3835"/>
      <c r="G3835"/>
      <c r="H3835"/>
      <c r="I3835"/>
      <c r="J3835"/>
      <c r="K3835"/>
      <c r="L3835"/>
      <c r="M3835"/>
      <c r="N3835"/>
      <c r="O3835"/>
      <c r="P3835"/>
      <c r="Q3835"/>
      <c r="R3835"/>
      <c r="S3835"/>
    </row>
    <row r="3836" spans="1:19" ht="15" x14ac:dyDescent="0.2">
      <c r="A3836"/>
      <c r="B3836"/>
      <c r="C3836"/>
      <c r="D3836"/>
      <c r="E3836"/>
      <c r="F3836"/>
      <c r="G3836"/>
      <c r="H3836"/>
      <c r="I3836"/>
      <c r="J3836"/>
      <c r="K3836"/>
      <c r="L3836"/>
      <c r="M3836"/>
      <c r="N3836"/>
      <c r="O3836"/>
      <c r="P3836"/>
      <c r="Q3836"/>
      <c r="R3836"/>
      <c r="S3836"/>
    </row>
    <row r="3837" spans="1:19" ht="15" x14ac:dyDescent="0.2">
      <c r="A3837"/>
      <c r="B3837"/>
      <c r="C3837"/>
      <c r="D3837"/>
      <c r="E3837"/>
      <c r="F3837"/>
      <c r="G3837"/>
      <c r="H3837"/>
      <c r="I3837"/>
      <c r="J3837"/>
      <c r="K3837"/>
      <c r="L3837"/>
      <c r="M3837"/>
      <c r="N3837"/>
      <c r="O3837"/>
      <c r="P3837"/>
      <c r="Q3837"/>
      <c r="R3837"/>
      <c r="S3837"/>
    </row>
    <row r="3838" spans="1:19" ht="15" x14ac:dyDescent="0.2">
      <c r="A3838"/>
      <c r="B3838"/>
      <c r="C3838"/>
      <c r="D3838"/>
      <c r="E3838"/>
      <c r="F3838"/>
      <c r="G3838"/>
      <c r="H3838"/>
      <c r="I3838"/>
      <c r="J3838"/>
      <c r="K3838"/>
      <c r="L3838"/>
      <c r="M3838"/>
      <c r="N3838"/>
      <c r="O3838"/>
      <c r="P3838"/>
      <c r="Q3838"/>
      <c r="R3838"/>
      <c r="S3838"/>
    </row>
    <row r="3839" spans="1:19" ht="15" x14ac:dyDescent="0.2">
      <c r="A3839"/>
      <c r="B3839"/>
      <c r="C3839"/>
      <c r="D3839"/>
      <c r="E3839"/>
      <c r="F3839"/>
      <c r="G3839"/>
      <c r="H3839"/>
      <c r="I3839"/>
      <c r="J3839"/>
      <c r="K3839"/>
      <c r="L3839"/>
      <c r="M3839"/>
      <c r="N3839"/>
      <c r="O3839"/>
      <c r="P3839"/>
      <c r="Q3839"/>
      <c r="R3839"/>
      <c r="S3839"/>
    </row>
    <row r="3840" spans="1:19" ht="15" x14ac:dyDescent="0.2">
      <c r="A3840"/>
      <c r="B3840"/>
      <c r="C3840"/>
      <c r="D3840"/>
      <c r="E3840"/>
      <c r="F3840"/>
      <c r="G3840"/>
      <c r="H3840"/>
      <c r="I3840"/>
      <c r="J3840"/>
      <c r="K3840"/>
      <c r="L3840"/>
      <c r="M3840"/>
      <c r="N3840"/>
      <c r="O3840"/>
      <c r="P3840"/>
      <c r="Q3840"/>
      <c r="R3840"/>
      <c r="S3840"/>
    </row>
    <row r="3841" spans="1:19" ht="15" x14ac:dyDescent="0.2">
      <c r="A3841"/>
      <c r="B3841"/>
      <c r="C3841"/>
      <c r="D3841"/>
      <c r="E3841"/>
      <c r="F3841"/>
      <c r="G3841"/>
      <c r="H3841"/>
      <c r="I3841"/>
      <c r="J3841"/>
      <c r="K3841"/>
      <c r="L3841"/>
      <c r="M3841"/>
      <c r="N3841"/>
      <c r="O3841"/>
      <c r="P3841"/>
      <c r="Q3841"/>
      <c r="R3841"/>
      <c r="S3841"/>
    </row>
    <row r="3842" spans="1:19" ht="15" x14ac:dyDescent="0.2">
      <c r="A3842"/>
      <c r="B3842"/>
      <c r="C3842"/>
      <c r="D3842"/>
      <c r="E3842"/>
      <c r="F3842"/>
      <c r="G3842"/>
      <c r="H3842"/>
      <c r="I3842"/>
      <c r="J3842"/>
      <c r="K3842"/>
      <c r="L3842"/>
      <c r="M3842"/>
      <c r="N3842"/>
      <c r="O3842"/>
      <c r="P3842"/>
      <c r="Q3842"/>
      <c r="R3842"/>
      <c r="S3842"/>
    </row>
    <row r="3843" spans="1:19" ht="15" x14ac:dyDescent="0.2">
      <c r="A3843"/>
      <c r="B3843"/>
      <c r="C3843"/>
      <c r="D3843"/>
      <c r="E3843"/>
      <c r="F3843"/>
      <c r="G3843"/>
      <c r="H3843"/>
      <c r="I3843"/>
      <c r="J3843"/>
      <c r="K3843"/>
      <c r="L3843"/>
      <c r="M3843"/>
      <c r="N3843"/>
      <c r="O3843"/>
      <c r="P3843"/>
      <c r="Q3843"/>
      <c r="R3843"/>
      <c r="S3843"/>
    </row>
    <row r="3844" spans="1:19" ht="15" x14ac:dyDescent="0.2">
      <c r="A3844"/>
      <c r="B3844"/>
      <c r="C3844"/>
      <c r="D3844"/>
      <c r="E3844"/>
      <c r="F3844"/>
      <c r="G3844"/>
      <c r="H3844"/>
      <c r="I3844"/>
      <c r="J3844"/>
      <c r="K3844"/>
      <c r="L3844"/>
      <c r="M3844"/>
      <c r="N3844"/>
      <c r="O3844"/>
      <c r="P3844"/>
      <c r="Q3844"/>
      <c r="R3844"/>
      <c r="S3844"/>
    </row>
    <row r="3845" spans="1:19" ht="15" x14ac:dyDescent="0.2">
      <c r="A3845"/>
      <c r="B3845"/>
      <c r="C3845"/>
      <c r="D3845"/>
      <c r="E3845"/>
      <c r="F3845"/>
      <c r="G3845"/>
      <c r="H3845"/>
      <c r="I3845"/>
      <c r="J3845"/>
      <c r="K3845"/>
      <c r="L3845"/>
      <c r="M3845"/>
      <c r="N3845"/>
      <c r="O3845"/>
      <c r="P3845"/>
      <c r="Q3845"/>
      <c r="R3845"/>
      <c r="S3845"/>
    </row>
    <row r="3846" spans="1:19" ht="15" x14ac:dyDescent="0.2">
      <c r="A3846"/>
      <c r="B3846"/>
      <c r="C3846"/>
      <c r="D3846"/>
      <c r="E3846"/>
      <c r="F3846"/>
      <c r="G3846"/>
      <c r="H3846"/>
      <c r="I3846"/>
      <c r="J3846"/>
      <c r="K3846"/>
      <c r="L3846"/>
      <c r="M3846"/>
      <c r="N3846"/>
      <c r="O3846"/>
      <c r="P3846"/>
      <c r="Q3846"/>
      <c r="R3846"/>
      <c r="S3846"/>
    </row>
    <row r="3847" spans="1:19" ht="15" x14ac:dyDescent="0.2">
      <c r="A3847"/>
      <c r="B3847"/>
      <c r="C3847"/>
      <c r="D3847"/>
      <c r="E3847"/>
      <c r="F3847"/>
      <c r="G3847"/>
      <c r="H3847"/>
      <c r="I3847"/>
      <c r="J3847"/>
      <c r="K3847"/>
      <c r="L3847"/>
      <c r="M3847"/>
      <c r="N3847"/>
      <c r="O3847"/>
      <c r="P3847"/>
      <c r="Q3847"/>
      <c r="R3847"/>
      <c r="S3847"/>
    </row>
    <row r="3848" spans="1:19" ht="15" x14ac:dyDescent="0.2">
      <c r="A3848"/>
      <c r="B3848"/>
      <c r="C3848"/>
      <c r="D3848"/>
      <c r="E3848"/>
      <c r="F3848"/>
      <c r="G3848"/>
      <c r="H3848"/>
      <c r="I3848"/>
      <c r="J3848"/>
      <c r="K3848"/>
      <c r="L3848"/>
      <c r="M3848"/>
      <c r="N3848"/>
      <c r="O3848"/>
      <c r="P3848"/>
      <c r="Q3848"/>
      <c r="R3848"/>
      <c r="S3848"/>
    </row>
    <row r="3849" spans="1:19" ht="15" x14ac:dyDescent="0.2">
      <c r="A3849"/>
      <c r="B3849"/>
      <c r="C3849"/>
      <c r="D3849"/>
      <c r="E3849"/>
      <c r="F3849"/>
      <c r="G3849"/>
      <c r="H3849"/>
      <c r="I3849"/>
      <c r="J3849"/>
      <c r="K3849"/>
      <c r="L3849"/>
      <c r="M3849"/>
      <c r="N3849"/>
      <c r="O3849"/>
      <c r="P3849"/>
      <c r="Q3849"/>
      <c r="R3849"/>
      <c r="S3849"/>
    </row>
    <row r="3850" spans="1:19" ht="15" x14ac:dyDescent="0.2">
      <c r="A3850"/>
      <c r="B3850"/>
      <c r="C3850"/>
      <c r="D3850"/>
      <c r="E3850"/>
      <c r="F3850"/>
      <c r="G3850"/>
      <c r="H3850"/>
      <c r="I3850"/>
      <c r="J3850"/>
      <c r="K3850"/>
      <c r="L3850"/>
      <c r="M3850"/>
      <c r="N3850"/>
      <c r="O3850"/>
      <c r="P3850"/>
      <c r="Q3850"/>
      <c r="R3850"/>
      <c r="S3850"/>
    </row>
    <row r="3851" spans="1:19" ht="15" x14ac:dyDescent="0.2">
      <c r="A3851"/>
      <c r="B3851"/>
      <c r="C3851"/>
      <c r="D3851"/>
      <c r="E3851"/>
      <c r="F3851"/>
      <c r="G3851"/>
      <c r="H3851"/>
      <c r="I3851"/>
      <c r="J3851"/>
      <c r="K3851"/>
      <c r="L3851"/>
      <c r="M3851"/>
      <c r="N3851"/>
      <c r="O3851"/>
      <c r="P3851"/>
      <c r="Q3851"/>
      <c r="R3851"/>
      <c r="S3851"/>
    </row>
    <row r="3852" spans="1:19" ht="15" x14ac:dyDescent="0.2">
      <c r="A3852"/>
      <c r="B3852"/>
      <c r="C3852"/>
      <c r="D3852"/>
      <c r="E3852"/>
      <c r="F3852"/>
      <c r="G3852"/>
      <c r="H3852"/>
      <c r="I3852"/>
      <c r="J3852"/>
      <c r="K3852"/>
      <c r="L3852"/>
      <c r="M3852"/>
      <c r="N3852"/>
      <c r="O3852"/>
      <c r="P3852"/>
      <c r="Q3852"/>
      <c r="R3852"/>
      <c r="S3852"/>
    </row>
    <row r="3853" spans="1:19" ht="15" x14ac:dyDescent="0.2">
      <c r="A3853"/>
      <c r="B3853"/>
      <c r="C3853"/>
      <c r="D3853"/>
      <c r="E3853"/>
      <c r="F3853"/>
      <c r="G3853"/>
      <c r="H3853"/>
      <c r="I3853"/>
      <c r="J3853"/>
      <c r="K3853"/>
      <c r="L3853"/>
      <c r="M3853"/>
      <c r="N3853"/>
      <c r="O3853"/>
      <c r="P3853"/>
      <c r="Q3853"/>
      <c r="R3853"/>
      <c r="S3853"/>
    </row>
    <row r="3854" spans="1:19" ht="15" x14ac:dyDescent="0.2">
      <c r="A3854"/>
      <c r="B3854"/>
      <c r="C3854"/>
      <c r="D3854"/>
      <c r="E3854"/>
      <c r="F3854"/>
      <c r="G3854"/>
      <c r="H3854"/>
      <c r="I3854"/>
      <c r="J3854"/>
      <c r="K3854"/>
      <c r="L3854"/>
      <c r="M3854"/>
      <c r="N3854"/>
      <c r="O3854"/>
      <c r="P3854"/>
      <c r="Q3854"/>
      <c r="R3854"/>
      <c r="S3854"/>
    </row>
    <row r="3855" spans="1:19" ht="15" x14ac:dyDescent="0.2">
      <c r="A3855"/>
      <c r="B3855"/>
      <c r="C3855"/>
      <c r="D3855"/>
      <c r="E3855"/>
      <c r="F3855"/>
      <c r="G3855"/>
      <c r="H3855"/>
      <c r="I3855"/>
      <c r="J3855"/>
      <c r="K3855"/>
      <c r="L3855"/>
      <c r="M3855"/>
      <c r="N3855"/>
      <c r="O3855"/>
      <c r="P3855"/>
      <c r="Q3855"/>
      <c r="R3855"/>
      <c r="S3855"/>
    </row>
    <row r="3856" spans="1:19" ht="15" x14ac:dyDescent="0.2">
      <c r="A3856"/>
      <c r="B3856"/>
      <c r="C3856"/>
      <c r="D3856"/>
      <c r="E3856"/>
      <c r="F3856"/>
      <c r="G3856"/>
      <c r="H3856"/>
      <c r="I3856"/>
      <c r="J3856"/>
      <c r="K3856"/>
      <c r="L3856"/>
      <c r="M3856"/>
      <c r="N3856"/>
      <c r="O3856"/>
      <c r="P3856"/>
      <c r="Q3856"/>
      <c r="R3856"/>
      <c r="S3856"/>
    </row>
    <row r="3857" spans="1:19" ht="15" x14ac:dyDescent="0.2">
      <c r="A3857"/>
      <c r="B3857"/>
      <c r="C3857"/>
      <c r="D3857"/>
      <c r="E3857"/>
      <c r="F3857"/>
      <c r="G3857"/>
      <c r="H3857"/>
      <c r="I3857"/>
      <c r="J3857"/>
      <c r="K3857"/>
      <c r="L3857"/>
      <c r="M3857"/>
      <c r="N3857"/>
      <c r="O3857"/>
      <c r="P3857"/>
      <c r="Q3857"/>
      <c r="R3857"/>
      <c r="S3857"/>
    </row>
    <row r="3858" spans="1:19" ht="15" x14ac:dyDescent="0.2">
      <c r="A3858"/>
      <c r="B3858"/>
      <c r="C3858"/>
      <c r="D3858"/>
      <c r="E3858"/>
      <c r="F3858"/>
      <c r="G3858"/>
      <c r="H3858"/>
      <c r="I3858"/>
      <c r="J3858"/>
      <c r="K3858"/>
      <c r="L3858"/>
      <c r="M3858"/>
      <c r="N3858"/>
      <c r="O3858"/>
      <c r="P3858"/>
      <c r="Q3858"/>
      <c r="R3858"/>
      <c r="S3858"/>
    </row>
    <row r="3859" spans="1:19" ht="15" x14ac:dyDescent="0.2">
      <c r="A3859"/>
      <c r="B3859"/>
      <c r="C3859"/>
      <c r="D3859"/>
      <c r="E3859"/>
      <c r="F3859"/>
      <c r="G3859"/>
      <c r="H3859"/>
      <c r="I3859"/>
      <c r="J3859"/>
      <c r="K3859"/>
      <c r="L3859"/>
      <c r="M3859"/>
      <c r="N3859"/>
      <c r="O3859"/>
      <c r="P3859"/>
      <c r="Q3859"/>
      <c r="R3859"/>
      <c r="S3859"/>
    </row>
    <row r="3860" spans="1:19" ht="15" x14ac:dyDescent="0.2">
      <c r="A3860"/>
      <c r="B3860"/>
      <c r="C3860"/>
      <c r="D3860"/>
      <c r="E3860"/>
      <c r="F3860"/>
      <c r="G3860"/>
      <c r="H3860"/>
      <c r="I3860"/>
      <c r="J3860"/>
      <c r="K3860"/>
      <c r="L3860"/>
      <c r="M3860"/>
      <c r="N3860"/>
      <c r="O3860"/>
      <c r="P3860"/>
      <c r="Q3860"/>
      <c r="R3860"/>
      <c r="S3860"/>
    </row>
    <row r="3861" spans="1:19" ht="15" x14ac:dyDescent="0.2">
      <c r="A3861"/>
      <c r="B3861"/>
      <c r="C3861"/>
      <c r="D3861"/>
      <c r="E3861"/>
      <c r="F3861"/>
      <c r="G3861"/>
      <c r="H3861"/>
      <c r="I3861"/>
      <c r="J3861"/>
      <c r="K3861"/>
      <c r="L3861"/>
      <c r="M3861"/>
      <c r="N3861"/>
      <c r="O3861"/>
      <c r="P3861"/>
      <c r="Q3861"/>
      <c r="R3861"/>
      <c r="S3861"/>
    </row>
    <row r="3862" spans="1:19" ht="15" x14ac:dyDescent="0.2">
      <c r="A3862"/>
      <c r="B3862"/>
      <c r="C3862"/>
      <c r="D3862"/>
      <c r="E3862"/>
      <c r="F3862"/>
      <c r="G3862"/>
      <c r="H3862"/>
      <c r="I3862"/>
      <c r="J3862"/>
      <c r="K3862"/>
      <c r="L3862"/>
      <c r="M3862"/>
      <c r="N3862"/>
      <c r="O3862"/>
      <c r="P3862"/>
      <c r="Q3862"/>
      <c r="R3862"/>
      <c r="S3862"/>
    </row>
    <row r="3863" spans="1:19" ht="15" x14ac:dyDescent="0.2">
      <c r="A3863"/>
      <c r="B3863"/>
      <c r="C3863"/>
      <c r="D3863"/>
      <c r="E3863"/>
      <c r="F3863"/>
      <c r="G3863"/>
      <c r="H3863"/>
      <c r="I3863"/>
      <c r="J3863"/>
      <c r="K3863"/>
      <c r="L3863"/>
      <c r="M3863"/>
      <c r="N3863"/>
      <c r="O3863"/>
      <c r="P3863"/>
      <c r="Q3863"/>
      <c r="R3863"/>
      <c r="S3863"/>
    </row>
    <row r="3864" spans="1:19" ht="15" x14ac:dyDescent="0.2">
      <c r="A3864"/>
      <c r="B3864"/>
      <c r="C3864"/>
      <c r="D3864"/>
      <c r="E3864"/>
      <c r="F3864"/>
      <c r="G3864"/>
      <c r="H3864"/>
      <c r="I3864"/>
      <c r="J3864"/>
      <c r="K3864"/>
      <c r="L3864"/>
      <c r="M3864"/>
      <c r="N3864"/>
      <c r="O3864"/>
      <c r="P3864"/>
      <c r="Q3864"/>
      <c r="R3864"/>
      <c r="S3864"/>
    </row>
    <row r="3865" spans="1:19" ht="15" x14ac:dyDescent="0.2">
      <c r="A3865"/>
      <c r="B3865"/>
      <c r="C3865"/>
      <c r="D3865"/>
      <c r="E3865"/>
      <c r="F3865"/>
      <c r="G3865"/>
      <c r="H3865"/>
      <c r="I3865"/>
      <c r="J3865"/>
      <c r="K3865"/>
      <c r="L3865"/>
      <c r="M3865"/>
      <c r="N3865"/>
      <c r="O3865"/>
      <c r="P3865"/>
      <c r="Q3865"/>
      <c r="R3865"/>
      <c r="S3865"/>
    </row>
    <row r="3866" spans="1:19" ht="15" x14ac:dyDescent="0.2">
      <c r="A3866"/>
      <c r="B3866"/>
      <c r="C3866"/>
      <c r="D3866"/>
      <c r="E3866"/>
      <c r="F3866"/>
      <c r="G3866"/>
      <c r="H3866"/>
      <c r="I3866"/>
      <c r="J3866"/>
      <c r="K3866"/>
      <c r="L3866"/>
      <c r="M3866"/>
      <c r="N3866"/>
      <c r="O3866"/>
      <c r="P3866"/>
      <c r="Q3866"/>
      <c r="R3866"/>
      <c r="S3866"/>
    </row>
    <row r="3867" spans="1:19" ht="15" x14ac:dyDescent="0.2">
      <c r="A3867"/>
      <c r="B3867"/>
      <c r="C3867"/>
      <c r="D3867"/>
      <c r="E3867"/>
      <c r="F3867"/>
      <c r="G3867"/>
      <c r="H3867"/>
      <c r="I3867"/>
      <c r="J3867"/>
      <c r="K3867"/>
      <c r="L3867"/>
      <c r="M3867"/>
      <c r="N3867"/>
      <c r="O3867"/>
      <c r="P3867"/>
      <c r="Q3867"/>
      <c r="R3867"/>
      <c r="S3867"/>
    </row>
    <row r="3868" spans="1:19" ht="15" x14ac:dyDescent="0.2">
      <c r="A3868"/>
      <c r="B3868"/>
      <c r="C3868"/>
      <c r="D3868"/>
      <c r="E3868"/>
      <c r="F3868"/>
      <c r="G3868"/>
      <c r="H3868"/>
      <c r="I3868"/>
      <c r="J3868"/>
      <c r="K3868"/>
      <c r="L3868"/>
      <c r="M3868"/>
      <c r="N3868"/>
      <c r="O3868"/>
      <c r="P3868"/>
      <c r="Q3868"/>
      <c r="R3868"/>
      <c r="S3868"/>
    </row>
    <row r="3869" spans="1:19" ht="15" x14ac:dyDescent="0.2">
      <c r="A3869"/>
      <c r="B3869"/>
      <c r="C3869"/>
      <c r="D3869"/>
      <c r="E3869"/>
      <c r="F3869"/>
      <c r="G3869"/>
      <c r="H3869"/>
      <c r="I3869"/>
      <c r="J3869"/>
      <c r="K3869"/>
      <c r="L3869"/>
      <c r="M3869"/>
      <c r="N3869"/>
      <c r="O3869"/>
      <c r="P3869"/>
      <c r="Q3869"/>
      <c r="R3869"/>
      <c r="S3869"/>
    </row>
    <row r="3870" spans="1:19" ht="15" x14ac:dyDescent="0.2">
      <c r="A3870"/>
      <c r="B3870"/>
      <c r="C3870"/>
      <c r="D3870"/>
      <c r="E3870"/>
      <c r="F3870"/>
      <c r="G3870"/>
      <c r="H3870"/>
      <c r="I3870"/>
      <c r="J3870"/>
      <c r="K3870"/>
      <c r="L3870"/>
      <c r="M3870"/>
      <c r="N3870"/>
      <c r="O3870"/>
      <c r="P3870"/>
      <c r="Q3870"/>
      <c r="R3870"/>
      <c r="S3870"/>
    </row>
    <row r="3871" spans="1:19" ht="15" x14ac:dyDescent="0.2">
      <c r="A3871"/>
      <c r="B3871"/>
      <c r="C3871"/>
      <c r="D3871"/>
      <c r="E3871"/>
      <c r="F3871"/>
      <c r="G3871"/>
      <c r="H3871"/>
      <c r="I3871"/>
      <c r="J3871"/>
      <c r="K3871"/>
      <c r="L3871"/>
      <c r="M3871"/>
      <c r="N3871"/>
      <c r="O3871"/>
      <c r="P3871"/>
      <c r="Q3871"/>
      <c r="R3871"/>
      <c r="S3871"/>
    </row>
    <row r="3872" spans="1:19" ht="15" x14ac:dyDescent="0.2">
      <c r="A3872"/>
      <c r="B3872"/>
      <c r="C3872"/>
      <c r="D3872"/>
      <c r="E3872"/>
      <c r="F3872"/>
      <c r="G3872"/>
      <c r="H3872"/>
      <c r="I3872"/>
      <c r="J3872"/>
      <c r="K3872"/>
      <c r="L3872"/>
      <c r="M3872"/>
      <c r="N3872"/>
      <c r="O3872"/>
      <c r="P3872"/>
      <c r="Q3872"/>
      <c r="R3872"/>
      <c r="S3872"/>
    </row>
    <row r="3873" spans="1:19" ht="15" x14ac:dyDescent="0.2">
      <c r="A3873"/>
      <c r="B3873"/>
      <c r="C3873"/>
      <c r="D3873"/>
      <c r="E3873"/>
      <c r="F3873"/>
      <c r="G3873"/>
      <c r="H3873"/>
      <c r="I3873"/>
      <c r="J3873"/>
      <c r="K3873"/>
      <c r="L3873"/>
      <c r="M3873"/>
      <c r="N3873"/>
      <c r="O3873"/>
      <c r="P3873"/>
      <c r="Q3873"/>
      <c r="R3873"/>
      <c r="S3873"/>
    </row>
    <row r="3874" spans="1:19" ht="15" x14ac:dyDescent="0.2">
      <c r="A3874"/>
      <c r="B3874"/>
      <c r="C3874"/>
      <c r="D3874"/>
      <c r="E3874"/>
      <c r="F3874"/>
      <c r="G3874"/>
      <c r="H3874"/>
      <c r="I3874"/>
      <c r="J3874"/>
      <c r="K3874"/>
      <c r="L3874"/>
      <c r="M3874"/>
      <c r="N3874"/>
      <c r="O3874"/>
      <c r="P3874"/>
      <c r="Q3874"/>
      <c r="R3874"/>
      <c r="S3874"/>
    </row>
    <row r="3875" spans="1:19" ht="15" x14ac:dyDescent="0.2">
      <c r="A3875"/>
      <c r="B3875"/>
      <c r="C3875"/>
      <c r="D3875"/>
      <c r="E3875"/>
      <c r="F3875"/>
      <c r="G3875"/>
      <c r="H3875"/>
      <c r="I3875"/>
      <c r="J3875"/>
      <c r="K3875"/>
      <c r="L3875"/>
      <c r="M3875"/>
      <c r="N3875"/>
      <c r="O3875"/>
      <c r="P3875"/>
      <c r="Q3875"/>
      <c r="R3875"/>
      <c r="S3875"/>
    </row>
    <row r="3876" spans="1:19" ht="15" x14ac:dyDescent="0.2">
      <c r="A3876"/>
      <c r="B3876"/>
      <c r="C3876"/>
      <c r="D3876"/>
      <c r="E3876"/>
      <c r="F3876"/>
      <c r="G3876"/>
      <c r="H3876"/>
      <c r="I3876"/>
      <c r="J3876"/>
      <c r="K3876"/>
      <c r="L3876"/>
      <c r="M3876"/>
      <c r="N3876"/>
      <c r="O3876"/>
      <c r="P3876"/>
      <c r="Q3876"/>
      <c r="R3876"/>
      <c r="S3876"/>
    </row>
    <row r="3877" spans="1:19" ht="15" x14ac:dyDescent="0.2">
      <c r="A3877"/>
      <c r="B3877"/>
      <c r="C3877"/>
      <c r="D3877"/>
      <c r="E3877"/>
      <c r="F3877"/>
      <c r="G3877"/>
      <c r="H3877"/>
      <c r="I3877"/>
      <c r="J3877"/>
      <c r="K3877"/>
      <c r="L3877"/>
      <c r="M3877"/>
      <c r="N3877"/>
      <c r="O3877"/>
      <c r="P3877"/>
      <c r="Q3877"/>
      <c r="R3877"/>
      <c r="S3877"/>
    </row>
    <row r="3878" spans="1:19" ht="15" x14ac:dyDescent="0.2">
      <c r="A3878"/>
      <c r="B3878"/>
      <c r="C3878"/>
      <c r="D3878"/>
      <c r="E3878"/>
      <c r="F3878"/>
      <c r="G3878"/>
      <c r="H3878"/>
      <c r="I3878"/>
      <c r="J3878"/>
      <c r="K3878"/>
      <c r="L3878"/>
      <c r="M3878"/>
      <c r="N3878"/>
      <c r="O3878"/>
      <c r="P3878"/>
      <c r="Q3878"/>
      <c r="R3878"/>
      <c r="S3878"/>
    </row>
    <row r="3879" spans="1:19" ht="15" x14ac:dyDescent="0.2">
      <c r="A3879"/>
      <c r="B3879"/>
      <c r="C3879"/>
      <c r="D3879"/>
      <c r="E3879"/>
      <c r="F3879"/>
      <c r="G3879"/>
      <c r="H3879"/>
      <c r="I3879"/>
      <c r="J3879"/>
      <c r="K3879"/>
      <c r="L3879"/>
      <c r="M3879"/>
      <c r="N3879"/>
      <c r="O3879"/>
      <c r="P3879"/>
      <c r="Q3879"/>
      <c r="R3879"/>
      <c r="S3879"/>
    </row>
    <row r="3880" spans="1:19" ht="15" x14ac:dyDescent="0.2">
      <c r="A3880"/>
      <c r="B3880"/>
      <c r="C3880"/>
      <c r="D3880"/>
      <c r="E3880"/>
      <c r="F3880"/>
      <c r="G3880"/>
      <c r="H3880"/>
      <c r="I3880"/>
      <c r="J3880"/>
      <c r="K3880"/>
      <c r="L3880"/>
      <c r="M3880"/>
      <c r="N3880"/>
      <c r="O3880"/>
      <c r="P3880"/>
      <c r="Q3880"/>
      <c r="R3880"/>
      <c r="S3880"/>
    </row>
    <row r="3881" spans="1:19" ht="15" x14ac:dyDescent="0.2">
      <c r="A3881"/>
      <c r="B3881"/>
      <c r="C3881"/>
      <c r="D3881"/>
      <c r="E3881"/>
      <c r="F3881"/>
      <c r="G3881"/>
      <c r="H3881"/>
      <c r="I3881"/>
      <c r="J3881"/>
      <c r="K3881"/>
      <c r="L3881"/>
      <c r="M3881"/>
      <c r="N3881"/>
      <c r="O3881"/>
      <c r="P3881"/>
      <c r="Q3881"/>
      <c r="R3881"/>
      <c r="S3881"/>
    </row>
    <row r="3882" spans="1:19" ht="15" x14ac:dyDescent="0.2">
      <c r="A3882"/>
      <c r="B3882"/>
      <c r="C3882"/>
      <c r="D3882"/>
      <c r="E3882"/>
      <c r="F3882"/>
      <c r="G3882"/>
      <c r="H3882"/>
      <c r="I3882"/>
      <c r="J3882"/>
      <c r="K3882"/>
      <c r="L3882"/>
      <c r="M3882"/>
      <c r="N3882"/>
      <c r="O3882"/>
      <c r="P3882"/>
      <c r="Q3882"/>
      <c r="R3882"/>
      <c r="S3882"/>
    </row>
    <row r="3883" spans="1:19" ht="15" x14ac:dyDescent="0.2">
      <c r="A3883"/>
      <c r="B3883"/>
      <c r="C3883"/>
      <c r="D3883"/>
      <c r="E3883"/>
      <c r="F3883"/>
      <c r="G3883"/>
      <c r="H3883"/>
      <c r="I3883"/>
      <c r="J3883"/>
      <c r="K3883"/>
      <c r="L3883"/>
      <c r="M3883"/>
      <c r="N3883"/>
      <c r="O3883"/>
      <c r="P3883"/>
      <c r="Q3883"/>
      <c r="R3883"/>
      <c r="S3883"/>
    </row>
    <row r="3884" spans="1:19" ht="15" x14ac:dyDescent="0.2">
      <c r="A3884"/>
      <c r="B3884"/>
      <c r="C3884"/>
      <c r="D3884"/>
      <c r="E3884"/>
      <c r="F3884"/>
      <c r="G3884"/>
      <c r="H3884"/>
      <c r="I3884"/>
      <c r="J3884"/>
      <c r="K3884"/>
      <c r="L3884"/>
      <c r="M3884"/>
      <c r="N3884"/>
      <c r="O3884"/>
      <c r="P3884"/>
      <c r="Q3884"/>
      <c r="R3884"/>
      <c r="S3884"/>
    </row>
    <row r="3885" spans="1:19" ht="15" x14ac:dyDescent="0.2">
      <c r="A3885"/>
      <c r="B3885"/>
      <c r="C3885"/>
      <c r="D3885"/>
      <c r="E3885"/>
      <c r="F3885"/>
      <c r="G3885"/>
      <c r="H3885"/>
      <c r="I3885"/>
      <c r="J3885"/>
      <c r="K3885"/>
      <c r="L3885"/>
      <c r="M3885"/>
      <c r="N3885"/>
      <c r="O3885"/>
      <c r="P3885"/>
      <c r="Q3885"/>
      <c r="R3885"/>
      <c r="S3885"/>
    </row>
    <row r="3886" spans="1:19" ht="15" x14ac:dyDescent="0.2">
      <c r="A3886"/>
      <c r="B3886"/>
      <c r="C3886"/>
      <c r="D3886"/>
      <c r="E3886"/>
      <c r="F3886"/>
      <c r="G3886"/>
      <c r="H3886"/>
      <c r="I3886"/>
      <c r="J3886"/>
      <c r="K3886"/>
      <c r="L3886"/>
      <c r="M3886"/>
      <c r="N3886"/>
      <c r="O3886"/>
      <c r="P3886"/>
      <c r="Q3886"/>
      <c r="R3886"/>
      <c r="S3886"/>
    </row>
    <row r="3887" spans="1:19" ht="15" x14ac:dyDescent="0.2">
      <c r="A3887"/>
      <c r="B3887"/>
      <c r="C3887"/>
      <c r="D3887"/>
      <c r="E3887"/>
      <c r="F3887"/>
      <c r="G3887"/>
      <c r="H3887"/>
      <c r="I3887"/>
      <c r="J3887"/>
      <c r="K3887"/>
      <c r="L3887"/>
      <c r="M3887"/>
      <c r="N3887"/>
      <c r="O3887"/>
      <c r="P3887"/>
      <c r="Q3887"/>
      <c r="R3887"/>
      <c r="S3887"/>
    </row>
    <row r="3888" spans="1:19" ht="15" x14ac:dyDescent="0.2">
      <c r="A3888"/>
      <c r="B3888"/>
      <c r="C3888"/>
      <c r="D3888"/>
      <c r="E3888"/>
      <c r="F3888"/>
      <c r="G3888"/>
      <c r="H3888"/>
      <c r="I3888"/>
      <c r="J3888"/>
      <c r="K3888"/>
      <c r="L3888"/>
      <c r="M3888"/>
      <c r="N3888"/>
      <c r="O3888"/>
      <c r="P3888"/>
      <c r="Q3888"/>
      <c r="R3888"/>
      <c r="S3888"/>
    </row>
    <row r="3889" spans="1:19" ht="15" x14ac:dyDescent="0.2">
      <c r="A3889"/>
      <c r="B3889"/>
      <c r="C3889"/>
      <c r="D3889"/>
      <c r="E3889"/>
      <c r="F3889"/>
      <c r="G3889"/>
      <c r="H3889"/>
      <c r="I3889"/>
      <c r="J3889"/>
      <c r="K3889"/>
      <c r="L3889"/>
      <c r="M3889"/>
      <c r="N3889"/>
      <c r="O3889"/>
      <c r="P3889"/>
      <c r="Q3889"/>
      <c r="R3889"/>
      <c r="S3889"/>
    </row>
    <row r="3890" spans="1:19" ht="15" x14ac:dyDescent="0.2">
      <c r="A3890"/>
      <c r="B3890"/>
      <c r="C3890"/>
      <c r="D3890"/>
      <c r="E3890"/>
      <c r="F3890"/>
      <c r="G3890"/>
      <c r="H3890"/>
      <c r="I3890"/>
      <c r="J3890"/>
      <c r="K3890"/>
      <c r="L3890"/>
      <c r="M3890"/>
      <c r="N3890"/>
      <c r="O3890"/>
      <c r="P3890"/>
      <c r="Q3890"/>
      <c r="R3890"/>
      <c r="S3890"/>
    </row>
    <row r="3891" spans="1:19" ht="15" x14ac:dyDescent="0.2">
      <c r="A3891"/>
      <c r="B3891"/>
      <c r="C3891"/>
      <c r="D3891"/>
      <c r="E3891"/>
      <c r="F3891"/>
      <c r="G3891"/>
      <c r="H3891"/>
      <c r="I3891"/>
      <c r="J3891"/>
      <c r="K3891"/>
      <c r="L3891"/>
      <c r="M3891"/>
      <c r="N3891"/>
      <c r="O3891"/>
      <c r="P3891"/>
      <c r="Q3891"/>
      <c r="R3891"/>
      <c r="S3891"/>
    </row>
    <row r="3892" spans="1:19" ht="15" x14ac:dyDescent="0.2">
      <c r="A3892"/>
      <c r="B3892"/>
      <c r="C3892"/>
      <c r="D3892"/>
      <c r="E3892"/>
      <c r="F3892"/>
      <c r="G3892"/>
      <c r="H3892"/>
      <c r="I3892"/>
      <c r="J3892"/>
      <c r="K3892"/>
      <c r="L3892"/>
      <c r="M3892"/>
      <c r="N3892"/>
      <c r="O3892"/>
      <c r="P3892"/>
      <c r="Q3892"/>
      <c r="R3892"/>
      <c r="S3892"/>
    </row>
    <row r="3893" spans="1:19" ht="15" x14ac:dyDescent="0.2">
      <c r="A3893"/>
      <c r="B3893"/>
      <c r="C3893"/>
      <c r="D3893"/>
      <c r="E3893"/>
      <c r="F3893"/>
      <c r="G3893"/>
      <c r="H3893"/>
      <c r="I3893"/>
      <c r="J3893"/>
      <c r="K3893"/>
      <c r="L3893"/>
      <c r="M3893"/>
      <c r="N3893"/>
      <c r="O3893"/>
      <c r="P3893"/>
      <c r="Q3893"/>
      <c r="R3893"/>
      <c r="S3893"/>
    </row>
    <row r="3894" spans="1:19" ht="15" x14ac:dyDescent="0.2">
      <c r="A3894"/>
      <c r="B3894"/>
      <c r="C3894"/>
      <c r="D3894"/>
      <c r="E3894"/>
      <c r="F3894"/>
      <c r="G3894"/>
      <c r="H3894"/>
      <c r="I3894"/>
      <c r="J3894"/>
      <c r="K3894"/>
      <c r="L3894"/>
      <c r="M3894"/>
      <c r="N3894"/>
      <c r="O3894"/>
      <c r="P3894"/>
      <c r="Q3894"/>
      <c r="R3894"/>
      <c r="S3894"/>
    </row>
    <row r="3895" spans="1:19" ht="15" x14ac:dyDescent="0.2">
      <c r="A3895"/>
      <c r="B3895"/>
      <c r="C3895"/>
      <c r="D3895"/>
      <c r="E3895"/>
      <c r="F3895"/>
      <c r="G3895"/>
      <c r="H3895"/>
      <c r="I3895"/>
      <c r="J3895"/>
      <c r="K3895"/>
      <c r="L3895"/>
      <c r="M3895"/>
      <c r="N3895"/>
      <c r="O3895"/>
      <c r="P3895"/>
      <c r="Q3895"/>
      <c r="R3895"/>
      <c r="S3895"/>
    </row>
    <row r="3896" spans="1:19" ht="15" x14ac:dyDescent="0.2">
      <c r="A3896"/>
      <c r="B3896"/>
      <c r="C3896"/>
      <c r="D3896"/>
      <c r="E3896"/>
      <c r="F3896"/>
      <c r="G3896"/>
      <c r="H3896"/>
      <c r="I3896"/>
      <c r="J3896"/>
      <c r="K3896"/>
      <c r="L3896"/>
      <c r="M3896"/>
      <c r="N3896"/>
      <c r="O3896"/>
      <c r="P3896"/>
      <c r="Q3896"/>
      <c r="R3896"/>
      <c r="S3896"/>
    </row>
    <row r="3897" spans="1:19" ht="15" x14ac:dyDescent="0.2">
      <c r="A3897"/>
      <c r="B3897"/>
      <c r="C3897"/>
      <c r="D3897"/>
      <c r="E3897"/>
      <c r="F3897"/>
      <c r="G3897"/>
      <c r="H3897"/>
      <c r="I3897"/>
      <c r="J3897"/>
      <c r="K3897"/>
      <c r="L3897"/>
      <c r="M3897"/>
      <c r="N3897"/>
      <c r="O3897"/>
      <c r="P3897"/>
      <c r="Q3897"/>
      <c r="R3897"/>
      <c r="S3897"/>
    </row>
    <row r="3898" spans="1:19" ht="15" x14ac:dyDescent="0.2">
      <c r="A3898"/>
      <c r="B3898"/>
      <c r="C3898"/>
      <c r="D3898"/>
      <c r="E3898"/>
      <c r="F3898"/>
      <c r="G3898"/>
      <c r="H3898"/>
      <c r="I3898"/>
      <c r="J3898"/>
      <c r="K3898"/>
      <c r="L3898"/>
      <c r="M3898"/>
      <c r="N3898"/>
      <c r="O3898"/>
      <c r="P3898"/>
      <c r="Q3898"/>
      <c r="R3898"/>
      <c r="S3898"/>
    </row>
    <row r="3899" spans="1:19" ht="15" x14ac:dyDescent="0.2">
      <c r="A3899"/>
      <c r="B3899"/>
      <c r="C3899"/>
      <c r="D3899"/>
      <c r="E3899"/>
      <c r="F3899"/>
      <c r="G3899"/>
      <c r="H3899"/>
      <c r="I3899"/>
      <c r="J3899"/>
      <c r="K3899"/>
      <c r="L3899"/>
      <c r="M3899"/>
      <c r="N3899"/>
      <c r="O3899"/>
      <c r="P3899"/>
      <c r="Q3899"/>
      <c r="R3899"/>
      <c r="S3899"/>
    </row>
    <row r="3900" spans="1:19" ht="15" x14ac:dyDescent="0.2">
      <c r="A3900"/>
      <c r="B3900"/>
      <c r="C3900"/>
      <c r="D3900"/>
      <c r="E3900"/>
      <c r="F3900"/>
      <c r="G3900"/>
      <c r="H3900"/>
      <c r="I3900"/>
      <c r="J3900"/>
      <c r="K3900"/>
      <c r="L3900"/>
      <c r="M3900"/>
      <c r="N3900"/>
      <c r="O3900"/>
      <c r="P3900"/>
      <c r="Q3900"/>
      <c r="R3900"/>
      <c r="S3900"/>
    </row>
    <row r="3901" spans="1:19" ht="15" x14ac:dyDescent="0.2">
      <c r="A3901"/>
      <c r="B3901"/>
      <c r="C3901"/>
      <c r="D3901"/>
      <c r="E3901"/>
      <c r="F3901"/>
      <c r="G3901"/>
      <c r="H3901"/>
      <c r="I3901"/>
      <c r="J3901"/>
      <c r="K3901"/>
      <c r="L3901"/>
      <c r="M3901"/>
      <c r="N3901"/>
      <c r="O3901"/>
      <c r="P3901"/>
      <c r="Q3901"/>
      <c r="R3901"/>
      <c r="S3901"/>
    </row>
    <row r="3902" spans="1:19" ht="15" x14ac:dyDescent="0.2">
      <c r="A3902"/>
      <c r="B3902"/>
      <c r="C3902"/>
      <c r="D3902"/>
      <c r="E3902"/>
      <c r="F3902"/>
      <c r="G3902"/>
      <c r="H3902"/>
      <c r="I3902"/>
      <c r="J3902"/>
      <c r="K3902"/>
      <c r="L3902"/>
      <c r="M3902"/>
      <c r="N3902"/>
      <c r="O3902"/>
      <c r="P3902"/>
      <c r="Q3902"/>
      <c r="R3902"/>
      <c r="S3902"/>
    </row>
    <row r="3903" spans="1:19" ht="15" x14ac:dyDescent="0.2">
      <c r="A3903"/>
      <c r="B3903"/>
      <c r="C3903"/>
      <c r="D3903"/>
      <c r="E3903"/>
      <c r="F3903"/>
      <c r="G3903"/>
      <c r="H3903"/>
      <c r="I3903"/>
      <c r="J3903"/>
      <c r="K3903"/>
      <c r="L3903"/>
      <c r="M3903"/>
      <c r="N3903"/>
      <c r="O3903"/>
      <c r="P3903"/>
      <c r="Q3903"/>
      <c r="R3903"/>
      <c r="S3903"/>
    </row>
    <row r="3904" spans="1:19" ht="15" x14ac:dyDescent="0.2">
      <c r="A3904"/>
      <c r="B3904"/>
      <c r="C3904"/>
      <c r="D3904"/>
      <c r="E3904"/>
      <c r="F3904"/>
      <c r="G3904"/>
      <c r="H3904"/>
      <c r="I3904"/>
      <c r="J3904"/>
      <c r="K3904"/>
      <c r="L3904"/>
      <c r="M3904"/>
      <c r="N3904"/>
      <c r="O3904"/>
      <c r="P3904"/>
      <c r="Q3904"/>
      <c r="R3904"/>
      <c r="S3904"/>
    </row>
    <row r="3905" spans="1:19" ht="15" x14ac:dyDescent="0.2">
      <c r="A3905"/>
      <c r="B3905"/>
      <c r="C3905"/>
      <c r="D3905"/>
      <c r="E3905"/>
      <c r="F3905"/>
      <c r="G3905"/>
      <c r="H3905"/>
      <c r="I3905"/>
      <c r="J3905"/>
      <c r="K3905"/>
      <c r="L3905"/>
      <c r="M3905"/>
      <c r="N3905"/>
      <c r="O3905"/>
      <c r="P3905"/>
      <c r="Q3905"/>
      <c r="R3905"/>
      <c r="S3905"/>
    </row>
    <row r="3906" spans="1:19" ht="15" x14ac:dyDescent="0.2">
      <c r="A3906"/>
      <c r="B3906"/>
      <c r="C3906"/>
      <c r="D3906"/>
      <c r="E3906"/>
      <c r="F3906"/>
      <c r="G3906"/>
      <c r="H3906"/>
      <c r="I3906"/>
      <c r="J3906"/>
      <c r="K3906"/>
      <c r="L3906"/>
      <c r="M3906"/>
      <c r="N3906"/>
      <c r="O3906"/>
      <c r="P3906"/>
      <c r="Q3906"/>
      <c r="R3906"/>
      <c r="S3906"/>
    </row>
    <row r="3907" spans="1:19" ht="15" x14ac:dyDescent="0.2">
      <c r="A3907"/>
      <c r="B3907"/>
      <c r="C3907"/>
      <c r="D3907"/>
      <c r="E3907"/>
      <c r="F3907"/>
      <c r="G3907"/>
      <c r="H3907"/>
      <c r="I3907"/>
      <c r="J3907"/>
      <c r="K3907"/>
      <c r="L3907"/>
      <c r="M3907"/>
      <c r="N3907"/>
      <c r="O3907"/>
      <c r="P3907"/>
      <c r="Q3907"/>
      <c r="R3907"/>
      <c r="S3907"/>
    </row>
    <row r="3908" spans="1:19" ht="15" x14ac:dyDescent="0.2">
      <c r="A3908"/>
      <c r="B3908"/>
      <c r="C3908"/>
      <c r="D3908"/>
      <c r="E3908"/>
      <c r="F3908"/>
      <c r="G3908"/>
      <c r="H3908"/>
      <c r="I3908"/>
      <c r="J3908"/>
      <c r="K3908"/>
      <c r="L3908"/>
      <c r="M3908"/>
      <c r="N3908"/>
      <c r="O3908"/>
      <c r="P3908"/>
      <c r="Q3908"/>
      <c r="R3908"/>
      <c r="S3908"/>
    </row>
    <row r="3909" spans="1:19" ht="15" x14ac:dyDescent="0.2">
      <c r="A3909"/>
      <c r="B3909"/>
      <c r="C3909"/>
      <c r="D3909"/>
      <c r="E3909"/>
      <c r="F3909"/>
      <c r="G3909"/>
      <c r="H3909"/>
      <c r="I3909"/>
      <c r="J3909"/>
      <c r="K3909"/>
      <c r="L3909"/>
      <c r="M3909"/>
      <c r="N3909"/>
      <c r="O3909"/>
      <c r="P3909"/>
      <c r="Q3909"/>
      <c r="R3909"/>
      <c r="S3909"/>
    </row>
    <row r="3910" spans="1:19" ht="15" x14ac:dyDescent="0.2">
      <c r="A3910"/>
      <c r="B3910"/>
      <c r="C3910"/>
      <c r="D3910"/>
      <c r="E3910"/>
      <c r="F3910"/>
      <c r="G3910"/>
      <c r="H3910"/>
      <c r="I3910"/>
      <c r="J3910"/>
      <c r="K3910"/>
      <c r="L3910"/>
      <c r="M3910"/>
      <c r="N3910"/>
      <c r="O3910"/>
      <c r="P3910"/>
      <c r="Q3910"/>
      <c r="R3910"/>
      <c r="S3910"/>
    </row>
    <row r="3911" spans="1:19" ht="15" x14ac:dyDescent="0.2">
      <c r="A3911"/>
      <c r="B3911"/>
      <c r="C3911"/>
      <c r="D3911"/>
      <c r="E3911"/>
      <c r="F3911"/>
      <c r="G3911"/>
      <c r="H3911"/>
      <c r="I3911"/>
      <c r="J3911"/>
      <c r="K3911"/>
      <c r="L3911"/>
      <c r="M3911"/>
      <c r="N3911"/>
      <c r="O3911"/>
      <c r="P3911"/>
      <c r="Q3911"/>
      <c r="R3911"/>
      <c r="S3911"/>
    </row>
    <row r="3912" spans="1:19" ht="15" x14ac:dyDescent="0.2">
      <c r="A3912"/>
      <c r="B3912"/>
      <c r="C3912"/>
      <c r="D3912"/>
      <c r="E3912"/>
      <c r="F3912"/>
      <c r="G3912"/>
      <c r="H3912"/>
      <c r="I3912"/>
      <c r="J3912"/>
      <c r="K3912"/>
      <c r="L3912"/>
      <c r="M3912"/>
      <c r="N3912"/>
      <c r="O3912"/>
      <c r="P3912"/>
      <c r="Q3912"/>
      <c r="R3912"/>
      <c r="S3912"/>
    </row>
    <row r="3913" spans="1:19" ht="15" x14ac:dyDescent="0.2">
      <c r="A3913"/>
      <c r="B3913"/>
      <c r="C3913"/>
      <c r="D3913"/>
      <c r="E3913"/>
      <c r="F3913"/>
      <c r="G3913"/>
      <c r="H3913"/>
      <c r="I3913"/>
      <c r="J3913"/>
      <c r="K3913"/>
      <c r="L3913"/>
      <c r="M3913"/>
      <c r="N3913"/>
      <c r="O3913"/>
      <c r="P3913"/>
      <c r="Q3913"/>
      <c r="R3913"/>
      <c r="S3913"/>
    </row>
    <row r="3914" spans="1:19" ht="15" x14ac:dyDescent="0.2">
      <c r="A3914"/>
      <c r="B3914"/>
      <c r="C3914"/>
      <c r="D3914"/>
      <c r="E3914"/>
      <c r="F3914"/>
      <c r="G3914"/>
      <c r="H3914"/>
      <c r="I3914"/>
      <c r="J3914"/>
      <c r="K3914"/>
      <c r="L3914"/>
      <c r="M3914"/>
      <c r="N3914"/>
      <c r="O3914"/>
      <c r="P3914"/>
      <c r="Q3914"/>
      <c r="R3914"/>
      <c r="S3914"/>
    </row>
    <row r="3915" spans="1:19" ht="15" x14ac:dyDescent="0.2">
      <c r="A3915"/>
      <c r="B3915"/>
      <c r="C3915"/>
      <c r="D3915"/>
      <c r="E3915"/>
      <c r="F3915"/>
      <c r="G3915"/>
      <c r="H3915"/>
      <c r="I3915"/>
      <c r="J3915"/>
      <c r="K3915"/>
      <c r="L3915"/>
      <c r="M3915"/>
      <c r="N3915"/>
      <c r="O3915"/>
      <c r="P3915"/>
      <c r="Q3915"/>
      <c r="R3915"/>
      <c r="S3915"/>
    </row>
    <row r="3916" spans="1:19" ht="15" x14ac:dyDescent="0.2">
      <c r="A3916"/>
      <c r="B3916"/>
      <c r="C3916"/>
      <c r="D3916"/>
      <c r="E3916"/>
      <c r="F3916"/>
      <c r="G3916"/>
      <c r="H3916"/>
      <c r="I3916"/>
      <c r="J3916"/>
      <c r="K3916"/>
      <c r="L3916"/>
      <c r="M3916"/>
      <c r="N3916"/>
      <c r="O3916"/>
      <c r="P3916"/>
      <c r="Q3916"/>
      <c r="R3916"/>
      <c r="S3916"/>
    </row>
    <row r="3917" spans="1:19" ht="15" x14ac:dyDescent="0.2">
      <c r="A3917"/>
      <c r="B3917"/>
      <c r="C3917"/>
      <c r="D3917"/>
      <c r="E3917"/>
      <c r="F3917"/>
      <c r="G3917"/>
      <c r="H3917"/>
      <c r="I3917"/>
      <c r="J3917"/>
      <c r="K3917"/>
      <c r="L3917"/>
      <c r="M3917"/>
      <c r="N3917"/>
      <c r="O3917"/>
      <c r="P3917"/>
      <c r="Q3917"/>
      <c r="R3917"/>
      <c r="S3917"/>
    </row>
    <row r="3918" spans="1:19" ht="15" x14ac:dyDescent="0.2">
      <c r="A3918"/>
      <c r="B3918"/>
      <c r="C3918"/>
      <c r="D3918"/>
      <c r="E3918"/>
      <c r="F3918"/>
      <c r="G3918"/>
      <c r="H3918"/>
      <c r="I3918"/>
      <c r="J3918"/>
      <c r="K3918"/>
      <c r="L3918"/>
      <c r="M3918"/>
      <c r="N3918"/>
      <c r="O3918"/>
      <c r="P3918"/>
      <c r="Q3918"/>
      <c r="R3918"/>
      <c r="S3918"/>
    </row>
    <row r="3919" spans="1:19" ht="15" x14ac:dyDescent="0.2">
      <c r="A3919"/>
      <c r="B3919"/>
      <c r="C3919"/>
      <c r="D3919"/>
      <c r="E3919"/>
      <c r="F3919"/>
      <c r="G3919"/>
      <c r="H3919"/>
      <c r="I3919"/>
      <c r="J3919"/>
      <c r="K3919"/>
      <c r="L3919"/>
      <c r="M3919"/>
      <c r="N3919"/>
      <c r="O3919"/>
      <c r="P3919"/>
      <c r="Q3919"/>
      <c r="R3919"/>
      <c r="S3919"/>
    </row>
    <row r="3920" spans="1:19" ht="15" x14ac:dyDescent="0.2">
      <c r="A3920"/>
      <c r="B3920"/>
      <c r="C3920"/>
      <c r="D3920"/>
      <c r="E3920"/>
      <c r="F3920"/>
      <c r="G3920"/>
      <c r="H3920"/>
      <c r="I3920"/>
      <c r="J3920"/>
      <c r="K3920"/>
      <c r="L3920"/>
      <c r="M3920"/>
      <c r="N3920"/>
      <c r="O3920"/>
      <c r="P3920"/>
      <c r="Q3920"/>
      <c r="R3920"/>
      <c r="S3920"/>
    </row>
    <row r="3921" spans="1:19" ht="15" x14ac:dyDescent="0.2">
      <c r="A3921"/>
      <c r="B3921"/>
      <c r="C3921"/>
      <c r="D3921"/>
      <c r="E3921"/>
      <c r="F3921"/>
      <c r="G3921"/>
      <c r="H3921"/>
      <c r="I3921"/>
      <c r="J3921"/>
      <c r="K3921"/>
      <c r="L3921"/>
      <c r="M3921"/>
      <c r="N3921"/>
      <c r="O3921"/>
      <c r="P3921"/>
      <c r="Q3921"/>
      <c r="R3921"/>
      <c r="S3921"/>
    </row>
    <row r="3922" spans="1:19" ht="15" x14ac:dyDescent="0.2">
      <c r="A3922"/>
      <c r="B3922"/>
      <c r="C3922"/>
      <c r="D3922"/>
      <c r="E3922"/>
      <c r="F3922"/>
      <c r="G3922"/>
      <c r="H3922"/>
      <c r="I3922"/>
      <c r="J3922"/>
      <c r="K3922"/>
      <c r="L3922"/>
      <c r="M3922"/>
      <c r="N3922"/>
      <c r="O3922"/>
      <c r="P3922"/>
      <c r="Q3922"/>
      <c r="R3922"/>
      <c r="S3922"/>
    </row>
    <row r="3923" spans="1:19" ht="15" x14ac:dyDescent="0.2">
      <c r="A3923"/>
      <c r="B3923"/>
      <c r="C3923"/>
      <c r="D3923"/>
      <c r="E3923"/>
      <c r="F3923"/>
      <c r="G3923"/>
      <c r="H3923"/>
      <c r="I3923"/>
      <c r="J3923"/>
      <c r="K3923"/>
      <c r="L3923"/>
      <c r="M3923"/>
      <c r="N3923"/>
      <c r="O3923"/>
      <c r="P3923"/>
      <c r="Q3923"/>
      <c r="R3923"/>
      <c r="S3923"/>
    </row>
    <row r="3924" spans="1:19" ht="15" x14ac:dyDescent="0.2">
      <c r="A3924"/>
      <c r="B3924"/>
      <c r="C3924"/>
      <c r="D3924"/>
      <c r="E3924"/>
      <c r="F3924"/>
      <c r="G3924"/>
      <c r="H3924"/>
      <c r="I3924"/>
      <c r="J3924"/>
      <c r="K3924"/>
      <c r="L3924"/>
      <c r="M3924"/>
      <c r="N3924"/>
      <c r="O3924"/>
      <c r="P3924"/>
      <c r="Q3924"/>
      <c r="R3924"/>
      <c r="S3924"/>
    </row>
    <row r="3925" spans="1:19" ht="15" x14ac:dyDescent="0.2">
      <c r="A3925"/>
      <c r="B3925"/>
      <c r="C3925"/>
      <c r="D3925"/>
      <c r="E3925"/>
      <c r="F3925"/>
      <c r="G3925"/>
      <c r="H3925"/>
      <c r="I3925"/>
      <c r="J3925"/>
      <c r="K3925"/>
      <c r="L3925"/>
      <c r="M3925"/>
      <c r="N3925"/>
      <c r="O3925"/>
      <c r="P3925"/>
      <c r="Q3925"/>
      <c r="R3925"/>
      <c r="S3925"/>
    </row>
    <row r="3926" spans="1:19" ht="15" x14ac:dyDescent="0.2">
      <c r="A3926"/>
      <c r="B3926"/>
      <c r="C3926"/>
      <c r="D3926"/>
      <c r="E3926"/>
      <c r="F3926"/>
      <c r="G3926"/>
      <c r="H3926"/>
      <c r="I3926"/>
      <c r="J3926"/>
      <c r="K3926"/>
      <c r="L3926"/>
      <c r="M3926"/>
      <c r="N3926"/>
      <c r="O3926"/>
      <c r="P3926"/>
      <c r="Q3926"/>
      <c r="R3926"/>
      <c r="S3926"/>
    </row>
    <row r="3927" spans="1:19" ht="15" x14ac:dyDescent="0.2">
      <c r="A3927"/>
      <c r="B3927"/>
      <c r="C3927"/>
      <c r="D3927"/>
      <c r="E3927"/>
      <c r="F3927"/>
      <c r="G3927"/>
      <c r="H3927"/>
      <c r="I3927"/>
      <c r="J3927"/>
      <c r="K3927"/>
      <c r="L3927"/>
      <c r="M3927"/>
      <c r="N3927"/>
      <c r="O3927"/>
      <c r="P3927"/>
      <c r="Q3927"/>
      <c r="R3927"/>
      <c r="S3927"/>
    </row>
    <row r="3928" spans="1:19" ht="15" x14ac:dyDescent="0.2">
      <c r="A3928"/>
      <c r="B3928"/>
      <c r="C3928"/>
      <c r="D3928"/>
      <c r="E3928"/>
      <c r="F3928"/>
      <c r="G3928"/>
      <c r="H3928"/>
      <c r="I3928"/>
      <c r="J3928"/>
      <c r="K3928"/>
      <c r="L3928"/>
      <c r="M3928"/>
      <c r="N3928"/>
      <c r="O3928"/>
      <c r="P3928"/>
      <c r="Q3928"/>
      <c r="R3928"/>
      <c r="S3928"/>
    </row>
    <row r="3929" spans="1:19" ht="15" x14ac:dyDescent="0.2">
      <c r="A3929"/>
      <c r="B3929"/>
      <c r="C3929"/>
      <c r="D3929"/>
      <c r="E3929"/>
      <c r="F3929"/>
      <c r="G3929"/>
      <c r="H3929"/>
      <c r="I3929"/>
      <c r="J3929"/>
      <c r="K3929"/>
      <c r="L3929"/>
      <c r="M3929"/>
      <c r="N3929"/>
      <c r="O3929"/>
      <c r="P3929"/>
      <c r="Q3929"/>
      <c r="R3929"/>
      <c r="S3929"/>
    </row>
    <row r="3930" spans="1:19" ht="15" x14ac:dyDescent="0.2">
      <c r="A3930"/>
      <c r="B3930"/>
      <c r="C3930"/>
      <c r="D3930"/>
      <c r="E3930"/>
      <c r="F3930"/>
      <c r="G3930"/>
      <c r="H3930"/>
      <c r="I3930"/>
      <c r="J3930"/>
      <c r="K3930"/>
      <c r="L3930"/>
      <c r="M3930"/>
      <c r="N3930"/>
      <c r="O3930"/>
      <c r="P3930"/>
      <c r="Q3930"/>
      <c r="R3930"/>
      <c r="S3930"/>
    </row>
    <row r="3931" spans="1:19" ht="15" x14ac:dyDescent="0.2">
      <c r="A3931"/>
      <c r="B3931"/>
      <c r="C3931"/>
      <c r="D3931"/>
      <c r="E3931"/>
      <c r="F3931"/>
      <c r="G3931"/>
      <c r="H3931"/>
      <c r="I3931"/>
      <c r="J3931"/>
      <c r="K3931"/>
      <c r="L3931"/>
      <c r="M3931"/>
      <c r="N3931"/>
      <c r="O3931"/>
      <c r="P3931"/>
      <c r="Q3931"/>
      <c r="R3931"/>
      <c r="S3931"/>
    </row>
    <row r="3932" spans="1:19" ht="15" x14ac:dyDescent="0.2">
      <c r="A3932"/>
      <c r="B3932"/>
      <c r="C3932"/>
      <c r="D3932"/>
      <c r="E3932"/>
      <c r="F3932"/>
      <c r="G3932"/>
      <c r="H3932"/>
      <c r="I3932"/>
      <c r="J3932"/>
      <c r="K3932"/>
      <c r="L3932"/>
      <c r="M3932"/>
      <c r="N3932"/>
      <c r="O3932"/>
      <c r="P3932"/>
      <c r="Q3932"/>
      <c r="R3932"/>
      <c r="S3932"/>
    </row>
    <row r="3933" spans="1:19" ht="15" x14ac:dyDescent="0.2">
      <c r="A3933"/>
      <c r="B3933"/>
      <c r="C3933"/>
      <c r="D3933"/>
      <c r="E3933"/>
      <c r="F3933"/>
      <c r="G3933"/>
      <c r="H3933"/>
      <c r="I3933"/>
      <c r="J3933"/>
      <c r="K3933"/>
      <c r="L3933"/>
      <c r="M3933"/>
      <c r="N3933"/>
      <c r="O3933"/>
      <c r="P3933"/>
      <c r="Q3933"/>
      <c r="R3933"/>
      <c r="S3933"/>
    </row>
    <row r="3934" spans="1:19" ht="15" x14ac:dyDescent="0.2">
      <c r="A3934"/>
      <c r="B3934"/>
      <c r="C3934"/>
      <c r="D3934"/>
      <c r="E3934"/>
      <c r="F3934"/>
      <c r="G3934"/>
      <c r="H3934"/>
      <c r="I3934"/>
      <c r="J3934"/>
      <c r="K3934"/>
      <c r="L3934"/>
      <c r="M3934"/>
      <c r="N3934"/>
      <c r="O3934"/>
      <c r="P3934"/>
      <c r="Q3934"/>
      <c r="R3934"/>
      <c r="S3934"/>
    </row>
    <row r="3935" spans="1:19" ht="15" x14ac:dyDescent="0.2">
      <c r="A3935"/>
      <c r="B3935"/>
      <c r="C3935"/>
      <c r="D3935"/>
      <c r="E3935"/>
      <c r="F3935"/>
      <c r="G3935"/>
      <c r="H3935"/>
      <c r="I3935"/>
      <c r="J3935"/>
      <c r="K3935"/>
      <c r="L3935"/>
      <c r="M3935"/>
      <c r="N3935"/>
      <c r="O3935"/>
      <c r="P3935"/>
      <c r="Q3935"/>
      <c r="R3935"/>
      <c r="S3935"/>
    </row>
    <row r="3936" spans="1:19" ht="15" x14ac:dyDescent="0.2">
      <c r="A3936"/>
      <c r="B3936"/>
      <c r="C3936"/>
      <c r="D3936"/>
      <c r="E3936"/>
      <c r="F3936"/>
      <c r="G3936"/>
      <c r="H3936"/>
      <c r="I3936"/>
      <c r="J3936"/>
      <c r="K3936"/>
      <c r="L3936"/>
      <c r="M3936"/>
      <c r="N3936"/>
      <c r="O3936"/>
      <c r="P3936"/>
      <c r="Q3936"/>
      <c r="R3936"/>
      <c r="S3936"/>
    </row>
    <row r="3937" spans="1:19" ht="15" x14ac:dyDescent="0.2">
      <c r="A3937"/>
      <c r="B3937"/>
      <c r="C3937"/>
      <c r="D3937"/>
      <c r="E3937"/>
      <c r="F3937"/>
      <c r="G3937"/>
      <c r="H3937"/>
      <c r="I3937"/>
      <c r="J3937"/>
      <c r="K3937"/>
      <c r="L3937"/>
      <c r="M3937"/>
      <c r="N3937"/>
      <c r="O3937"/>
      <c r="P3937"/>
      <c r="Q3937"/>
      <c r="R3937"/>
      <c r="S3937"/>
    </row>
    <row r="3938" spans="1:19" ht="15" x14ac:dyDescent="0.2">
      <c r="A3938"/>
      <c r="B3938"/>
      <c r="C3938"/>
      <c r="D3938"/>
      <c r="E3938"/>
      <c r="F3938"/>
      <c r="G3938"/>
      <c r="H3938"/>
      <c r="I3938"/>
      <c r="J3938"/>
      <c r="K3938"/>
      <c r="L3938"/>
      <c r="M3938"/>
      <c r="N3938"/>
      <c r="O3938"/>
      <c r="P3938"/>
      <c r="Q3938"/>
      <c r="R3938"/>
      <c r="S3938"/>
    </row>
    <row r="3939" spans="1:19" ht="15" x14ac:dyDescent="0.2">
      <c r="A3939"/>
      <c r="B3939"/>
      <c r="C3939"/>
      <c r="D3939"/>
      <c r="E3939"/>
      <c r="F3939"/>
      <c r="G3939"/>
      <c r="H3939"/>
      <c r="I3939"/>
      <c r="J3939"/>
      <c r="K3939"/>
      <c r="L3939"/>
      <c r="M3939"/>
      <c r="N3939"/>
      <c r="O3939"/>
      <c r="P3939"/>
      <c r="Q3939"/>
      <c r="R3939"/>
      <c r="S3939"/>
    </row>
    <row r="3940" spans="1:19" ht="15" x14ac:dyDescent="0.2">
      <c r="A3940"/>
      <c r="B3940"/>
      <c r="C3940"/>
      <c r="D3940"/>
      <c r="E3940"/>
      <c r="F3940"/>
      <c r="G3940"/>
      <c r="H3940"/>
      <c r="I3940"/>
      <c r="J3940"/>
      <c r="K3940"/>
      <c r="L3940"/>
      <c r="M3940"/>
      <c r="N3940"/>
      <c r="O3940"/>
      <c r="P3940"/>
      <c r="Q3940"/>
      <c r="R3940"/>
      <c r="S3940"/>
    </row>
    <row r="3941" spans="1:19" ht="15" x14ac:dyDescent="0.2">
      <c r="A3941"/>
      <c r="B3941"/>
      <c r="C3941"/>
      <c r="D3941"/>
      <c r="E3941"/>
      <c r="F3941"/>
      <c r="G3941"/>
      <c r="H3941"/>
      <c r="I3941"/>
      <c r="J3941"/>
      <c r="K3941"/>
      <c r="L3941"/>
      <c r="M3941"/>
      <c r="N3941"/>
      <c r="O3941"/>
      <c r="P3941"/>
      <c r="Q3941"/>
      <c r="R3941"/>
      <c r="S3941"/>
    </row>
    <row r="3942" spans="1:19" ht="15" x14ac:dyDescent="0.2">
      <c r="A3942"/>
      <c r="B3942"/>
      <c r="C3942"/>
      <c r="D3942"/>
      <c r="E3942"/>
      <c r="F3942"/>
      <c r="G3942"/>
      <c r="H3942"/>
      <c r="I3942"/>
      <c r="J3942"/>
      <c r="K3942"/>
      <c r="L3942"/>
      <c r="M3942"/>
      <c r="N3942"/>
      <c r="O3942"/>
      <c r="P3942"/>
      <c r="Q3942"/>
      <c r="R3942"/>
      <c r="S3942"/>
    </row>
    <row r="3943" spans="1:19" ht="15" x14ac:dyDescent="0.2">
      <c r="A3943"/>
      <c r="B3943"/>
      <c r="C3943"/>
      <c r="D3943"/>
      <c r="E3943"/>
      <c r="F3943"/>
      <c r="G3943"/>
      <c r="H3943"/>
      <c r="I3943"/>
      <c r="J3943"/>
      <c r="K3943"/>
      <c r="L3943"/>
      <c r="M3943"/>
      <c r="N3943"/>
      <c r="O3943"/>
      <c r="P3943"/>
      <c r="Q3943"/>
      <c r="R3943"/>
      <c r="S3943"/>
    </row>
    <row r="3944" spans="1:19" ht="15" x14ac:dyDescent="0.2">
      <c r="A3944"/>
      <c r="B3944"/>
      <c r="C3944"/>
      <c r="D3944"/>
      <c r="E3944"/>
      <c r="F3944"/>
      <c r="G3944"/>
      <c r="H3944"/>
      <c r="I3944"/>
      <c r="J3944"/>
      <c r="K3944"/>
      <c r="L3944"/>
      <c r="M3944"/>
      <c r="N3944"/>
      <c r="O3944"/>
      <c r="P3944"/>
      <c r="Q3944"/>
      <c r="R3944"/>
      <c r="S3944"/>
    </row>
    <row r="3945" spans="1:19" ht="15" x14ac:dyDescent="0.2">
      <c r="A3945"/>
      <c r="B3945"/>
      <c r="C3945"/>
      <c r="D3945"/>
      <c r="E3945"/>
      <c r="F3945"/>
      <c r="G3945"/>
      <c r="H3945"/>
      <c r="I3945"/>
      <c r="J3945"/>
      <c r="K3945"/>
      <c r="L3945"/>
      <c r="M3945"/>
      <c r="N3945"/>
      <c r="O3945"/>
      <c r="P3945"/>
      <c r="Q3945"/>
      <c r="R3945"/>
      <c r="S3945"/>
    </row>
    <row r="3946" spans="1:19" ht="15" x14ac:dyDescent="0.2">
      <c r="A3946"/>
      <c r="B3946"/>
      <c r="C3946"/>
      <c r="D3946"/>
      <c r="E3946"/>
      <c r="F3946"/>
      <c r="G3946"/>
      <c r="H3946"/>
      <c r="I3946"/>
      <c r="J3946"/>
      <c r="K3946"/>
      <c r="L3946"/>
      <c r="M3946"/>
      <c r="N3946"/>
      <c r="O3946"/>
      <c r="P3946"/>
      <c r="Q3946"/>
      <c r="R3946"/>
      <c r="S3946"/>
    </row>
    <row r="3947" spans="1:19" ht="15" x14ac:dyDescent="0.2">
      <c r="A3947"/>
      <c r="B3947"/>
      <c r="C3947"/>
      <c r="D3947"/>
      <c r="E3947"/>
      <c r="F3947"/>
      <c r="G3947"/>
      <c r="H3947"/>
      <c r="I3947"/>
      <c r="J3947"/>
      <c r="K3947"/>
      <c r="L3947"/>
      <c r="M3947"/>
      <c r="N3947"/>
      <c r="O3947"/>
      <c r="P3947"/>
      <c r="Q3947"/>
      <c r="R3947"/>
      <c r="S3947"/>
    </row>
    <row r="3948" spans="1:19" ht="15" x14ac:dyDescent="0.2">
      <c r="A3948"/>
      <c r="B3948"/>
      <c r="C3948"/>
      <c r="D3948"/>
      <c r="E3948"/>
      <c r="F3948"/>
      <c r="G3948"/>
      <c r="H3948"/>
      <c r="I3948"/>
      <c r="J3948"/>
      <c r="K3948"/>
      <c r="L3948"/>
      <c r="M3948"/>
      <c r="N3948"/>
      <c r="O3948"/>
      <c r="P3948"/>
      <c r="Q3948"/>
      <c r="R3948"/>
      <c r="S3948"/>
    </row>
    <row r="3949" spans="1:19" ht="15" x14ac:dyDescent="0.2">
      <c r="A3949"/>
      <c r="B3949"/>
      <c r="C3949"/>
      <c r="D3949"/>
      <c r="E3949"/>
      <c r="F3949"/>
      <c r="G3949"/>
      <c r="H3949"/>
      <c r="I3949"/>
      <c r="J3949"/>
      <c r="K3949"/>
      <c r="L3949"/>
      <c r="M3949"/>
      <c r="N3949"/>
      <c r="O3949"/>
      <c r="P3949"/>
      <c r="Q3949"/>
      <c r="R3949"/>
      <c r="S3949"/>
    </row>
    <row r="3950" spans="1:19" ht="15" x14ac:dyDescent="0.2">
      <c r="A3950"/>
      <c r="B3950"/>
      <c r="C3950"/>
      <c r="D3950"/>
      <c r="E3950"/>
      <c r="F3950"/>
      <c r="G3950"/>
      <c r="H3950"/>
      <c r="I3950"/>
      <c r="J3950"/>
      <c r="K3950"/>
      <c r="L3950"/>
      <c r="M3950"/>
      <c r="N3950"/>
      <c r="O3950"/>
      <c r="P3950"/>
      <c r="Q3950"/>
      <c r="R3950"/>
      <c r="S3950"/>
    </row>
    <row r="3951" spans="1:19" ht="15" x14ac:dyDescent="0.2">
      <c r="A3951"/>
      <c r="B3951"/>
      <c r="C3951"/>
      <c r="D3951"/>
      <c r="E3951"/>
      <c r="F3951"/>
      <c r="G3951"/>
      <c r="H3951"/>
      <c r="I3951"/>
      <c r="J3951"/>
      <c r="K3951"/>
      <c r="L3951"/>
      <c r="M3951"/>
      <c r="N3951"/>
      <c r="O3951"/>
      <c r="P3951"/>
      <c r="Q3951"/>
      <c r="R3951"/>
      <c r="S3951"/>
    </row>
    <row r="3952" spans="1:19" ht="15" x14ac:dyDescent="0.2">
      <c r="A3952"/>
      <c r="B3952"/>
      <c r="C3952"/>
      <c r="D3952"/>
      <c r="E3952"/>
      <c r="F3952"/>
      <c r="G3952"/>
      <c r="H3952"/>
      <c r="I3952"/>
      <c r="J3952"/>
      <c r="K3952"/>
      <c r="L3952"/>
      <c r="M3952"/>
      <c r="N3952"/>
      <c r="O3952"/>
      <c r="P3952"/>
      <c r="Q3952"/>
      <c r="R3952"/>
      <c r="S3952"/>
    </row>
    <row r="3953" spans="1:19" ht="15" x14ac:dyDescent="0.2">
      <c r="A3953"/>
      <c r="B3953"/>
      <c r="C3953"/>
      <c r="D3953"/>
      <c r="E3953"/>
      <c r="F3953"/>
      <c r="G3953"/>
      <c r="H3953"/>
      <c r="I3953"/>
      <c r="J3953"/>
      <c r="K3953"/>
      <c r="L3953"/>
      <c r="M3953"/>
      <c r="N3953"/>
      <c r="O3953"/>
      <c r="P3953"/>
      <c r="Q3953"/>
      <c r="R3953"/>
      <c r="S3953"/>
    </row>
    <row r="3954" spans="1:19" ht="15" x14ac:dyDescent="0.2">
      <c r="A3954"/>
      <c r="B3954"/>
      <c r="C3954"/>
      <c r="D3954"/>
      <c r="E3954"/>
      <c r="F3954"/>
      <c r="G3954"/>
      <c r="H3954"/>
      <c r="I3954"/>
      <c r="J3954"/>
      <c r="K3954"/>
      <c r="L3954"/>
      <c r="M3954"/>
      <c r="N3954"/>
      <c r="O3954"/>
      <c r="P3954"/>
      <c r="Q3954"/>
      <c r="R3954"/>
      <c r="S3954"/>
    </row>
    <row r="3955" spans="1:19" ht="15" x14ac:dyDescent="0.2">
      <c r="A3955"/>
      <c r="B3955"/>
      <c r="C3955"/>
      <c r="D3955"/>
      <c r="E3955"/>
      <c r="F3955"/>
      <c r="G3955"/>
      <c r="H3955"/>
      <c r="I3955"/>
      <c r="J3955"/>
      <c r="K3955"/>
      <c r="L3955"/>
      <c r="M3955"/>
      <c r="N3955"/>
      <c r="O3955"/>
      <c r="P3955"/>
      <c r="Q3955"/>
      <c r="R3955"/>
      <c r="S3955"/>
    </row>
    <row r="3956" spans="1:19" ht="15" x14ac:dyDescent="0.2">
      <c r="A3956"/>
      <c r="B3956"/>
      <c r="C3956"/>
      <c r="D3956"/>
      <c r="E3956"/>
      <c r="F3956"/>
      <c r="G3956"/>
      <c r="H3956"/>
      <c r="I3956"/>
      <c r="J3956"/>
      <c r="K3956"/>
      <c r="L3956"/>
      <c r="M3956"/>
      <c r="N3956"/>
      <c r="O3956"/>
      <c r="P3956"/>
      <c r="Q3956"/>
      <c r="R3956"/>
      <c r="S3956"/>
    </row>
    <row r="3957" spans="1:19" ht="15" x14ac:dyDescent="0.2">
      <c r="A3957"/>
      <c r="B3957"/>
      <c r="C3957"/>
      <c r="D3957"/>
      <c r="E3957"/>
      <c r="F3957"/>
      <c r="G3957"/>
      <c r="H3957"/>
      <c r="I3957"/>
      <c r="J3957"/>
      <c r="K3957"/>
      <c r="L3957"/>
      <c r="M3957"/>
      <c r="N3957"/>
      <c r="O3957"/>
      <c r="P3957"/>
      <c r="Q3957"/>
      <c r="R3957"/>
      <c r="S3957"/>
    </row>
    <row r="3958" spans="1:19" ht="15" x14ac:dyDescent="0.2">
      <c r="A3958"/>
      <c r="B3958"/>
      <c r="C3958"/>
      <c r="D3958"/>
      <c r="E3958"/>
      <c r="F3958"/>
      <c r="G3958"/>
      <c r="H3958"/>
      <c r="I3958"/>
      <c r="J3958"/>
      <c r="K3958"/>
      <c r="L3958"/>
      <c r="M3958"/>
      <c r="N3958"/>
      <c r="O3958"/>
      <c r="P3958"/>
      <c r="Q3958"/>
      <c r="R3958"/>
      <c r="S3958"/>
    </row>
    <row r="3959" spans="1:19" ht="15" x14ac:dyDescent="0.2">
      <c r="A3959"/>
      <c r="B3959"/>
      <c r="C3959"/>
      <c r="D3959"/>
      <c r="E3959"/>
      <c r="F3959"/>
      <c r="G3959"/>
      <c r="H3959"/>
      <c r="I3959"/>
      <c r="J3959"/>
      <c r="K3959"/>
      <c r="L3959"/>
      <c r="M3959"/>
      <c r="N3959"/>
      <c r="O3959"/>
      <c r="P3959"/>
      <c r="Q3959"/>
      <c r="R3959"/>
      <c r="S3959"/>
    </row>
    <row r="3960" spans="1:19" ht="15" x14ac:dyDescent="0.2">
      <c r="A3960"/>
      <c r="B3960"/>
      <c r="C3960"/>
      <c r="D3960"/>
      <c r="E3960"/>
      <c r="F3960"/>
      <c r="G3960"/>
      <c r="H3960"/>
      <c r="I3960"/>
      <c r="J3960"/>
      <c r="K3960"/>
      <c r="L3960"/>
      <c r="M3960"/>
      <c r="N3960"/>
      <c r="O3960"/>
      <c r="P3960"/>
      <c r="Q3960"/>
      <c r="R3960"/>
      <c r="S3960"/>
    </row>
    <row r="3961" spans="1:19" ht="15" x14ac:dyDescent="0.2">
      <c r="A3961"/>
      <c r="B3961"/>
      <c r="C3961"/>
      <c r="D3961"/>
      <c r="E3961"/>
      <c r="F3961"/>
      <c r="G3961"/>
      <c r="H3961"/>
      <c r="I3961"/>
      <c r="J3961"/>
      <c r="K3961"/>
      <c r="L3961"/>
      <c r="M3961"/>
      <c r="N3961"/>
      <c r="O3961"/>
      <c r="P3961"/>
      <c r="Q3961"/>
      <c r="R3961"/>
      <c r="S3961"/>
    </row>
    <row r="3962" spans="1:19" ht="15" x14ac:dyDescent="0.2">
      <c r="A3962"/>
      <c r="B3962"/>
      <c r="C3962"/>
      <c r="D3962"/>
      <c r="E3962"/>
      <c r="F3962"/>
      <c r="G3962"/>
      <c r="H3962"/>
      <c r="I3962"/>
      <c r="J3962"/>
      <c r="K3962"/>
      <c r="L3962"/>
      <c r="M3962"/>
      <c r="N3962"/>
      <c r="O3962"/>
      <c r="P3962"/>
      <c r="Q3962"/>
      <c r="R3962"/>
      <c r="S3962"/>
    </row>
    <row r="3963" spans="1:19" ht="15" x14ac:dyDescent="0.2">
      <c r="A3963"/>
      <c r="B3963"/>
      <c r="C3963"/>
      <c r="D3963"/>
      <c r="E3963"/>
      <c r="F3963"/>
      <c r="G3963"/>
      <c r="H3963"/>
      <c r="I3963"/>
      <c r="J3963"/>
      <c r="K3963"/>
      <c r="L3963"/>
      <c r="M3963"/>
      <c r="N3963"/>
      <c r="O3963"/>
      <c r="P3963"/>
      <c r="Q3963"/>
      <c r="R3963"/>
      <c r="S3963"/>
    </row>
    <row r="3964" spans="1:19" ht="15" x14ac:dyDescent="0.2">
      <c r="A3964"/>
      <c r="B3964"/>
      <c r="C3964"/>
      <c r="D3964"/>
      <c r="E3964"/>
      <c r="F3964"/>
      <c r="G3964"/>
      <c r="H3964"/>
      <c r="I3964"/>
      <c r="J3964"/>
      <c r="K3964"/>
      <c r="L3964"/>
      <c r="M3964"/>
      <c r="N3964"/>
      <c r="O3964"/>
      <c r="P3964"/>
      <c r="Q3964"/>
      <c r="R3964"/>
      <c r="S3964"/>
    </row>
    <row r="3965" spans="1:19" ht="15" x14ac:dyDescent="0.2">
      <c r="A3965"/>
      <c r="B3965"/>
      <c r="C3965"/>
      <c r="D3965"/>
      <c r="E3965"/>
      <c r="F3965"/>
      <c r="G3965"/>
      <c r="H3965"/>
      <c r="I3965"/>
      <c r="J3965"/>
      <c r="K3965"/>
      <c r="L3965"/>
      <c r="M3965"/>
      <c r="N3965"/>
      <c r="O3965"/>
      <c r="P3965"/>
      <c r="Q3965"/>
      <c r="R3965"/>
      <c r="S3965"/>
    </row>
    <row r="3966" spans="1:19" ht="15" x14ac:dyDescent="0.2">
      <c r="A3966"/>
      <c r="B3966"/>
      <c r="C3966"/>
      <c r="D3966"/>
      <c r="E3966"/>
      <c r="F3966"/>
      <c r="G3966"/>
      <c r="H3966"/>
      <c r="I3966"/>
      <c r="J3966"/>
      <c r="K3966"/>
      <c r="L3966"/>
      <c r="M3966"/>
      <c r="N3966"/>
      <c r="O3966"/>
      <c r="P3966"/>
      <c r="Q3966"/>
      <c r="R3966"/>
      <c r="S3966"/>
    </row>
    <row r="3967" spans="1:19" ht="15" x14ac:dyDescent="0.2">
      <c r="A3967"/>
      <c r="B3967"/>
      <c r="C3967"/>
      <c r="D3967"/>
      <c r="E3967"/>
      <c r="F3967"/>
      <c r="G3967"/>
      <c r="H3967"/>
      <c r="I3967"/>
      <c r="J3967"/>
      <c r="K3967"/>
      <c r="L3967"/>
      <c r="M3967"/>
      <c r="N3967"/>
      <c r="O3967"/>
      <c r="P3967"/>
      <c r="Q3967"/>
      <c r="R3967"/>
      <c r="S3967"/>
    </row>
    <row r="3968" spans="1:19" ht="15" x14ac:dyDescent="0.2">
      <c r="A3968"/>
      <c r="B3968"/>
      <c r="C3968"/>
      <c r="D3968"/>
      <c r="E3968"/>
      <c r="F3968"/>
      <c r="G3968"/>
      <c r="H3968"/>
      <c r="I3968"/>
      <c r="J3968"/>
      <c r="K3968"/>
      <c r="L3968"/>
      <c r="M3968"/>
      <c r="N3968"/>
      <c r="O3968"/>
      <c r="P3968"/>
      <c r="Q3968"/>
      <c r="R3968"/>
      <c r="S3968"/>
    </row>
    <row r="3969" spans="1:19" ht="15" x14ac:dyDescent="0.2">
      <c r="A3969"/>
      <c r="B3969"/>
      <c r="C3969"/>
      <c r="D3969"/>
      <c r="E3969"/>
      <c r="F3969"/>
      <c r="G3969"/>
      <c r="H3969"/>
      <c r="I3969"/>
      <c r="J3969"/>
      <c r="K3969"/>
      <c r="L3969"/>
      <c r="M3969"/>
      <c r="N3969"/>
      <c r="O3969"/>
      <c r="P3969"/>
      <c r="Q3969"/>
      <c r="R3969"/>
      <c r="S3969"/>
    </row>
    <row r="3970" spans="1:19" ht="15" x14ac:dyDescent="0.2">
      <c r="A3970"/>
      <c r="B3970"/>
      <c r="C3970"/>
      <c r="D3970"/>
      <c r="E3970"/>
      <c r="F3970"/>
      <c r="G3970"/>
      <c r="H3970"/>
      <c r="I3970"/>
      <c r="J3970"/>
      <c r="K3970"/>
      <c r="L3970"/>
      <c r="M3970"/>
      <c r="N3970"/>
      <c r="O3970"/>
      <c r="P3970"/>
      <c r="Q3970"/>
      <c r="R3970"/>
      <c r="S3970"/>
    </row>
    <row r="3971" spans="1:19" ht="15" x14ac:dyDescent="0.2">
      <c r="A3971"/>
      <c r="B3971"/>
      <c r="C3971"/>
      <c r="D3971"/>
      <c r="E3971"/>
      <c r="F3971"/>
      <c r="G3971"/>
      <c r="H3971"/>
      <c r="I3971"/>
      <c r="J3971"/>
      <c r="K3971"/>
      <c r="L3971"/>
      <c r="M3971"/>
      <c r="N3971"/>
      <c r="O3971"/>
      <c r="P3971"/>
      <c r="Q3971"/>
      <c r="R3971"/>
      <c r="S3971"/>
    </row>
    <row r="3972" spans="1:19" ht="15" x14ac:dyDescent="0.2">
      <c r="A3972"/>
      <c r="B3972"/>
      <c r="C3972"/>
      <c r="D3972"/>
      <c r="E3972"/>
      <c r="F3972"/>
      <c r="G3972"/>
      <c r="H3972"/>
      <c r="I3972"/>
      <c r="J3972"/>
      <c r="K3972"/>
      <c r="L3972"/>
      <c r="M3972"/>
      <c r="N3972"/>
      <c r="O3972"/>
      <c r="P3972"/>
      <c r="Q3972"/>
      <c r="R3972"/>
      <c r="S3972"/>
    </row>
    <row r="3973" spans="1:19" ht="15" x14ac:dyDescent="0.2">
      <c r="A3973"/>
      <c r="B3973"/>
      <c r="C3973"/>
      <c r="D3973"/>
      <c r="E3973"/>
      <c r="F3973"/>
      <c r="G3973"/>
      <c r="H3973"/>
      <c r="I3973"/>
      <c r="J3973"/>
      <c r="K3973"/>
      <c r="L3973"/>
      <c r="M3973"/>
      <c r="N3973"/>
      <c r="O3973"/>
      <c r="P3973"/>
      <c r="Q3973"/>
      <c r="R3973"/>
      <c r="S3973"/>
    </row>
    <row r="3974" spans="1:19" ht="15" x14ac:dyDescent="0.2">
      <c r="A3974"/>
      <c r="B3974"/>
      <c r="C3974"/>
      <c r="D3974"/>
      <c r="E3974"/>
      <c r="F3974"/>
      <c r="G3974"/>
      <c r="H3974"/>
      <c r="I3974"/>
      <c r="J3974"/>
      <c r="K3974"/>
      <c r="L3974"/>
      <c r="M3974"/>
      <c r="N3974"/>
      <c r="O3974"/>
      <c r="P3974"/>
      <c r="Q3974"/>
      <c r="R3974"/>
      <c r="S3974"/>
    </row>
    <row r="3975" spans="1:19" ht="15" x14ac:dyDescent="0.2">
      <c r="A3975"/>
      <c r="B3975"/>
      <c r="C3975"/>
      <c r="D3975"/>
      <c r="E3975"/>
      <c r="F3975"/>
      <c r="G3975"/>
      <c r="H3975"/>
      <c r="I3975"/>
      <c r="J3975"/>
      <c r="K3975"/>
      <c r="L3975"/>
      <c r="M3975"/>
      <c r="N3975"/>
      <c r="O3975"/>
      <c r="P3975"/>
      <c r="Q3975"/>
      <c r="R3975"/>
      <c r="S3975"/>
    </row>
    <row r="3976" spans="1:19" ht="15" x14ac:dyDescent="0.2">
      <c r="A3976"/>
      <c r="B3976"/>
      <c r="C3976"/>
      <c r="D3976"/>
      <c r="E3976"/>
      <c r="F3976"/>
      <c r="G3976"/>
      <c r="H3976"/>
      <c r="I3976"/>
      <c r="J3976"/>
      <c r="K3976"/>
      <c r="L3976"/>
      <c r="M3976"/>
      <c r="N3976"/>
      <c r="O3976"/>
      <c r="P3976"/>
      <c r="Q3976"/>
      <c r="R3976"/>
      <c r="S3976"/>
    </row>
    <row r="3977" spans="1:19" ht="15" x14ac:dyDescent="0.2">
      <c r="A3977"/>
      <c r="B3977"/>
      <c r="C3977"/>
      <c r="D3977"/>
      <c r="E3977"/>
      <c r="F3977"/>
      <c r="G3977"/>
      <c r="H3977"/>
      <c r="I3977"/>
      <c r="J3977"/>
      <c r="K3977"/>
      <c r="L3977"/>
      <c r="M3977"/>
      <c r="N3977"/>
      <c r="O3977"/>
      <c r="P3977"/>
      <c r="Q3977"/>
      <c r="R3977"/>
      <c r="S3977"/>
    </row>
    <row r="3978" spans="1:19" ht="15" x14ac:dyDescent="0.2">
      <c r="A3978"/>
      <c r="B3978"/>
      <c r="C3978"/>
      <c r="D3978"/>
      <c r="E3978"/>
      <c r="F3978"/>
      <c r="G3978"/>
      <c r="H3978"/>
      <c r="I3978"/>
      <c r="J3978"/>
      <c r="K3978"/>
      <c r="L3978"/>
      <c r="M3978"/>
      <c r="N3978"/>
      <c r="O3978"/>
      <c r="P3978"/>
      <c r="Q3978"/>
      <c r="R3978"/>
      <c r="S3978"/>
    </row>
    <row r="3979" spans="1:19" ht="15" x14ac:dyDescent="0.2">
      <c r="A3979"/>
      <c r="B3979"/>
      <c r="C3979"/>
      <c r="D3979"/>
      <c r="E3979"/>
      <c r="F3979"/>
      <c r="G3979"/>
      <c r="H3979"/>
      <c r="I3979"/>
      <c r="J3979"/>
      <c r="K3979"/>
      <c r="L3979"/>
      <c r="M3979"/>
      <c r="N3979"/>
      <c r="O3979"/>
      <c r="P3979"/>
      <c r="Q3979"/>
      <c r="R3979"/>
      <c r="S3979"/>
    </row>
    <row r="3980" spans="1:19" ht="15" x14ac:dyDescent="0.2">
      <c r="A3980"/>
      <c r="B3980"/>
      <c r="C3980"/>
      <c r="D3980"/>
      <c r="E3980"/>
      <c r="F3980"/>
      <c r="G3980"/>
      <c r="H3980"/>
      <c r="I3980"/>
      <c r="J3980"/>
      <c r="K3980"/>
      <c r="L3980"/>
      <c r="M3980"/>
      <c r="N3980"/>
      <c r="O3980"/>
      <c r="P3980"/>
      <c r="Q3980"/>
      <c r="R3980"/>
      <c r="S3980"/>
    </row>
    <row r="3981" spans="1:19" ht="15" x14ac:dyDescent="0.2">
      <c r="A3981"/>
      <c r="B3981"/>
      <c r="C3981"/>
      <c r="D3981"/>
      <c r="E3981"/>
      <c r="F3981"/>
      <c r="G3981"/>
      <c r="H3981"/>
      <c r="I3981"/>
      <c r="J3981"/>
      <c r="K3981"/>
      <c r="L3981"/>
      <c r="M3981"/>
      <c r="N3981"/>
      <c r="O3981"/>
      <c r="P3981"/>
      <c r="Q3981"/>
      <c r="R3981"/>
      <c r="S3981"/>
    </row>
    <row r="3982" spans="1:19" ht="15" x14ac:dyDescent="0.2">
      <c r="A3982"/>
      <c r="B3982"/>
      <c r="C3982"/>
      <c r="D3982"/>
      <c r="E3982"/>
      <c r="F3982"/>
      <c r="G3982"/>
      <c r="H3982"/>
      <c r="I3982"/>
      <c r="J3982"/>
      <c r="K3982"/>
      <c r="L3982"/>
      <c r="M3982"/>
      <c r="N3982"/>
      <c r="O3982"/>
      <c r="P3982"/>
      <c r="Q3982"/>
      <c r="R3982"/>
      <c r="S3982"/>
    </row>
    <row r="3983" spans="1:19" ht="15" x14ac:dyDescent="0.2">
      <c r="A3983"/>
      <c r="B3983"/>
      <c r="C3983"/>
      <c r="D3983"/>
      <c r="E3983"/>
      <c r="F3983"/>
      <c r="G3983"/>
      <c r="H3983"/>
      <c r="I3983"/>
      <c r="J3983"/>
      <c r="K3983"/>
      <c r="L3983"/>
      <c r="M3983"/>
      <c r="N3983"/>
      <c r="O3983"/>
      <c r="P3983"/>
      <c r="Q3983"/>
      <c r="R3983"/>
      <c r="S3983"/>
    </row>
    <row r="3984" spans="1:19" ht="15" x14ac:dyDescent="0.2">
      <c r="A3984"/>
      <c r="B3984"/>
      <c r="C3984"/>
      <c r="D3984"/>
      <c r="E3984"/>
      <c r="F3984"/>
      <c r="G3984"/>
      <c r="H3984"/>
      <c r="I3984"/>
      <c r="J3984"/>
      <c r="K3984"/>
      <c r="L3984"/>
      <c r="M3984"/>
      <c r="N3984"/>
      <c r="O3984"/>
      <c r="P3984"/>
      <c r="Q3984"/>
      <c r="R3984"/>
      <c r="S3984"/>
    </row>
    <row r="3985" spans="1:19" ht="15" x14ac:dyDescent="0.2">
      <c r="A3985"/>
      <c r="B3985"/>
      <c r="C3985"/>
      <c r="D3985"/>
      <c r="E3985"/>
      <c r="F3985"/>
      <c r="G3985"/>
      <c r="H3985"/>
      <c r="I3985"/>
      <c r="J3985"/>
      <c r="K3985"/>
      <c r="L3985"/>
      <c r="M3985"/>
      <c r="N3985"/>
      <c r="O3985"/>
      <c r="P3985"/>
      <c r="Q3985"/>
      <c r="R3985"/>
      <c r="S3985"/>
    </row>
    <row r="3986" spans="1:19" ht="15" x14ac:dyDescent="0.2">
      <c r="A3986"/>
      <c r="B3986"/>
      <c r="C3986"/>
      <c r="D3986"/>
      <c r="E3986"/>
      <c r="F3986"/>
      <c r="G3986"/>
      <c r="H3986"/>
      <c r="I3986"/>
      <c r="J3986"/>
      <c r="K3986"/>
      <c r="L3986"/>
      <c r="M3986"/>
      <c r="N3986"/>
      <c r="O3986"/>
      <c r="P3986"/>
      <c r="Q3986"/>
      <c r="R3986"/>
      <c r="S3986"/>
    </row>
    <row r="3987" spans="1:19" ht="15" x14ac:dyDescent="0.2">
      <c r="A3987"/>
      <c r="B3987"/>
      <c r="C3987"/>
      <c r="D3987"/>
      <c r="E3987"/>
      <c r="F3987"/>
      <c r="G3987"/>
      <c r="H3987"/>
      <c r="I3987"/>
      <c r="J3987"/>
      <c r="K3987"/>
      <c r="L3987"/>
      <c r="M3987"/>
      <c r="N3987"/>
      <c r="O3987"/>
      <c r="P3987"/>
      <c r="Q3987"/>
      <c r="R3987"/>
      <c r="S3987"/>
    </row>
    <row r="3988" spans="1:19" ht="15" x14ac:dyDescent="0.2">
      <c r="A3988"/>
      <c r="B3988"/>
      <c r="C3988"/>
      <c r="D3988"/>
      <c r="E3988"/>
      <c r="F3988"/>
      <c r="G3988"/>
      <c r="H3988"/>
      <c r="I3988"/>
      <c r="J3988"/>
      <c r="K3988"/>
      <c r="L3988"/>
      <c r="M3988"/>
      <c r="N3988"/>
      <c r="O3988"/>
      <c r="P3988"/>
      <c r="Q3988"/>
      <c r="R3988"/>
      <c r="S3988"/>
    </row>
    <row r="3989" spans="1:19" ht="15" x14ac:dyDescent="0.2">
      <c r="A3989"/>
      <c r="B3989"/>
      <c r="C3989"/>
      <c r="D3989"/>
      <c r="E3989"/>
      <c r="F3989"/>
      <c r="G3989"/>
      <c r="H3989"/>
      <c r="I3989"/>
      <c r="J3989"/>
      <c r="K3989"/>
      <c r="L3989"/>
      <c r="M3989"/>
      <c r="N3989"/>
      <c r="O3989"/>
      <c r="P3989"/>
      <c r="Q3989"/>
      <c r="R3989"/>
      <c r="S3989"/>
    </row>
    <row r="3990" spans="1:19" ht="15" x14ac:dyDescent="0.2">
      <c r="A3990"/>
      <c r="B3990"/>
      <c r="C3990"/>
      <c r="D3990"/>
      <c r="E3990"/>
      <c r="F3990"/>
      <c r="G3990"/>
      <c r="H3990"/>
      <c r="I3990"/>
      <c r="J3990"/>
      <c r="K3990"/>
      <c r="L3990"/>
      <c r="M3990"/>
      <c r="N3990"/>
      <c r="O3990"/>
      <c r="P3990"/>
      <c r="Q3990"/>
      <c r="R3990"/>
      <c r="S3990"/>
    </row>
    <row r="3991" spans="1:19" ht="15" x14ac:dyDescent="0.2">
      <c r="A3991"/>
      <c r="B3991"/>
      <c r="C3991"/>
      <c r="D3991"/>
      <c r="E3991"/>
      <c r="F3991"/>
      <c r="G3991"/>
      <c r="H3991"/>
      <c r="I3991"/>
      <c r="J3991"/>
      <c r="K3991"/>
      <c r="L3991"/>
      <c r="M3991"/>
      <c r="N3991"/>
      <c r="O3991"/>
      <c r="P3991"/>
      <c r="Q3991"/>
      <c r="R3991"/>
      <c r="S3991"/>
    </row>
    <row r="3992" spans="1:19" ht="15" x14ac:dyDescent="0.2">
      <c r="A3992"/>
      <c r="B3992"/>
      <c r="C3992"/>
      <c r="D3992"/>
      <c r="E3992"/>
      <c r="F3992"/>
      <c r="G3992"/>
      <c r="H3992"/>
      <c r="I3992"/>
      <c r="J3992"/>
      <c r="K3992"/>
      <c r="L3992"/>
      <c r="M3992"/>
      <c r="N3992"/>
      <c r="O3992"/>
      <c r="P3992"/>
      <c r="Q3992"/>
      <c r="R3992"/>
      <c r="S3992"/>
    </row>
    <row r="3993" spans="1:19" ht="15" x14ac:dyDescent="0.2">
      <c r="A3993"/>
      <c r="B3993"/>
      <c r="C3993"/>
      <c r="D3993"/>
      <c r="E3993"/>
      <c r="F3993"/>
      <c r="G3993"/>
      <c r="H3993"/>
      <c r="I3993"/>
      <c r="J3993"/>
      <c r="K3993"/>
      <c r="L3993"/>
      <c r="M3993"/>
      <c r="N3993"/>
      <c r="O3993"/>
      <c r="P3993"/>
      <c r="Q3993"/>
      <c r="R3993"/>
      <c r="S3993"/>
    </row>
    <row r="3994" spans="1:19" ht="15" x14ac:dyDescent="0.2">
      <c r="A3994"/>
      <c r="B3994"/>
      <c r="C3994"/>
      <c r="D3994"/>
      <c r="E3994"/>
      <c r="F3994"/>
      <c r="G3994"/>
      <c r="H3994"/>
      <c r="I3994"/>
      <c r="J3994"/>
      <c r="K3994"/>
      <c r="L3994"/>
      <c r="M3994"/>
      <c r="N3994"/>
      <c r="O3994"/>
      <c r="P3994"/>
      <c r="Q3994"/>
      <c r="R3994"/>
      <c r="S3994"/>
    </row>
    <row r="3995" spans="1:19" ht="15" x14ac:dyDescent="0.2">
      <c r="A3995"/>
      <c r="B3995"/>
      <c r="C3995"/>
      <c r="D3995"/>
      <c r="E3995"/>
      <c r="F3995"/>
      <c r="G3995"/>
      <c r="H3995"/>
      <c r="I3995"/>
      <c r="J3995"/>
      <c r="K3995"/>
      <c r="L3995"/>
      <c r="M3995"/>
      <c r="N3995"/>
      <c r="O3995"/>
      <c r="P3995"/>
      <c r="Q3995"/>
      <c r="R3995"/>
      <c r="S3995"/>
    </row>
    <row r="3996" spans="1:19" ht="15" x14ac:dyDescent="0.2">
      <c r="A3996"/>
      <c r="B3996"/>
      <c r="C3996"/>
      <c r="D3996"/>
      <c r="E3996"/>
      <c r="F3996"/>
      <c r="G3996"/>
      <c r="H3996"/>
      <c r="I3996"/>
      <c r="J3996"/>
      <c r="K3996"/>
      <c r="L3996"/>
      <c r="M3996"/>
      <c r="N3996"/>
      <c r="O3996"/>
      <c r="P3996"/>
      <c r="Q3996"/>
      <c r="R3996"/>
      <c r="S3996"/>
    </row>
    <row r="3997" spans="1:19" ht="15" x14ac:dyDescent="0.2">
      <c r="A3997"/>
      <c r="B3997"/>
      <c r="C3997"/>
      <c r="D3997"/>
      <c r="E3997"/>
      <c r="F3997"/>
      <c r="G3997"/>
      <c r="H3997"/>
      <c r="I3997"/>
      <c r="J3997"/>
      <c r="K3997"/>
      <c r="L3997"/>
      <c r="M3997"/>
      <c r="N3997"/>
      <c r="O3997"/>
      <c r="P3997"/>
      <c r="Q3997"/>
      <c r="R3997"/>
      <c r="S3997"/>
    </row>
    <row r="3998" spans="1:19" ht="15" x14ac:dyDescent="0.2">
      <c r="A3998"/>
      <c r="B3998"/>
      <c r="C3998"/>
      <c r="D3998"/>
      <c r="E3998"/>
      <c r="F3998"/>
      <c r="G3998"/>
      <c r="H3998"/>
      <c r="I3998"/>
      <c r="J3998"/>
      <c r="K3998"/>
      <c r="L3998"/>
      <c r="M3998"/>
      <c r="N3998"/>
      <c r="O3998"/>
      <c r="P3998"/>
      <c r="Q3998"/>
      <c r="R3998"/>
      <c r="S3998"/>
    </row>
    <row r="3999" spans="1:19" ht="15" x14ac:dyDescent="0.2">
      <c r="A3999"/>
      <c r="B3999"/>
      <c r="C3999"/>
      <c r="D3999"/>
      <c r="E3999"/>
      <c r="F3999"/>
      <c r="G3999"/>
      <c r="H3999"/>
      <c r="I3999"/>
      <c r="J3999"/>
      <c r="K3999"/>
      <c r="L3999"/>
      <c r="M3999"/>
      <c r="N3999"/>
      <c r="O3999"/>
      <c r="P3999"/>
      <c r="Q3999"/>
      <c r="R3999"/>
      <c r="S3999"/>
    </row>
    <row r="4000" spans="1:19" ht="15" x14ac:dyDescent="0.2">
      <c r="A4000"/>
      <c r="B4000"/>
      <c r="C4000"/>
      <c r="D4000"/>
      <c r="E4000"/>
      <c r="F4000"/>
      <c r="G4000"/>
      <c r="H4000"/>
      <c r="I4000"/>
      <c r="J4000"/>
      <c r="K4000"/>
      <c r="L4000"/>
      <c r="M4000"/>
      <c r="N4000"/>
      <c r="O4000"/>
      <c r="P4000"/>
      <c r="Q4000"/>
      <c r="R4000"/>
      <c r="S4000"/>
    </row>
    <row r="4001" spans="1:19" ht="15" x14ac:dyDescent="0.2">
      <c r="A4001"/>
      <c r="B4001"/>
      <c r="C4001"/>
      <c r="D4001"/>
      <c r="E4001"/>
      <c r="F4001"/>
      <c r="G4001"/>
      <c r="H4001"/>
      <c r="I4001"/>
      <c r="J4001"/>
      <c r="K4001"/>
      <c r="L4001"/>
      <c r="M4001"/>
      <c r="N4001"/>
      <c r="O4001"/>
      <c r="P4001"/>
      <c r="Q4001"/>
      <c r="R4001"/>
      <c r="S4001"/>
    </row>
    <row r="4002" spans="1:19" ht="15" x14ac:dyDescent="0.2">
      <c r="A4002"/>
      <c r="B4002"/>
      <c r="C4002"/>
      <c r="D4002"/>
      <c r="E4002"/>
      <c r="F4002"/>
      <c r="G4002"/>
      <c r="H4002"/>
      <c r="I4002"/>
      <c r="J4002"/>
      <c r="K4002"/>
      <c r="L4002"/>
      <c r="M4002"/>
      <c r="N4002"/>
      <c r="O4002"/>
      <c r="P4002"/>
      <c r="Q4002"/>
      <c r="R4002"/>
      <c r="S4002"/>
    </row>
    <row r="4003" spans="1:19" ht="15" x14ac:dyDescent="0.2">
      <c r="A4003"/>
      <c r="B4003"/>
      <c r="C4003"/>
      <c r="D4003"/>
      <c r="E4003"/>
      <c r="F4003"/>
      <c r="G4003"/>
      <c r="H4003"/>
      <c r="I4003"/>
      <c r="J4003"/>
      <c r="K4003"/>
      <c r="L4003"/>
      <c r="M4003"/>
      <c r="N4003"/>
      <c r="O4003"/>
      <c r="P4003"/>
      <c r="Q4003"/>
      <c r="R4003"/>
      <c r="S4003"/>
    </row>
    <row r="4004" spans="1:19" ht="15" x14ac:dyDescent="0.2">
      <c r="A4004"/>
      <c r="B4004"/>
      <c r="C4004"/>
      <c r="D4004"/>
      <c r="E4004"/>
      <c r="F4004"/>
      <c r="G4004"/>
      <c r="H4004"/>
      <c r="I4004"/>
      <c r="J4004"/>
      <c r="K4004"/>
      <c r="L4004"/>
      <c r="M4004"/>
      <c r="N4004"/>
      <c r="O4004"/>
      <c r="P4004"/>
      <c r="Q4004"/>
      <c r="R4004"/>
      <c r="S4004"/>
    </row>
    <row r="4005" spans="1:19" ht="15" x14ac:dyDescent="0.2">
      <c r="A4005"/>
      <c r="B4005"/>
      <c r="C4005"/>
      <c r="D4005"/>
      <c r="E4005"/>
      <c r="F4005"/>
      <c r="G4005"/>
      <c r="H4005"/>
      <c r="I4005"/>
      <c r="J4005"/>
      <c r="K4005"/>
      <c r="L4005"/>
      <c r="M4005"/>
      <c r="N4005"/>
      <c r="O4005"/>
      <c r="P4005"/>
      <c r="Q4005"/>
      <c r="R4005"/>
      <c r="S4005"/>
    </row>
    <row r="4006" spans="1:19" ht="15" x14ac:dyDescent="0.2">
      <c r="A4006"/>
      <c r="B4006"/>
      <c r="C4006"/>
      <c r="D4006"/>
      <c r="E4006"/>
      <c r="F4006"/>
      <c r="G4006"/>
      <c r="H4006"/>
      <c r="I4006"/>
      <c r="J4006"/>
      <c r="K4006"/>
      <c r="L4006"/>
      <c r="M4006"/>
      <c r="N4006"/>
      <c r="O4006"/>
      <c r="P4006"/>
      <c r="Q4006"/>
      <c r="R4006"/>
      <c r="S4006"/>
    </row>
    <row r="4007" spans="1:19" ht="15" x14ac:dyDescent="0.2">
      <c r="A4007"/>
      <c r="B4007"/>
      <c r="C4007"/>
      <c r="D4007"/>
      <c r="E4007"/>
      <c r="F4007"/>
      <c r="G4007"/>
      <c r="H4007"/>
      <c r="I4007"/>
      <c r="J4007"/>
      <c r="K4007"/>
      <c r="L4007"/>
      <c r="M4007"/>
      <c r="N4007"/>
      <c r="O4007"/>
      <c r="P4007"/>
      <c r="Q4007"/>
      <c r="R4007"/>
      <c r="S4007"/>
    </row>
    <row r="4008" spans="1:19" ht="15" x14ac:dyDescent="0.2">
      <c r="A4008"/>
      <c r="B4008"/>
      <c r="C4008"/>
      <c r="D4008"/>
      <c r="E4008"/>
      <c r="F4008"/>
      <c r="G4008"/>
      <c r="H4008"/>
      <c r="I4008"/>
      <c r="J4008"/>
      <c r="K4008"/>
      <c r="L4008"/>
      <c r="M4008"/>
      <c r="N4008"/>
      <c r="O4008"/>
      <c r="P4008"/>
      <c r="Q4008"/>
      <c r="R4008"/>
      <c r="S4008"/>
    </row>
    <row r="4009" spans="1:19" ht="15" x14ac:dyDescent="0.2">
      <c r="A4009"/>
      <c r="B4009"/>
      <c r="C4009"/>
      <c r="D4009"/>
      <c r="E4009"/>
      <c r="F4009"/>
      <c r="G4009"/>
      <c r="H4009"/>
      <c r="I4009"/>
      <c r="J4009"/>
      <c r="K4009"/>
      <c r="L4009"/>
      <c r="M4009"/>
      <c r="N4009"/>
      <c r="O4009"/>
      <c r="P4009"/>
      <c r="Q4009"/>
      <c r="R4009"/>
      <c r="S4009"/>
    </row>
    <row r="4010" spans="1:19" ht="15" x14ac:dyDescent="0.2">
      <c r="A4010"/>
      <c r="B4010"/>
      <c r="C4010"/>
      <c r="D4010"/>
      <c r="E4010"/>
      <c r="F4010"/>
      <c r="G4010"/>
      <c r="H4010"/>
      <c r="I4010"/>
      <c r="J4010"/>
      <c r="K4010"/>
      <c r="L4010"/>
      <c r="M4010"/>
      <c r="N4010"/>
      <c r="O4010"/>
      <c r="P4010"/>
      <c r="Q4010"/>
      <c r="R4010"/>
      <c r="S4010"/>
    </row>
    <row r="4011" spans="1:19" ht="15" x14ac:dyDescent="0.2">
      <c r="A4011"/>
      <c r="B4011"/>
      <c r="C4011"/>
      <c r="D4011"/>
      <c r="E4011"/>
      <c r="F4011"/>
      <c r="G4011"/>
      <c r="H4011"/>
      <c r="I4011"/>
      <c r="J4011"/>
      <c r="K4011"/>
      <c r="L4011"/>
      <c r="M4011"/>
      <c r="N4011"/>
      <c r="O4011"/>
      <c r="P4011"/>
      <c r="Q4011"/>
      <c r="R4011"/>
      <c r="S4011"/>
    </row>
    <row r="4012" spans="1:19" ht="15" x14ac:dyDescent="0.2">
      <c r="A4012"/>
      <c r="B4012"/>
      <c r="C4012"/>
      <c r="D4012"/>
      <c r="E4012"/>
      <c r="F4012"/>
      <c r="G4012"/>
      <c r="H4012"/>
      <c r="I4012"/>
      <c r="J4012"/>
      <c r="K4012"/>
      <c r="L4012"/>
      <c r="M4012"/>
      <c r="N4012"/>
      <c r="O4012"/>
      <c r="P4012"/>
      <c r="Q4012"/>
      <c r="R4012"/>
      <c r="S4012"/>
    </row>
    <row r="4013" spans="1:19" ht="15" x14ac:dyDescent="0.2">
      <c r="A4013"/>
      <c r="B4013"/>
      <c r="C4013"/>
      <c r="D4013"/>
      <c r="E4013"/>
      <c r="F4013"/>
      <c r="G4013"/>
      <c r="H4013"/>
      <c r="I4013"/>
      <c r="J4013"/>
      <c r="K4013"/>
      <c r="L4013"/>
      <c r="M4013"/>
      <c r="N4013"/>
      <c r="O4013"/>
      <c r="P4013"/>
      <c r="Q4013"/>
      <c r="R4013"/>
      <c r="S4013"/>
    </row>
    <row r="4014" spans="1:19" ht="15" x14ac:dyDescent="0.2">
      <c r="A4014"/>
      <c r="B4014"/>
      <c r="C4014"/>
      <c r="D4014"/>
      <c r="E4014"/>
      <c r="F4014"/>
      <c r="G4014"/>
      <c r="H4014"/>
      <c r="I4014"/>
      <c r="J4014"/>
      <c r="K4014"/>
      <c r="L4014"/>
      <c r="M4014"/>
      <c r="N4014"/>
      <c r="O4014"/>
      <c r="P4014"/>
      <c r="Q4014"/>
      <c r="R4014"/>
      <c r="S4014"/>
    </row>
    <row r="4015" spans="1:19" ht="15" x14ac:dyDescent="0.2">
      <c r="A4015"/>
      <c r="B4015"/>
      <c r="C4015"/>
      <c r="D4015"/>
      <c r="E4015"/>
      <c r="F4015"/>
      <c r="G4015"/>
      <c r="H4015"/>
      <c r="I4015"/>
      <c r="J4015"/>
      <c r="K4015"/>
      <c r="L4015"/>
      <c r="M4015"/>
      <c r="N4015"/>
      <c r="O4015"/>
      <c r="P4015"/>
      <c r="Q4015"/>
      <c r="R4015"/>
      <c r="S4015"/>
    </row>
    <row r="4016" spans="1:19" ht="15" x14ac:dyDescent="0.2">
      <c r="A4016"/>
      <c r="B4016"/>
      <c r="C4016"/>
      <c r="D4016"/>
      <c r="E4016"/>
      <c r="F4016"/>
      <c r="G4016"/>
      <c r="H4016"/>
      <c r="I4016"/>
      <c r="J4016"/>
      <c r="K4016"/>
      <c r="L4016"/>
      <c r="M4016"/>
      <c r="N4016"/>
      <c r="O4016"/>
      <c r="P4016"/>
      <c r="Q4016"/>
      <c r="R4016"/>
      <c r="S4016"/>
    </row>
    <row r="4017" spans="1:19" ht="15" x14ac:dyDescent="0.2">
      <c r="A4017"/>
      <c r="B4017"/>
      <c r="C4017"/>
      <c r="D4017"/>
      <c r="E4017"/>
      <c r="F4017"/>
      <c r="G4017"/>
      <c r="H4017"/>
      <c r="I4017"/>
      <c r="J4017"/>
      <c r="K4017"/>
      <c r="L4017"/>
      <c r="M4017"/>
      <c r="N4017"/>
      <c r="O4017"/>
      <c r="P4017"/>
      <c r="Q4017"/>
      <c r="R4017"/>
      <c r="S4017"/>
    </row>
    <row r="4018" spans="1:19" ht="15" x14ac:dyDescent="0.2">
      <c r="A4018"/>
      <c r="B4018"/>
      <c r="C4018"/>
      <c r="D4018"/>
      <c r="E4018"/>
      <c r="F4018"/>
      <c r="G4018"/>
      <c r="H4018"/>
      <c r="I4018"/>
      <c r="J4018"/>
      <c r="K4018"/>
      <c r="L4018"/>
      <c r="M4018"/>
      <c r="N4018"/>
      <c r="O4018"/>
      <c r="P4018"/>
      <c r="Q4018"/>
      <c r="R4018"/>
      <c r="S4018"/>
    </row>
    <row r="4019" spans="1:19" ht="15" x14ac:dyDescent="0.2">
      <c r="A4019"/>
      <c r="B4019"/>
      <c r="C4019"/>
      <c r="D4019"/>
      <c r="E4019"/>
      <c r="F4019"/>
      <c r="G4019"/>
      <c r="H4019"/>
      <c r="I4019"/>
      <c r="J4019"/>
      <c r="K4019"/>
      <c r="L4019"/>
      <c r="M4019"/>
      <c r="N4019"/>
      <c r="O4019"/>
      <c r="P4019"/>
      <c r="Q4019"/>
      <c r="R4019"/>
      <c r="S4019"/>
    </row>
    <row r="4020" spans="1:19" ht="15" x14ac:dyDescent="0.2">
      <c r="A4020"/>
      <c r="B4020"/>
      <c r="C4020"/>
      <c r="D4020"/>
      <c r="E4020"/>
      <c r="F4020"/>
      <c r="G4020"/>
      <c r="H4020"/>
      <c r="I4020"/>
      <c r="J4020"/>
      <c r="K4020"/>
      <c r="L4020"/>
      <c r="M4020"/>
      <c r="N4020"/>
      <c r="O4020"/>
      <c r="P4020"/>
      <c r="Q4020"/>
      <c r="R4020"/>
      <c r="S4020"/>
    </row>
    <row r="4021" spans="1:19" ht="15" x14ac:dyDescent="0.2">
      <c r="A4021"/>
      <c r="B4021"/>
      <c r="C4021"/>
      <c r="D4021"/>
      <c r="E4021"/>
      <c r="F4021"/>
      <c r="G4021"/>
      <c r="H4021"/>
      <c r="I4021"/>
      <c r="J4021"/>
      <c r="K4021"/>
      <c r="L4021"/>
      <c r="M4021"/>
      <c r="N4021"/>
      <c r="O4021"/>
      <c r="P4021"/>
      <c r="Q4021"/>
      <c r="R4021"/>
      <c r="S4021"/>
    </row>
    <row r="4022" spans="1:19" ht="15" x14ac:dyDescent="0.2">
      <c r="A4022"/>
      <c r="B4022"/>
      <c r="C4022"/>
      <c r="D4022"/>
      <c r="E4022"/>
      <c r="F4022"/>
      <c r="G4022"/>
      <c r="H4022"/>
      <c r="I4022"/>
      <c r="J4022"/>
      <c r="K4022"/>
      <c r="L4022"/>
      <c r="M4022"/>
      <c r="N4022"/>
      <c r="O4022"/>
      <c r="P4022"/>
      <c r="Q4022"/>
      <c r="R4022"/>
      <c r="S4022"/>
    </row>
    <row r="4023" spans="1:19" ht="15" x14ac:dyDescent="0.2">
      <c r="A4023"/>
      <c r="B4023"/>
      <c r="C4023"/>
      <c r="D4023"/>
      <c r="E4023"/>
      <c r="F4023"/>
      <c r="G4023"/>
      <c r="H4023"/>
      <c r="I4023"/>
      <c r="J4023"/>
      <c r="K4023"/>
      <c r="L4023"/>
      <c r="M4023"/>
      <c r="N4023"/>
      <c r="O4023"/>
      <c r="P4023"/>
      <c r="Q4023"/>
      <c r="R4023"/>
      <c r="S4023"/>
    </row>
    <row r="4024" spans="1:19" ht="15" x14ac:dyDescent="0.2">
      <c r="A4024"/>
      <c r="B4024"/>
      <c r="C4024"/>
      <c r="D4024"/>
      <c r="E4024"/>
      <c r="F4024"/>
      <c r="G4024"/>
      <c r="H4024"/>
      <c r="I4024"/>
      <c r="J4024"/>
      <c r="K4024"/>
      <c r="L4024"/>
      <c r="M4024"/>
      <c r="N4024"/>
      <c r="O4024"/>
      <c r="P4024"/>
      <c r="Q4024"/>
      <c r="R4024"/>
      <c r="S4024"/>
    </row>
    <row r="4025" spans="1:19" ht="15" x14ac:dyDescent="0.2">
      <c r="A4025"/>
      <c r="B4025"/>
      <c r="C4025"/>
      <c r="D4025"/>
      <c r="E4025"/>
      <c r="F4025"/>
      <c r="G4025"/>
      <c r="H4025"/>
      <c r="I4025"/>
      <c r="J4025"/>
      <c r="K4025"/>
      <c r="L4025"/>
      <c r="M4025"/>
      <c r="N4025"/>
      <c r="O4025"/>
      <c r="P4025"/>
      <c r="Q4025"/>
      <c r="R4025"/>
      <c r="S4025"/>
    </row>
    <row r="4026" spans="1:19" ht="15" x14ac:dyDescent="0.2">
      <c r="A4026"/>
      <c r="B4026"/>
      <c r="C4026"/>
      <c r="D4026"/>
      <c r="E4026"/>
      <c r="F4026"/>
      <c r="G4026"/>
      <c r="H4026"/>
      <c r="I4026"/>
      <c r="J4026"/>
      <c r="K4026"/>
      <c r="L4026"/>
      <c r="M4026"/>
      <c r="N4026"/>
      <c r="O4026"/>
      <c r="P4026"/>
      <c r="Q4026"/>
      <c r="R4026"/>
      <c r="S4026"/>
    </row>
    <row r="4027" spans="1:19" ht="15" x14ac:dyDescent="0.2">
      <c r="A4027"/>
      <c r="B4027"/>
      <c r="C4027"/>
      <c r="D4027"/>
      <c r="E4027"/>
      <c r="F4027"/>
      <c r="G4027"/>
      <c r="H4027"/>
      <c r="I4027"/>
      <c r="J4027"/>
      <c r="K4027"/>
      <c r="L4027"/>
      <c r="M4027"/>
      <c r="N4027"/>
      <c r="O4027"/>
      <c r="P4027"/>
      <c r="Q4027"/>
      <c r="R4027"/>
      <c r="S4027"/>
    </row>
    <row r="4028" spans="1:19" ht="15" x14ac:dyDescent="0.2">
      <c r="A4028"/>
      <c r="B4028"/>
      <c r="C4028"/>
      <c r="D4028"/>
      <c r="E4028"/>
      <c r="F4028"/>
      <c r="G4028"/>
      <c r="H4028"/>
      <c r="I4028"/>
      <c r="J4028"/>
      <c r="K4028"/>
      <c r="L4028"/>
      <c r="M4028"/>
      <c r="N4028"/>
      <c r="O4028"/>
      <c r="P4028"/>
      <c r="Q4028"/>
      <c r="R4028"/>
      <c r="S4028"/>
    </row>
    <row r="4029" spans="1:19" ht="15" x14ac:dyDescent="0.2">
      <c r="A4029"/>
      <c r="B4029"/>
      <c r="C4029"/>
      <c r="D4029"/>
      <c r="E4029"/>
      <c r="F4029"/>
      <c r="G4029"/>
      <c r="H4029"/>
      <c r="I4029"/>
      <c r="J4029"/>
      <c r="K4029"/>
      <c r="L4029"/>
      <c r="M4029"/>
      <c r="N4029"/>
      <c r="O4029"/>
      <c r="P4029"/>
      <c r="Q4029"/>
      <c r="R4029"/>
      <c r="S4029"/>
    </row>
    <row r="4030" spans="1:19" ht="15" x14ac:dyDescent="0.2">
      <c r="A4030"/>
      <c r="B4030"/>
      <c r="C4030"/>
      <c r="D4030"/>
      <c r="E4030"/>
      <c r="F4030"/>
      <c r="G4030"/>
      <c r="H4030"/>
      <c r="I4030"/>
      <c r="J4030"/>
      <c r="K4030"/>
      <c r="L4030"/>
      <c r="M4030"/>
      <c r="N4030"/>
      <c r="O4030"/>
      <c r="P4030"/>
      <c r="Q4030"/>
      <c r="R4030"/>
      <c r="S4030"/>
    </row>
    <row r="4031" spans="1:19" ht="15" x14ac:dyDescent="0.2">
      <c r="A4031"/>
      <c r="B4031"/>
      <c r="C4031"/>
      <c r="D4031"/>
      <c r="E4031"/>
      <c r="F4031"/>
      <c r="G4031"/>
      <c r="H4031"/>
      <c r="I4031"/>
      <c r="J4031"/>
      <c r="K4031"/>
      <c r="L4031"/>
      <c r="M4031"/>
      <c r="N4031"/>
      <c r="O4031"/>
      <c r="P4031"/>
      <c r="Q4031"/>
      <c r="R4031"/>
      <c r="S4031"/>
    </row>
    <row r="4032" spans="1:19" ht="15" x14ac:dyDescent="0.2">
      <c r="A4032"/>
      <c r="B4032"/>
      <c r="C4032"/>
      <c r="D4032"/>
      <c r="E4032"/>
      <c r="F4032"/>
      <c r="G4032"/>
      <c r="H4032"/>
      <c r="I4032"/>
      <c r="J4032"/>
      <c r="K4032"/>
      <c r="L4032"/>
      <c r="M4032"/>
      <c r="N4032"/>
      <c r="O4032"/>
      <c r="P4032"/>
      <c r="Q4032"/>
      <c r="R4032"/>
      <c r="S4032"/>
    </row>
    <row r="4033" spans="1:19" ht="15" x14ac:dyDescent="0.2">
      <c r="A4033"/>
      <c r="B4033"/>
      <c r="C4033"/>
      <c r="D4033"/>
      <c r="E4033"/>
      <c r="F4033"/>
      <c r="G4033"/>
      <c r="H4033"/>
      <c r="I4033"/>
      <c r="J4033"/>
      <c r="K4033"/>
      <c r="L4033"/>
      <c r="M4033"/>
      <c r="N4033"/>
      <c r="O4033"/>
      <c r="P4033"/>
      <c r="Q4033"/>
      <c r="R4033"/>
      <c r="S4033"/>
    </row>
    <row r="4034" spans="1:19" ht="15" x14ac:dyDescent="0.2">
      <c r="A4034"/>
      <c r="B4034"/>
      <c r="C4034"/>
      <c r="D4034"/>
      <c r="E4034"/>
      <c r="F4034"/>
      <c r="G4034"/>
      <c r="H4034"/>
      <c r="I4034"/>
      <c r="J4034"/>
      <c r="K4034"/>
      <c r="L4034"/>
      <c r="M4034"/>
      <c r="N4034"/>
      <c r="O4034"/>
      <c r="P4034"/>
      <c r="Q4034"/>
      <c r="R4034"/>
      <c r="S4034"/>
    </row>
    <row r="4035" spans="1:19" ht="15" x14ac:dyDescent="0.2">
      <c r="A4035"/>
      <c r="B4035"/>
      <c r="C4035"/>
      <c r="D4035"/>
      <c r="E4035"/>
      <c r="F4035"/>
      <c r="G4035"/>
      <c r="H4035"/>
      <c r="I4035"/>
      <c r="J4035"/>
      <c r="K4035"/>
      <c r="L4035"/>
      <c r="M4035"/>
      <c r="N4035"/>
      <c r="O4035"/>
      <c r="P4035"/>
      <c r="Q4035"/>
      <c r="R4035"/>
      <c r="S4035"/>
    </row>
    <row r="4036" spans="1:19" ht="15" x14ac:dyDescent="0.2">
      <c r="A4036"/>
      <c r="B4036"/>
      <c r="C4036"/>
      <c r="D4036"/>
      <c r="E4036"/>
      <c r="F4036"/>
      <c r="G4036"/>
      <c r="H4036"/>
      <c r="I4036"/>
      <c r="J4036"/>
      <c r="K4036"/>
      <c r="L4036"/>
      <c r="M4036"/>
      <c r="N4036"/>
      <c r="O4036"/>
      <c r="P4036"/>
      <c r="Q4036"/>
      <c r="R4036"/>
      <c r="S4036"/>
    </row>
    <row r="4037" spans="1:19" ht="15" x14ac:dyDescent="0.2">
      <c r="A4037"/>
      <c r="B4037"/>
      <c r="C4037"/>
      <c r="D4037"/>
      <c r="E4037"/>
      <c r="F4037"/>
      <c r="G4037"/>
      <c r="H4037"/>
      <c r="I4037"/>
      <c r="J4037"/>
      <c r="K4037"/>
      <c r="L4037"/>
      <c r="M4037"/>
      <c r="N4037"/>
      <c r="O4037"/>
      <c r="P4037"/>
      <c r="Q4037"/>
      <c r="R4037"/>
      <c r="S4037"/>
    </row>
    <row r="4038" spans="1:19" ht="15" x14ac:dyDescent="0.2">
      <c r="A4038"/>
      <c r="B4038"/>
      <c r="C4038"/>
      <c r="D4038"/>
      <c r="E4038"/>
      <c r="F4038"/>
      <c r="G4038"/>
      <c r="H4038"/>
      <c r="I4038"/>
      <c r="J4038"/>
      <c r="K4038"/>
      <c r="L4038"/>
      <c r="M4038"/>
      <c r="N4038"/>
      <c r="O4038"/>
      <c r="P4038"/>
      <c r="Q4038"/>
      <c r="R4038"/>
      <c r="S4038"/>
    </row>
    <row r="4039" spans="1:19" ht="15" x14ac:dyDescent="0.2">
      <c r="A4039"/>
      <c r="B4039"/>
      <c r="C4039"/>
      <c r="D4039"/>
      <c r="E4039"/>
      <c r="F4039"/>
      <c r="G4039"/>
      <c r="H4039"/>
      <c r="I4039"/>
      <c r="J4039"/>
      <c r="K4039"/>
      <c r="L4039"/>
      <c r="M4039"/>
      <c r="N4039"/>
      <c r="O4039"/>
      <c r="P4039"/>
      <c r="Q4039"/>
      <c r="R4039"/>
      <c r="S4039"/>
    </row>
    <row r="4040" spans="1:19" ht="15" x14ac:dyDescent="0.2">
      <c r="A4040"/>
      <c r="B4040"/>
      <c r="C4040"/>
      <c r="D4040"/>
      <c r="E4040"/>
      <c r="F4040"/>
      <c r="G4040"/>
      <c r="H4040"/>
      <c r="I4040"/>
      <c r="J4040"/>
      <c r="K4040"/>
      <c r="L4040"/>
      <c r="M4040"/>
      <c r="N4040"/>
      <c r="O4040"/>
      <c r="P4040"/>
      <c r="Q4040"/>
      <c r="R4040"/>
      <c r="S4040"/>
    </row>
    <row r="4041" spans="1:19" ht="15" x14ac:dyDescent="0.2">
      <c r="A4041"/>
      <c r="B4041"/>
      <c r="C4041"/>
      <c r="D4041"/>
      <c r="E4041"/>
      <c r="F4041"/>
      <c r="G4041"/>
      <c r="H4041"/>
      <c r="I4041"/>
      <c r="J4041"/>
      <c r="K4041"/>
      <c r="L4041"/>
      <c r="M4041"/>
      <c r="N4041"/>
      <c r="O4041"/>
      <c r="P4041"/>
      <c r="Q4041"/>
      <c r="R4041"/>
      <c r="S4041"/>
    </row>
    <row r="4042" spans="1:19" ht="15" x14ac:dyDescent="0.2">
      <c r="A4042"/>
      <c r="B4042"/>
      <c r="C4042"/>
      <c r="D4042"/>
      <c r="E4042"/>
      <c r="F4042"/>
      <c r="G4042"/>
      <c r="H4042"/>
      <c r="I4042"/>
      <c r="J4042"/>
      <c r="K4042"/>
      <c r="L4042"/>
      <c r="M4042"/>
      <c r="N4042"/>
      <c r="O4042"/>
      <c r="P4042"/>
      <c r="Q4042"/>
      <c r="R4042"/>
      <c r="S4042"/>
    </row>
    <row r="4043" spans="1:19" ht="15" x14ac:dyDescent="0.2">
      <c r="A4043"/>
      <c r="B4043"/>
      <c r="C4043"/>
      <c r="D4043"/>
      <c r="E4043"/>
      <c r="F4043"/>
      <c r="G4043"/>
      <c r="H4043"/>
      <c r="I4043"/>
      <c r="J4043"/>
      <c r="K4043"/>
      <c r="L4043"/>
      <c r="M4043"/>
      <c r="N4043"/>
      <c r="O4043"/>
      <c r="P4043"/>
      <c r="Q4043"/>
      <c r="R4043"/>
      <c r="S4043"/>
    </row>
    <row r="4044" spans="1:19" ht="15" x14ac:dyDescent="0.2">
      <c r="A4044"/>
      <c r="B4044"/>
      <c r="C4044"/>
      <c r="D4044"/>
      <c r="E4044"/>
      <c r="F4044"/>
      <c r="G4044"/>
      <c r="H4044"/>
      <c r="I4044"/>
      <c r="J4044"/>
      <c r="K4044"/>
      <c r="L4044"/>
      <c r="M4044"/>
      <c r="N4044"/>
      <c r="O4044"/>
      <c r="P4044"/>
      <c r="Q4044"/>
      <c r="R4044"/>
      <c r="S4044"/>
    </row>
    <row r="4045" spans="1:19" ht="15" x14ac:dyDescent="0.2">
      <c r="A4045"/>
      <c r="B4045"/>
      <c r="C4045"/>
      <c r="D4045"/>
      <c r="E4045"/>
      <c r="F4045"/>
      <c r="G4045"/>
      <c r="H4045"/>
      <c r="I4045"/>
      <c r="J4045"/>
      <c r="K4045"/>
      <c r="L4045"/>
      <c r="M4045"/>
      <c r="N4045"/>
      <c r="O4045"/>
      <c r="P4045"/>
      <c r="Q4045"/>
      <c r="R4045"/>
      <c r="S4045"/>
    </row>
    <row r="4046" spans="1:19" ht="15" x14ac:dyDescent="0.2">
      <c r="A4046"/>
      <c r="B4046"/>
      <c r="C4046"/>
      <c r="D4046"/>
      <c r="E4046"/>
      <c r="F4046"/>
      <c r="G4046"/>
      <c r="H4046"/>
      <c r="I4046"/>
      <c r="J4046"/>
      <c r="K4046"/>
      <c r="L4046"/>
      <c r="M4046"/>
      <c r="N4046"/>
      <c r="O4046"/>
      <c r="P4046"/>
      <c r="Q4046"/>
      <c r="R4046"/>
      <c r="S4046"/>
    </row>
    <row r="4047" spans="1:19" ht="15" x14ac:dyDescent="0.2">
      <c r="A4047"/>
      <c r="B4047"/>
      <c r="C4047"/>
      <c r="D4047"/>
      <c r="E4047"/>
      <c r="F4047"/>
      <c r="G4047"/>
      <c r="H4047"/>
      <c r="I4047"/>
      <c r="J4047"/>
      <c r="K4047"/>
      <c r="L4047"/>
      <c r="M4047"/>
      <c r="N4047"/>
      <c r="O4047"/>
      <c r="P4047"/>
      <c r="Q4047"/>
      <c r="R4047"/>
      <c r="S4047"/>
    </row>
    <row r="4048" spans="1:19" ht="15" x14ac:dyDescent="0.2">
      <c r="A4048"/>
      <c r="B4048"/>
      <c r="C4048"/>
      <c r="D4048"/>
      <c r="E4048"/>
      <c r="F4048"/>
      <c r="G4048"/>
      <c r="H4048"/>
      <c r="I4048"/>
      <c r="J4048"/>
      <c r="K4048"/>
      <c r="L4048"/>
      <c r="M4048"/>
      <c r="N4048"/>
      <c r="O4048"/>
      <c r="P4048"/>
      <c r="Q4048"/>
      <c r="R4048"/>
      <c r="S4048"/>
    </row>
    <row r="4049" spans="1:19" ht="15" x14ac:dyDescent="0.2">
      <c r="A4049"/>
      <c r="B4049"/>
      <c r="C4049"/>
      <c r="D4049"/>
      <c r="E4049"/>
      <c r="F4049"/>
      <c r="G4049"/>
      <c r="H4049"/>
      <c r="I4049"/>
      <c r="J4049"/>
      <c r="K4049"/>
      <c r="L4049"/>
      <c r="M4049"/>
      <c r="N4049"/>
      <c r="O4049"/>
      <c r="P4049"/>
      <c r="Q4049"/>
      <c r="R4049"/>
      <c r="S4049"/>
    </row>
    <row r="4050" spans="1:19" ht="15" x14ac:dyDescent="0.2">
      <c r="A4050"/>
      <c r="B4050"/>
      <c r="C4050"/>
      <c r="D4050"/>
      <c r="E4050"/>
      <c r="F4050"/>
      <c r="G4050"/>
      <c r="H4050"/>
      <c r="I4050"/>
      <c r="J4050"/>
      <c r="K4050"/>
      <c r="L4050"/>
      <c r="M4050"/>
      <c r="N4050"/>
      <c r="O4050"/>
      <c r="P4050"/>
      <c r="Q4050"/>
      <c r="R4050"/>
      <c r="S4050"/>
    </row>
    <row r="4051" spans="1:19" ht="15" x14ac:dyDescent="0.2">
      <c r="A4051"/>
      <c r="B4051"/>
      <c r="C4051"/>
      <c r="D4051"/>
      <c r="E4051"/>
      <c r="F4051"/>
      <c r="G4051"/>
      <c r="H4051"/>
      <c r="I4051"/>
      <c r="J4051"/>
      <c r="K4051"/>
      <c r="L4051"/>
      <c r="M4051"/>
      <c r="N4051"/>
      <c r="O4051"/>
      <c r="P4051"/>
      <c r="Q4051"/>
      <c r="R4051"/>
      <c r="S4051"/>
    </row>
    <row r="4052" spans="1:19" ht="15" x14ac:dyDescent="0.2">
      <c r="A4052"/>
      <c r="B4052"/>
      <c r="C4052"/>
      <c r="D4052"/>
      <c r="E4052"/>
      <c r="F4052"/>
      <c r="G4052"/>
      <c r="H4052"/>
      <c r="I4052"/>
      <c r="J4052"/>
      <c r="K4052"/>
      <c r="L4052"/>
      <c r="M4052"/>
      <c r="N4052"/>
      <c r="O4052"/>
      <c r="P4052"/>
      <c r="Q4052"/>
      <c r="R4052"/>
      <c r="S4052"/>
    </row>
    <row r="4053" spans="1:19" ht="15" x14ac:dyDescent="0.2">
      <c r="A4053"/>
      <c r="B4053"/>
      <c r="C4053"/>
      <c r="D4053"/>
      <c r="E4053"/>
      <c r="F4053"/>
      <c r="G4053"/>
      <c r="H4053"/>
      <c r="I4053"/>
      <c r="J4053"/>
      <c r="K4053"/>
      <c r="L4053"/>
      <c r="M4053"/>
      <c r="N4053"/>
      <c r="O4053"/>
      <c r="P4053"/>
      <c r="Q4053"/>
      <c r="R4053"/>
      <c r="S4053"/>
    </row>
    <row r="4054" spans="1:19" ht="15" x14ac:dyDescent="0.2">
      <c r="A4054"/>
      <c r="B4054"/>
      <c r="C4054"/>
      <c r="D4054"/>
      <c r="E4054"/>
      <c r="F4054"/>
      <c r="G4054"/>
      <c r="H4054"/>
      <c r="I4054"/>
      <c r="J4054"/>
      <c r="K4054"/>
      <c r="L4054"/>
      <c r="M4054"/>
      <c r="N4054"/>
      <c r="O4054"/>
      <c r="P4054"/>
      <c r="Q4054"/>
      <c r="R4054"/>
      <c r="S4054"/>
    </row>
    <row r="4055" spans="1:19" ht="15" x14ac:dyDescent="0.2">
      <c r="A4055"/>
      <c r="B4055"/>
      <c r="C4055"/>
      <c r="D4055"/>
      <c r="E4055"/>
      <c r="F4055"/>
      <c r="G4055"/>
      <c r="H4055"/>
      <c r="I4055"/>
      <c r="J4055"/>
      <c r="K4055"/>
      <c r="L4055"/>
      <c r="M4055"/>
      <c r="N4055"/>
      <c r="O4055"/>
      <c r="P4055"/>
      <c r="Q4055"/>
      <c r="R4055"/>
      <c r="S4055"/>
    </row>
    <row r="4056" spans="1:19" ht="15" x14ac:dyDescent="0.2">
      <c r="A4056"/>
      <c r="B4056"/>
      <c r="C4056"/>
      <c r="D4056"/>
      <c r="E4056"/>
      <c r="F4056"/>
      <c r="G4056"/>
      <c r="H4056"/>
      <c r="I4056"/>
      <c r="J4056"/>
      <c r="K4056"/>
      <c r="L4056"/>
      <c r="M4056"/>
      <c r="N4056"/>
      <c r="O4056"/>
      <c r="P4056"/>
      <c r="Q4056"/>
      <c r="R4056"/>
      <c r="S4056"/>
    </row>
    <row r="4057" spans="1:19" ht="15" x14ac:dyDescent="0.2">
      <c r="A4057"/>
      <c r="B4057"/>
      <c r="C4057"/>
      <c r="D4057"/>
      <c r="E4057"/>
      <c r="F4057"/>
      <c r="G4057"/>
      <c r="H4057"/>
      <c r="I4057"/>
      <c r="J4057"/>
      <c r="K4057"/>
      <c r="L4057"/>
      <c r="M4057"/>
      <c r="N4057"/>
      <c r="O4057"/>
      <c r="P4057"/>
      <c r="Q4057"/>
      <c r="R4057"/>
      <c r="S4057"/>
    </row>
    <row r="4058" spans="1:19" ht="15" x14ac:dyDescent="0.2">
      <c r="A4058"/>
      <c r="B4058"/>
      <c r="C4058"/>
      <c r="D4058"/>
      <c r="E4058"/>
      <c r="F4058"/>
      <c r="G4058"/>
      <c r="H4058"/>
      <c r="I4058"/>
      <c r="J4058"/>
      <c r="K4058"/>
      <c r="L4058"/>
      <c r="M4058"/>
      <c r="N4058"/>
      <c r="O4058"/>
      <c r="P4058"/>
      <c r="Q4058"/>
      <c r="R4058"/>
      <c r="S4058"/>
    </row>
    <row r="4059" spans="1:19" ht="15" x14ac:dyDescent="0.2">
      <c r="A4059"/>
      <c r="B4059"/>
      <c r="C4059"/>
      <c r="D4059"/>
      <c r="E4059"/>
      <c r="F4059"/>
      <c r="G4059"/>
      <c r="H4059"/>
      <c r="I4059"/>
      <c r="J4059"/>
      <c r="K4059"/>
      <c r="L4059"/>
      <c r="M4059"/>
      <c r="N4059"/>
      <c r="O4059"/>
      <c r="P4059"/>
      <c r="Q4059"/>
      <c r="R4059"/>
      <c r="S4059"/>
    </row>
    <row r="4060" spans="1:19" ht="15" x14ac:dyDescent="0.2">
      <c r="A4060"/>
      <c r="B4060"/>
      <c r="C4060"/>
      <c r="D4060"/>
      <c r="E4060"/>
      <c r="F4060"/>
      <c r="G4060"/>
      <c r="H4060"/>
      <c r="I4060"/>
      <c r="J4060"/>
      <c r="K4060"/>
      <c r="L4060"/>
      <c r="M4060"/>
      <c r="N4060"/>
      <c r="O4060"/>
      <c r="P4060"/>
      <c r="Q4060"/>
      <c r="R4060"/>
      <c r="S4060"/>
    </row>
    <row r="4061" spans="1:19" ht="15" x14ac:dyDescent="0.2">
      <c r="A4061"/>
      <c r="B4061"/>
      <c r="C4061"/>
      <c r="D4061"/>
      <c r="E4061"/>
      <c r="F4061"/>
      <c r="G4061"/>
      <c r="H4061"/>
      <c r="I4061"/>
      <c r="J4061"/>
      <c r="K4061"/>
      <c r="L4061"/>
      <c r="M4061"/>
      <c r="N4061"/>
      <c r="O4061"/>
      <c r="P4061"/>
      <c r="Q4061"/>
      <c r="R4061"/>
      <c r="S4061"/>
    </row>
    <row r="4062" spans="1:19" ht="15" x14ac:dyDescent="0.2">
      <c r="A4062"/>
      <c r="B4062"/>
      <c r="C4062"/>
      <c r="D4062"/>
      <c r="E4062"/>
      <c r="F4062"/>
      <c r="G4062"/>
      <c r="H4062"/>
      <c r="I4062"/>
      <c r="J4062"/>
      <c r="K4062"/>
      <c r="L4062"/>
      <c r="M4062"/>
      <c r="N4062"/>
      <c r="O4062"/>
      <c r="P4062"/>
      <c r="Q4062"/>
      <c r="R4062"/>
      <c r="S4062"/>
    </row>
    <row r="4063" spans="1:19" ht="15" x14ac:dyDescent="0.2">
      <c r="A4063"/>
      <c r="B4063"/>
      <c r="C4063"/>
      <c r="D4063"/>
      <c r="E4063"/>
      <c r="F4063"/>
      <c r="G4063"/>
      <c r="H4063"/>
      <c r="I4063"/>
      <c r="J4063"/>
      <c r="K4063"/>
      <c r="L4063"/>
      <c r="M4063"/>
      <c r="N4063"/>
      <c r="O4063"/>
      <c r="P4063"/>
      <c r="Q4063"/>
      <c r="R4063"/>
      <c r="S4063"/>
    </row>
    <row r="4064" spans="1:19" ht="15" x14ac:dyDescent="0.2">
      <c r="A4064"/>
      <c r="B4064"/>
      <c r="C4064"/>
      <c r="D4064"/>
      <c r="E4064"/>
      <c r="F4064"/>
      <c r="G4064"/>
      <c r="H4064"/>
      <c r="I4064"/>
      <c r="J4064"/>
      <c r="K4064"/>
      <c r="L4064"/>
      <c r="M4064"/>
      <c r="N4064"/>
      <c r="O4064"/>
      <c r="P4064"/>
      <c r="Q4064"/>
      <c r="R4064"/>
      <c r="S4064"/>
    </row>
    <row r="4065" spans="1:19" ht="15" x14ac:dyDescent="0.2">
      <c r="A4065"/>
      <c r="B4065"/>
      <c r="C4065"/>
      <c r="D4065"/>
      <c r="E4065"/>
      <c r="F4065"/>
      <c r="G4065"/>
      <c r="H4065"/>
      <c r="I4065"/>
      <c r="J4065"/>
      <c r="K4065"/>
      <c r="L4065"/>
      <c r="M4065"/>
      <c r="N4065"/>
      <c r="O4065"/>
      <c r="P4065"/>
      <c r="Q4065"/>
      <c r="R4065"/>
      <c r="S4065"/>
    </row>
    <row r="4066" spans="1:19" ht="15" x14ac:dyDescent="0.2">
      <c r="A4066"/>
      <c r="B4066"/>
      <c r="C4066"/>
      <c r="D4066"/>
      <c r="E4066"/>
      <c r="F4066"/>
      <c r="G4066"/>
      <c r="H4066"/>
      <c r="I4066"/>
      <c r="J4066"/>
      <c r="K4066"/>
      <c r="L4066"/>
      <c r="M4066"/>
      <c r="N4066"/>
      <c r="O4066"/>
      <c r="P4066"/>
      <c r="Q4066"/>
      <c r="R4066"/>
      <c r="S4066"/>
    </row>
    <row r="4067" spans="1:19" ht="15" x14ac:dyDescent="0.2">
      <c r="A4067"/>
      <c r="B4067"/>
      <c r="C4067"/>
      <c r="D4067"/>
      <c r="E4067"/>
      <c r="F4067"/>
      <c r="G4067"/>
      <c r="H4067"/>
      <c r="I4067"/>
      <c r="J4067"/>
      <c r="K4067"/>
      <c r="L4067"/>
      <c r="M4067"/>
      <c r="N4067"/>
      <c r="O4067"/>
      <c r="P4067"/>
      <c r="Q4067"/>
      <c r="R4067"/>
      <c r="S4067"/>
    </row>
    <row r="4068" spans="1:19" ht="15" x14ac:dyDescent="0.2">
      <c r="A4068"/>
      <c r="B4068"/>
      <c r="C4068"/>
      <c r="D4068"/>
      <c r="E4068"/>
      <c r="F4068"/>
      <c r="G4068"/>
      <c r="H4068"/>
      <c r="I4068"/>
      <c r="J4068"/>
      <c r="K4068"/>
      <c r="L4068"/>
      <c r="M4068"/>
      <c r="N4068"/>
      <c r="O4068"/>
      <c r="P4068"/>
      <c r="Q4068"/>
      <c r="R4068"/>
      <c r="S4068"/>
    </row>
    <row r="4069" spans="1:19" ht="15" x14ac:dyDescent="0.2">
      <c r="A4069"/>
      <c r="B4069"/>
      <c r="C4069"/>
      <c r="D4069"/>
      <c r="E4069"/>
      <c r="F4069"/>
      <c r="G4069"/>
      <c r="H4069"/>
      <c r="I4069"/>
      <c r="J4069"/>
      <c r="K4069"/>
      <c r="L4069"/>
      <c r="M4069"/>
      <c r="N4069"/>
      <c r="O4069"/>
      <c r="P4069"/>
      <c r="Q4069"/>
      <c r="R4069"/>
      <c r="S4069"/>
    </row>
    <row r="4070" spans="1:19" ht="15" x14ac:dyDescent="0.2">
      <c r="A4070"/>
      <c r="B4070"/>
      <c r="C4070"/>
      <c r="D4070"/>
      <c r="E4070"/>
      <c r="F4070"/>
      <c r="G4070"/>
      <c r="H4070"/>
      <c r="I4070"/>
      <c r="J4070"/>
      <c r="K4070"/>
      <c r="L4070"/>
      <c r="M4070"/>
      <c r="N4070"/>
      <c r="O4070"/>
      <c r="P4070"/>
      <c r="Q4070"/>
      <c r="R4070"/>
      <c r="S4070"/>
    </row>
    <row r="4071" spans="1:19" ht="15" x14ac:dyDescent="0.2">
      <c r="A4071"/>
      <c r="B4071"/>
      <c r="C4071"/>
      <c r="D4071"/>
      <c r="E4071"/>
      <c r="F4071"/>
      <c r="G4071"/>
      <c r="H4071"/>
      <c r="I4071"/>
      <c r="J4071"/>
      <c r="K4071"/>
      <c r="L4071"/>
      <c r="M4071"/>
      <c r="N4071"/>
      <c r="O4071"/>
      <c r="P4071"/>
      <c r="Q4071"/>
      <c r="R4071"/>
      <c r="S4071"/>
    </row>
    <row r="4072" spans="1:19" ht="15" x14ac:dyDescent="0.2">
      <c r="A4072"/>
      <c r="B4072"/>
      <c r="C4072"/>
      <c r="D4072"/>
      <c r="E4072"/>
      <c r="F4072"/>
      <c r="G4072"/>
      <c r="H4072"/>
      <c r="I4072"/>
      <c r="J4072"/>
      <c r="K4072"/>
      <c r="L4072"/>
      <c r="M4072"/>
      <c r="N4072"/>
      <c r="O4072"/>
      <c r="P4072"/>
      <c r="Q4072"/>
      <c r="R4072"/>
      <c r="S4072"/>
    </row>
    <row r="4073" spans="1:19" ht="15" x14ac:dyDescent="0.2">
      <c r="A4073"/>
      <c r="B4073"/>
      <c r="C4073"/>
      <c r="D4073"/>
      <c r="E4073"/>
      <c r="F4073"/>
      <c r="G4073"/>
      <c r="H4073"/>
      <c r="I4073"/>
      <c r="J4073"/>
      <c r="K4073"/>
      <c r="L4073"/>
      <c r="M4073"/>
      <c r="N4073"/>
      <c r="O4073"/>
      <c r="P4073"/>
      <c r="Q4073"/>
      <c r="R4073"/>
      <c r="S4073"/>
    </row>
    <row r="4074" spans="1:19" ht="15" x14ac:dyDescent="0.2">
      <c r="A4074"/>
      <c r="B4074"/>
      <c r="C4074"/>
      <c r="D4074"/>
      <c r="E4074"/>
      <c r="F4074"/>
      <c r="G4074"/>
      <c r="H4074"/>
      <c r="I4074"/>
      <c r="J4074"/>
      <c r="K4074"/>
      <c r="L4074"/>
      <c r="M4074"/>
      <c r="N4074"/>
      <c r="O4074"/>
      <c r="P4074"/>
      <c r="Q4074"/>
      <c r="R4074"/>
      <c r="S4074"/>
    </row>
    <row r="4075" spans="1:19" ht="15" x14ac:dyDescent="0.2">
      <c r="A4075"/>
      <c r="B4075"/>
      <c r="C4075"/>
      <c r="D4075"/>
      <c r="E4075"/>
      <c r="F4075"/>
      <c r="G4075"/>
      <c r="H4075"/>
      <c r="I4075"/>
      <c r="J4075"/>
      <c r="K4075"/>
      <c r="L4075"/>
      <c r="M4075"/>
      <c r="N4075"/>
      <c r="O4075"/>
      <c r="P4075"/>
      <c r="Q4075"/>
      <c r="R4075"/>
      <c r="S4075"/>
    </row>
    <row r="4076" spans="1:19" ht="15" x14ac:dyDescent="0.2">
      <c r="A4076"/>
      <c r="B4076"/>
      <c r="C4076"/>
      <c r="D4076"/>
      <c r="E4076"/>
      <c r="F4076"/>
      <c r="G4076"/>
      <c r="H4076"/>
      <c r="I4076"/>
      <c r="J4076"/>
      <c r="K4076"/>
      <c r="L4076"/>
      <c r="M4076"/>
      <c r="N4076"/>
      <c r="O4076"/>
      <c r="P4076"/>
      <c r="Q4076"/>
      <c r="R4076"/>
      <c r="S4076"/>
    </row>
    <row r="4077" spans="1:19" ht="15" x14ac:dyDescent="0.2">
      <c r="A4077"/>
      <c r="B4077"/>
      <c r="C4077"/>
      <c r="D4077"/>
      <c r="E4077"/>
      <c r="F4077"/>
      <c r="G4077"/>
      <c r="H4077"/>
      <c r="I4077"/>
      <c r="J4077"/>
      <c r="K4077"/>
      <c r="L4077"/>
      <c r="M4077"/>
      <c r="N4077"/>
      <c r="O4077"/>
      <c r="P4077"/>
      <c r="Q4077"/>
      <c r="R4077"/>
      <c r="S4077"/>
    </row>
    <row r="4078" spans="1:19" ht="15" x14ac:dyDescent="0.2">
      <c r="A4078"/>
      <c r="B4078"/>
      <c r="C4078"/>
      <c r="D4078"/>
      <c r="E4078"/>
      <c r="F4078"/>
      <c r="G4078"/>
      <c r="H4078"/>
      <c r="I4078"/>
      <c r="J4078"/>
      <c r="K4078"/>
      <c r="L4078"/>
      <c r="M4078"/>
      <c r="N4078"/>
      <c r="O4078"/>
      <c r="P4078"/>
      <c r="Q4078"/>
      <c r="R4078"/>
      <c r="S4078"/>
    </row>
    <row r="4079" spans="1:19" ht="15" x14ac:dyDescent="0.2">
      <c r="A4079"/>
      <c r="B4079"/>
      <c r="C4079"/>
      <c r="D4079"/>
      <c r="E4079"/>
      <c r="F4079"/>
      <c r="G4079"/>
      <c r="H4079"/>
      <c r="I4079"/>
      <c r="J4079"/>
      <c r="K4079"/>
      <c r="L4079"/>
      <c r="M4079"/>
      <c r="N4079"/>
      <c r="O4079"/>
      <c r="P4079"/>
      <c r="Q4079"/>
      <c r="R4079"/>
      <c r="S4079"/>
    </row>
    <row r="4080" spans="1:19" ht="15" x14ac:dyDescent="0.2">
      <c r="A4080"/>
      <c r="B4080"/>
      <c r="C4080"/>
      <c r="D4080"/>
      <c r="E4080"/>
      <c r="F4080"/>
      <c r="G4080"/>
      <c r="H4080"/>
      <c r="I4080"/>
      <c r="J4080"/>
      <c r="K4080"/>
      <c r="L4080"/>
      <c r="M4080"/>
      <c r="N4080"/>
      <c r="O4080"/>
      <c r="P4080"/>
      <c r="Q4080"/>
      <c r="R4080"/>
      <c r="S4080"/>
    </row>
    <row r="4081" spans="1:19" ht="15" x14ac:dyDescent="0.2">
      <c r="A4081"/>
      <c r="B4081"/>
      <c r="C4081"/>
      <c r="D4081"/>
      <c r="E4081"/>
      <c r="F4081"/>
      <c r="G4081"/>
      <c r="H4081"/>
      <c r="I4081"/>
      <c r="J4081"/>
      <c r="K4081"/>
      <c r="L4081"/>
      <c r="M4081"/>
      <c r="N4081"/>
      <c r="O4081"/>
      <c r="P4081"/>
      <c r="Q4081"/>
      <c r="R4081"/>
      <c r="S4081"/>
    </row>
    <row r="4082" spans="1:19" ht="15" x14ac:dyDescent="0.2">
      <c r="A4082"/>
      <c r="B4082"/>
      <c r="C4082"/>
      <c r="D4082"/>
      <c r="E4082"/>
      <c r="F4082"/>
      <c r="G4082"/>
      <c r="H4082"/>
      <c r="I4082"/>
      <c r="J4082"/>
      <c r="K4082"/>
      <c r="L4082"/>
      <c r="M4082"/>
      <c r="N4082"/>
      <c r="O4082"/>
      <c r="P4082"/>
      <c r="Q4082"/>
      <c r="R4082"/>
      <c r="S4082"/>
    </row>
    <row r="4083" spans="1:19" ht="15" x14ac:dyDescent="0.2">
      <c r="A4083"/>
      <c r="B4083"/>
      <c r="C4083"/>
      <c r="D4083"/>
      <c r="E4083"/>
      <c r="F4083"/>
      <c r="G4083"/>
      <c r="H4083"/>
      <c r="I4083"/>
      <c r="J4083"/>
      <c r="K4083"/>
      <c r="L4083"/>
      <c r="M4083"/>
      <c r="N4083"/>
      <c r="O4083"/>
      <c r="P4083"/>
      <c r="Q4083"/>
      <c r="R4083"/>
      <c r="S4083"/>
    </row>
    <row r="4084" spans="1:19" ht="15" x14ac:dyDescent="0.2">
      <c r="A4084"/>
      <c r="B4084"/>
      <c r="C4084"/>
      <c r="D4084"/>
      <c r="E4084"/>
      <c r="F4084"/>
      <c r="G4084"/>
      <c r="H4084"/>
      <c r="I4084"/>
      <c r="J4084"/>
      <c r="K4084"/>
      <c r="L4084"/>
      <c r="M4084"/>
      <c r="N4084"/>
      <c r="O4084"/>
      <c r="P4084"/>
      <c r="Q4084"/>
      <c r="R4084"/>
      <c r="S4084"/>
    </row>
    <row r="4085" spans="1:19" ht="15" x14ac:dyDescent="0.2">
      <c r="A4085"/>
      <c r="B4085"/>
      <c r="C4085"/>
      <c r="D4085"/>
      <c r="E4085"/>
      <c r="F4085"/>
      <c r="G4085"/>
      <c r="H4085"/>
      <c r="I4085"/>
      <c r="J4085"/>
      <c r="K4085"/>
      <c r="L4085"/>
      <c r="M4085"/>
      <c r="N4085"/>
      <c r="O4085"/>
      <c r="P4085"/>
      <c r="Q4085"/>
      <c r="R4085"/>
      <c r="S4085"/>
    </row>
    <row r="4086" spans="1:19" ht="15" x14ac:dyDescent="0.2">
      <c r="A4086"/>
      <c r="B4086"/>
      <c r="C4086"/>
      <c r="D4086"/>
      <c r="E4086"/>
      <c r="F4086"/>
      <c r="G4086"/>
      <c r="H4086"/>
      <c r="I4086"/>
      <c r="J4086"/>
      <c r="K4086"/>
      <c r="L4086"/>
      <c r="M4086"/>
      <c r="N4086"/>
      <c r="O4086"/>
      <c r="P4086"/>
      <c r="Q4086"/>
      <c r="R4086"/>
      <c r="S4086"/>
    </row>
    <row r="4087" spans="1:19" ht="15" x14ac:dyDescent="0.2">
      <c r="A4087"/>
      <c r="B4087"/>
      <c r="C4087"/>
      <c r="D4087"/>
      <c r="E4087"/>
      <c r="F4087"/>
      <c r="G4087"/>
      <c r="H4087"/>
      <c r="I4087"/>
      <c r="J4087"/>
      <c r="K4087"/>
      <c r="L4087"/>
      <c r="M4087"/>
      <c r="N4087"/>
      <c r="O4087"/>
      <c r="P4087"/>
      <c r="Q4087"/>
      <c r="R4087"/>
      <c r="S4087"/>
    </row>
    <row r="4088" spans="1:19" ht="15" x14ac:dyDescent="0.2">
      <c r="A4088"/>
      <c r="B4088"/>
      <c r="C4088"/>
      <c r="D4088"/>
      <c r="E4088"/>
      <c r="F4088"/>
      <c r="G4088"/>
      <c r="H4088"/>
      <c r="I4088"/>
      <c r="J4088"/>
      <c r="K4088"/>
      <c r="L4088"/>
      <c r="M4088"/>
      <c r="N4088"/>
      <c r="O4088"/>
      <c r="P4088"/>
      <c r="Q4088"/>
      <c r="R4088"/>
      <c r="S4088"/>
    </row>
    <row r="4089" spans="1:19" ht="15" x14ac:dyDescent="0.2">
      <c r="A4089"/>
      <c r="B4089"/>
      <c r="C4089"/>
      <c r="D4089"/>
      <c r="E4089"/>
      <c r="F4089"/>
      <c r="G4089"/>
      <c r="H4089"/>
      <c r="I4089"/>
      <c r="J4089"/>
      <c r="K4089"/>
      <c r="L4089"/>
      <c r="M4089"/>
      <c r="N4089"/>
      <c r="O4089"/>
      <c r="P4089"/>
      <c r="Q4089"/>
      <c r="R4089"/>
      <c r="S4089"/>
    </row>
    <row r="4090" spans="1:19" ht="15" x14ac:dyDescent="0.2">
      <c r="A4090"/>
      <c r="B4090"/>
      <c r="C4090"/>
      <c r="D4090"/>
      <c r="E4090"/>
      <c r="F4090"/>
      <c r="G4090"/>
      <c r="H4090"/>
      <c r="I4090"/>
      <c r="J4090"/>
      <c r="K4090"/>
      <c r="L4090"/>
      <c r="M4090"/>
      <c r="N4090"/>
      <c r="O4090"/>
      <c r="P4090"/>
      <c r="Q4090"/>
      <c r="R4090"/>
      <c r="S4090"/>
    </row>
    <row r="4091" spans="1:19" ht="15" x14ac:dyDescent="0.2">
      <c r="A4091"/>
      <c r="B4091"/>
      <c r="C4091"/>
      <c r="D4091"/>
      <c r="E4091"/>
      <c r="F4091"/>
      <c r="G4091"/>
      <c r="H4091"/>
      <c r="I4091"/>
      <c r="J4091"/>
      <c r="K4091"/>
      <c r="L4091"/>
      <c r="M4091"/>
      <c r="N4091"/>
      <c r="O4091"/>
      <c r="P4091"/>
      <c r="Q4091"/>
      <c r="R4091"/>
      <c r="S4091"/>
    </row>
    <row r="4092" spans="1:19" ht="15" x14ac:dyDescent="0.2">
      <c r="A4092"/>
      <c r="B4092"/>
      <c r="C4092"/>
      <c r="D4092"/>
      <c r="E4092"/>
      <c r="F4092"/>
      <c r="G4092"/>
      <c r="H4092"/>
      <c r="I4092"/>
      <c r="J4092"/>
      <c r="K4092"/>
      <c r="L4092"/>
      <c r="M4092"/>
      <c r="N4092"/>
      <c r="O4092"/>
      <c r="P4092"/>
      <c r="Q4092"/>
      <c r="R4092"/>
      <c r="S4092"/>
    </row>
    <row r="4093" spans="1:19" ht="15" x14ac:dyDescent="0.2">
      <c r="A4093"/>
      <c r="B4093"/>
      <c r="C4093"/>
      <c r="D4093"/>
      <c r="E4093"/>
      <c r="F4093"/>
      <c r="G4093"/>
      <c r="H4093"/>
      <c r="I4093"/>
      <c r="J4093"/>
      <c r="K4093"/>
      <c r="L4093"/>
      <c r="M4093"/>
      <c r="N4093"/>
      <c r="O4093"/>
      <c r="P4093"/>
      <c r="Q4093"/>
      <c r="R4093"/>
      <c r="S4093"/>
    </row>
    <row r="4094" spans="1:19" ht="15" x14ac:dyDescent="0.2">
      <c r="A4094"/>
      <c r="B4094"/>
      <c r="C4094"/>
      <c r="D4094"/>
      <c r="E4094"/>
      <c r="F4094"/>
      <c r="G4094"/>
      <c r="H4094"/>
      <c r="I4094"/>
      <c r="J4094"/>
      <c r="K4094"/>
      <c r="L4094"/>
      <c r="M4094"/>
      <c r="N4094"/>
      <c r="O4094"/>
      <c r="P4094"/>
      <c r="Q4094"/>
      <c r="R4094"/>
      <c r="S4094"/>
    </row>
    <row r="4095" spans="1:19" ht="15" x14ac:dyDescent="0.2">
      <c r="A4095"/>
      <c r="B4095"/>
      <c r="C4095"/>
      <c r="D4095"/>
      <c r="E4095"/>
      <c r="F4095"/>
      <c r="G4095"/>
      <c r="H4095"/>
      <c r="I4095"/>
      <c r="J4095"/>
      <c r="K4095"/>
      <c r="L4095"/>
      <c r="M4095"/>
      <c r="N4095"/>
      <c r="O4095"/>
      <c r="P4095"/>
      <c r="Q4095"/>
      <c r="R4095"/>
      <c r="S4095"/>
    </row>
    <row r="4096" spans="1:19" ht="15" x14ac:dyDescent="0.2">
      <c r="A4096"/>
      <c r="B4096"/>
      <c r="C4096"/>
      <c r="D4096"/>
      <c r="E4096"/>
      <c r="F4096"/>
      <c r="G4096"/>
      <c r="H4096"/>
      <c r="I4096"/>
      <c r="J4096"/>
      <c r="K4096"/>
      <c r="L4096"/>
      <c r="M4096"/>
      <c r="N4096"/>
      <c r="O4096"/>
      <c r="P4096"/>
      <c r="Q4096"/>
      <c r="R4096"/>
      <c r="S4096"/>
    </row>
    <row r="4097" spans="1:19" ht="15" x14ac:dyDescent="0.2">
      <c r="A4097"/>
      <c r="B4097"/>
      <c r="C4097"/>
      <c r="D4097"/>
      <c r="E4097"/>
      <c r="F4097"/>
      <c r="G4097"/>
      <c r="H4097"/>
      <c r="I4097"/>
      <c r="J4097"/>
      <c r="K4097"/>
      <c r="L4097"/>
      <c r="M4097"/>
      <c r="N4097"/>
      <c r="O4097"/>
      <c r="P4097"/>
      <c r="Q4097"/>
      <c r="R4097"/>
      <c r="S4097"/>
    </row>
    <row r="4098" spans="1:19" ht="15" x14ac:dyDescent="0.2">
      <c r="A4098"/>
      <c r="B4098"/>
      <c r="C4098"/>
      <c r="D4098"/>
      <c r="E4098"/>
      <c r="F4098"/>
      <c r="G4098"/>
      <c r="H4098"/>
      <c r="I4098"/>
      <c r="J4098"/>
      <c r="K4098"/>
      <c r="L4098"/>
      <c r="M4098"/>
      <c r="N4098"/>
      <c r="O4098"/>
      <c r="P4098"/>
      <c r="Q4098"/>
      <c r="R4098"/>
      <c r="S4098"/>
    </row>
    <row r="4099" spans="1:19" ht="15" x14ac:dyDescent="0.2">
      <c r="A4099"/>
      <c r="B4099"/>
      <c r="C4099"/>
      <c r="D4099"/>
      <c r="E4099"/>
      <c r="F4099"/>
      <c r="G4099"/>
      <c r="H4099"/>
      <c r="I4099"/>
      <c r="J4099"/>
      <c r="K4099"/>
      <c r="L4099"/>
      <c r="M4099"/>
      <c r="N4099"/>
      <c r="O4099"/>
      <c r="P4099"/>
      <c r="Q4099"/>
      <c r="R4099"/>
      <c r="S4099"/>
    </row>
    <row r="4100" spans="1:19" ht="15" x14ac:dyDescent="0.2">
      <c r="A4100"/>
      <c r="B4100"/>
      <c r="C4100"/>
      <c r="D4100"/>
      <c r="E4100"/>
      <c r="F4100"/>
      <c r="G4100"/>
      <c r="H4100"/>
      <c r="I4100"/>
      <c r="J4100"/>
      <c r="K4100"/>
      <c r="L4100"/>
      <c r="M4100"/>
      <c r="N4100"/>
      <c r="O4100"/>
      <c r="P4100"/>
      <c r="Q4100"/>
      <c r="R4100"/>
      <c r="S4100"/>
    </row>
    <row r="4101" spans="1:19" ht="15" x14ac:dyDescent="0.2">
      <c r="A4101"/>
      <c r="B4101"/>
      <c r="C4101"/>
      <c r="D4101"/>
      <c r="E4101"/>
      <c r="F4101"/>
      <c r="G4101"/>
      <c r="H4101"/>
      <c r="I4101"/>
      <c r="J4101"/>
      <c r="K4101"/>
      <c r="L4101"/>
      <c r="M4101"/>
      <c r="N4101"/>
      <c r="O4101"/>
      <c r="P4101"/>
      <c r="Q4101"/>
      <c r="R4101"/>
      <c r="S4101"/>
    </row>
    <row r="4102" spans="1:19" ht="15" x14ac:dyDescent="0.2">
      <c r="A4102"/>
      <c r="B4102"/>
      <c r="C4102"/>
      <c r="D4102"/>
      <c r="E4102"/>
      <c r="F4102"/>
      <c r="G4102"/>
      <c r="H4102"/>
      <c r="I4102"/>
      <c r="J4102"/>
      <c r="K4102"/>
      <c r="L4102"/>
      <c r="M4102"/>
      <c r="N4102"/>
      <c r="O4102"/>
      <c r="P4102"/>
      <c r="Q4102"/>
      <c r="R4102"/>
      <c r="S4102"/>
    </row>
    <row r="4103" spans="1:19" ht="15" x14ac:dyDescent="0.2">
      <c r="A4103"/>
      <c r="B4103"/>
      <c r="C4103"/>
      <c r="D4103"/>
      <c r="E4103"/>
      <c r="F4103"/>
      <c r="G4103"/>
      <c r="H4103"/>
      <c r="I4103"/>
      <c r="J4103"/>
      <c r="K4103"/>
      <c r="L4103"/>
      <c r="M4103"/>
      <c r="N4103"/>
      <c r="O4103"/>
      <c r="P4103"/>
      <c r="Q4103"/>
      <c r="R4103"/>
      <c r="S4103"/>
    </row>
    <row r="4104" spans="1:19" ht="15" x14ac:dyDescent="0.2">
      <c r="A4104"/>
      <c r="B4104"/>
      <c r="C4104"/>
      <c r="D4104"/>
      <c r="E4104"/>
      <c r="F4104"/>
      <c r="G4104"/>
      <c r="H4104"/>
      <c r="I4104"/>
      <c r="J4104"/>
      <c r="K4104"/>
      <c r="L4104"/>
      <c r="M4104"/>
      <c r="N4104"/>
      <c r="O4104"/>
      <c r="P4104"/>
      <c r="Q4104"/>
      <c r="R4104"/>
      <c r="S4104"/>
    </row>
    <row r="4105" spans="1:19" ht="15" x14ac:dyDescent="0.2">
      <c r="A4105"/>
      <c r="B4105"/>
      <c r="C4105"/>
      <c r="D4105"/>
      <c r="E4105"/>
      <c r="F4105"/>
      <c r="G4105"/>
      <c r="H4105"/>
      <c r="I4105"/>
      <c r="J4105"/>
      <c r="K4105"/>
      <c r="L4105"/>
      <c r="M4105"/>
      <c r="N4105"/>
      <c r="O4105"/>
      <c r="P4105"/>
      <c r="Q4105"/>
      <c r="R4105"/>
      <c r="S4105"/>
    </row>
    <row r="4106" spans="1:19" ht="15" x14ac:dyDescent="0.2">
      <c r="A4106"/>
      <c r="B4106"/>
      <c r="C4106"/>
      <c r="D4106"/>
      <c r="E4106"/>
      <c r="F4106"/>
      <c r="G4106"/>
      <c r="H4106"/>
      <c r="I4106"/>
      <c r="J4106"/>
      <c r="K4106"/>
      <c r="L4106"/>
      <c r="M4106"/>
      <c r="N4106"/>
      <c r="O4106"/>
      <c r="P4106"/>
      <c r="Q4106"/>
      <c r="R4106"/>
      <c r="S4106"/>
    </row>
    <row r="4107" spans="1:19" ht="15" x14ac:dyDescent="0.2">
      <c r="A4107"/>
      <c r="B4107"/>
      <c r="C4107"/>
      <c r="D4107"/>
      <c r="E4107"/>
      <c r="F4107"/>
      <c r="G4107"/>
      <c r="H4107"/>
      <c r="I4107"/>
      <c r="J4107"/>
      <c r="K4107"/>
      <c r="L4107"/>
      <c r="M4107"/>
      <c r="N4107"/>
      <c r="O4107"/>
      <c r="P4107"/>
      <c r="Q4107"/>
      <c r="R4107"/>
      <c r="S4107"/>
    </row>
    <row r="4108" spans="1:19" ht="15" x14ac:dyDescent="0.2">
      <c r="A4108"/>
      <c r="B4108"/>
      <c r="C4108"/>
      <c r="D4108"/>
      <c r="E4108"/>
      <c r="F4108"/>
      <c r="G4108"/>
      <c r="H4108"/>
      <c r="I4108"/>
      <c r="J4108"/>
      <c r="K4108"/>
      <c r="L4108"/>
      <c r="M4108"/>
      <c r="N4108"/>
      <c r="O4108"/>
      <c r="P4108"/>
      <c r="Q4108"/>
      <c r="R4108"/>
      <c r="S4108"/>
    </row>
    <row r="4109" spans="1:19" ht="15" x14ac:dyDescent="0.2">
      <c r="A4109"/>
      <c r="B4109"/>
      <c r="C4109"/>
      <c r="D4109"/>
      <c r="E4109"/>
      <c r="F4109"/>
      <c r="G4109"/>
      <c r="H4109"/>
      <c r="I4109"/>
      <c r="J4109"/>
      <c r="K4109"/>
      <c r="L4109"/>
      <c r="M4109"/>
      <c r="N4109"/>
      <c r="O4109"/>
      <c r="P4109"/>
      <c r="Q4109"/>
      <c r="R4109"/>
      <c r="S4109"/>
    </row>
    <row r="4110" spans="1:19" ht="15" x14ac:dyDescent="0.2">
      <c r="A4110"/>
      <c r="B4110"/>
      <c r="C4110"/>
      <c r="D4110"/>
      <c r="E4110"/>
      <c r="F4110"/>
      <c r="G4110"/>
      <c r="H4110"/>
      <c r="I4110"/>
      <c r="J4110"/>
      <c r="K4110"/>
      <c r="L4110"/>
      <c r="M4110"/>
      <c r="N4110"/>
      <c r="O4110"/>
      <c r="P4110"/>
      <c r="Q4110"/>
      <c r="R4110"/>
      <c r="S4110"/>
    </row>
    <row r="4111" spans="1:19" ht="15" x14ac:dyDescent="0.2">
      <c r="A4111"/>
      <c r="B4111"/>
      <c r="C4111"/>
      <c r="D4111"/>
      <c r="E4111"/>
      <c r="F4111"/>
      <c r="G4111"/>
      <c r="H4111"/>
      <c r="I4111"/>
      <c r="J4111"/>
      <c r="K4111"/>
      <c r="L4111"/>
      <c r="M4111"/>
      <c r="N4111"/>
      <c r="O4111"/>
      <c r="P4111"/>
      <c r="Q4111"/>
      <c r="R4111"/>
      <c r="S4111"/>
    </row>
    <row r="4112" spans="1:19" ht="15" x14ac:dyDescent="0.2">
      <c r="A4112"/>
      <c r="B4112"/>
      <c r="C4112"/>
      <c r="D4112"/>
      <c r="E4112"/>
      <c r="F4112"/>
      <c r="G4112"/>
      <c r="H4112"/>
      <c r="I4112"/>
      <c r="J4112"/>
      <c r="K4112"/>
      <c r="L4112"/>
      <c r="M4112"/>
      <c r="N4112"/>
      <c r="O4112"/>
      <c r="P4112"/>
      <c r="Q4112"/>
      <c r="R4112"/>
      <c r="S4112"/>
    </row>
    <row r="4113" spans="1:19" ht="15" x14ac:dyDescent="0.2">
      <c r="A4113"/>
      <c r="B4113"/>
      <c r="C4113"/>
      <c r="D4113"/>
      <c r="E4113"/>
      <c r="F4113"/>
      <c r="G4113"/>
      <c r="H4113"/>
      <c r="I4113"/>
      <c r="J4113"/>
      <c r="K4113"/>
      <c r="L4113"/>
      <c r="M4113"/>
      <c r="N4113"/>
      <c r="O4113"/>
      <c r="P4113"/>
      <c r="Q4113"/>
      <c r="R4113"/>
      <c r="S4113"/>
    </row>
    <row r="4114" spans="1:19" ht="15" x14ac:dyDescent="0.2">
      <c r="A4114"/>
      <c r="B4114"/>
      <c r="C4114"/>
      <c r="D4114"/>
      <c r="E4114"/>
      <c r="F4114"/>
      <c r="G4114"/>
      <c r="H4114"/>
      <c r="I4114"/>
      <c r="J4114"/>
      <c r="K4114"/>
      <c r="L4114"/>
      <c r="M4114"/>
      <c r="N4114"/>
      <c r="O4114"/>
      <c r="P4114"/>
      <c r="Q4114"/>
      <c r="R4114"/>
      <c r="S4114"/>
    </row>
    <row r="4115" spans="1:19" ht="15" x14ac:dyDescent="0.2">
      <c r="A4115"/>
      <c r="B4115"/>
      <c r="C4115"/>
      <c r="D4115"/>
      <c r="E4115"/>
      <c r="F4115"/>
      <c r="G4115"/>
      <c r="H4115"/>
      <c r="I4115"/>
      <c r="J4115"/>
      <c r="K4115"/>
      <c r="L4115"/>
      <c r="M4115"/>
      <c r="N4115"/>
      <c r="O4115"/>
      <c r="P4115"/>
      <c r="Q4115"/>
      <c r="R4115"/>
      <c r="S4115"/>
    </row>
    <row r="4116" spans="1:19" ht="15" x14ac:dyDescent="0.2">
      <c r="A4116"/>
      <c r="B4116"/>
      <c r="C4116"/>
      <c r="D4116"/>
      <c r="E4116"/>
      <c r="F4116"/>
      <c r="G4116"/>
      <c r="H4116"/>
      <c r="I4116"/>
      <c r="J4116"/>
      <c r="K4116"/>
      <c r="L4116"/>
      <c r="M4116"/>
      <c r="N4116"/>
      <c r="O4116"/>
      <c r="P4116"/>
      <c r="Q4116"/>
      <c r="R4116"/>
      <c r="S4116"/>
    </row>
    <row r="4117" spans="1:19" ht="15" x14ac:dyDescent="0.2">
      <c r="A4117"/>
      <c r="B4117"/>
      <c r="C4117"/>
      <c r="D4117"/>
      <c r="E4117"/>
      <c r="F4117"/>
      <c r="G4117"/>
      <c r="H4117"/>
      <c r="I4117"/>
      <c r="J4117"/>
      <c r="K4117"/>
      <c r="L4117"/>
      <c r="M4117"/>
      <c r="N4117"/>
      <c r="O4117"/>
      <c r="P4117"/>
      <c r="Q4117"/>
      <c r="R4117"/>
      <c r="S4117"/>
    </row>
    <row r="4118" spans="1:19" ht="15" x14ac:dyDescent="0.2">
      <c r="A4118"/>
      <c r="B4118"/>
      <c r="C4118"/>
      <c r="D4118"/>
      <c r="E4118"/>
      <c r="F4118"/>
      <c r="G4118"/>
      <c r="H4118"/>
      <c r="I4118"/>
      <c r="J4118"/>
      <c r="K4118"/>
      <c r="L4118"/>
      <c r="M4118"/>
      <c r="N4118"/>
      <c r="O4118"/>
      <c r="P4118"/>
      <c r="Q4118"/>
      <c r="R4118"/>
      <c r="S4118"/>
    </row>
    <row r="4119" spans="1:19" ht="15" x14ac:dyDescent="0.2">
      <c r="A4119"/>
      <c r="B4119"/>
      <c r="C4119"/>
      <c r="D4119"/>
      <c r="E4119"/>
      <c r="F4119"/>
      <c r="G4119"/>
      <c r="H4119"/>
      <c r="I4119"/>
      <c r="J4119"/>
      <c r="K4119"/>
      <c r="L4119"/>
      <c r="M4119"/>
      <c r="N4119"/>
      <c r="O4119"/>
      <c r="P4119"/>
      <c r="Q4119"/>
      <c r="R4119"/>
      <c r="S4119"/>
    </row>
    <row r="4120" spans="1:19" ht="15" x14ac:dyDescent="0.2">
      <c r="A4120"/>
      <c r="B4120"/>
      <c r="C4120"/>
      <c r="D4120"/>
      <c r="E4120"/>
      <c r="F4120"/>
      <c r="G4120"/>
      <c r="H4120"/>
      <c r="I4120"/>
      <c r="J4120"/>
      <c r="K4120"/>
      <c r="L4120"/>
      <c r="M4120"/>
      <c r="N4120"/>
      <c r="O4120"/>
      <c r="P4120"/>
      <c r="Q4120"/>
      <c r="R4120"/>
      <c r="S4120"/>
    </row>
    <row r="4121" spans="1:19" ht="15" x14ac:dyDescent="0.2">
      <c r="A4121"/>
      <c r="B4121"/>
      <c r="C4121"/>
      <c r="D4121"/>
      <c r="E4121"/>
      <c r="F4121"/>
      <c r="G4121"/>
      <c r="H4121"/>
      <c r="I4121"/>
      <c r="J4121"/>
      <c r="K4121"/>
      <c r="L4121"/>
      <c r="M4121"/>
      <c r="N4121"/>
      <c r="O4121"/>
      <c r="P4121"/>
      <c r="Q4121"/>
      <c r="R4121"/>
      <c r="S4121"/>
    </row>
    <row r="4122" spans="1:19" ht="15" x14ac:dyDescent="0.2">
      <c r="A4122"/>
      <c r="B4122"/>
      <c r="C4122"/>
      <c r="D4122"/>
      <c r="E4122"/>
      <c r="F4122"/>
      <c r="G4122"/>
      <c r="H4122"/>
      <c r="I4122"/>
      <c r="J4122"/>
      <c r="K4122"/>
      <c r="L4122"/>
      <c r="M4122"/>
      <c r="N4122"/>
      <c r="O4122"/>
      <c r="P4122"/>
      <c r="Q4122"/>
      <c r="R4122"/>
      <c r="S4122"/>
    </row>
    <row r="4123" spans="1:19" ht="15" x14ac:dyDescent="0.2">
      <c r="A4123"/>
      <c r="B4123"/>
      <c r="C4123"/>
      <c r="D4123"/>
      <c r="E4123"/>
      <c r="F4123"/>
      <c r="G4123"/>
      <c r="H4123"/>
      <c r="I4123"/>
      <c r="J4123"/>
      <c r="K4123"/>
      <c r="L4123"/>
      <c r="M4123"/>
      <c r="N4123"/>
      <c r="O4123"/>
      <c r="P4123"/>
      <c r="Q4123"/>
      <c r="R4123"/>
      <c r="S4123"/>
    </row>
    <row r="4124" spans="1:19" ht="15" x14ac:dyDescent="0.2">
      <c r="A4124"/>
      <c r="B4124"/>
      <c r="C4124"/>
      <c r="D4124"/>
      <c r="E4124"/>
      <c r="F4124"/>
      <c r="G4124"/>
      <c r="H4124"/>
      <c r="I4124"/>
      <c r="J4124"/>
      <c r="K4124"/>
      <c r="L4124"/>
      <c r="M4124"/>
      <c r="N4124"/>
      <c r="O4124"/>
      <c r="P4124"/>
      <c r="Q4124"/>
      <c r="R4124"/>
      <c r="S4124"/>
    </row>
    <row r="4125" spans="1:19" ht="15" x14ac:dyDescent="0.2">
      <c r="A4125"/>
      <c r="B4125"/>
      <c r="C4125"/>
      <c r="D4125"/>
      <c r="E4125"/>
      <c r="F4125"/>
      <c r="G4125"/>
      <c r="H4125"/>
      <c r="I4125"/>
      <c r="J4125"/>
      <c r="K4125"/>
      <c r="L4125"/>
      <c r="M4125"/>
      <c r="N4125"/>
      <c r="O4125"/>
      <c r="P4125"/>
      <c r="Q4125"/>
      <c r="R4125"/>
      <c r="S4125"/>
    </row>
    <row r="4126" spans="1:19" ht="15" x14ac:dyDescent="0.2">
      <c r="A4126"/>
      <c r="B4126"/>
      <c r="C4126"/>
      <c r="D4126"/>
      <c r="E4126"/>
      <c r="F4126"/>
      <c r="G4126"/>
      <c r="H4126"/>
      <c r="I4126"/>
      <c r="J4126"/>
      <c r="K4126"/>
      <c r="L4126"/>
      <c r="M4126"/>
      <c r="N4126"/>
      <c r="O4126"/>
      <c r="P4126"/>
      <c r="Q4126"/>
      <c r="R4126"/>
      <c r="S4126"/>
    </row>
    <row r="4127" spans="1:19" ht="15" x14ac:dyDescent="0.2">
      <c r="A4127"/>
      <c r="B4127"/>
      <c r="C4127"/>
      <c r="D4127"/>
      <c r="E4127"/>
      <c r="F4127"/>
      <c r="G4127"/>
      <c r="H4127"/>
      <c r="I4127"/>
      <c r="J4127"/>
      <c r="K4127"/>
      <c r="L4127"/>
      <c r="M4127"/>
      <c r="N4127"/>
      <c r="O4127"/>
      <c r="P4127"/>
      <c r="Q4127"/>
      <c r="R4127"/>
      <c r="S4127"/>
    </row>
    <row r="4128" spans="1:19" ht="15" x14ac:dyDescent="0.2">
      <c r="A4128"/>
      <c r="B4128"/>
      <c r="C4128"/>
      <c r="D4128"/>
      <c r="E4128"/>
      <c r="F4128"/>
      <c r="G4128"/>
      <c r="H4128"/>
      <c r="I4128"/>
      <c r="J4128"/>
      <c r="K4128"/>
      <c r="L4128"/>
      <c r="M4128"/>
      <c r="N4128"/>
      <c r="O4128"/>
      <c r="P4128"/>
      <c r="Q4128"/>
      <c r="R4128"/>
      <c r="S4128"/>
    </row>
    <row r="4129" spans="1:19" ht="15" x14ac:dyDescent="0.2">
      <c r="A4129"/>
      <c r="B4129"/>
      <c r="C4129"/>
      <c r="D4129"/>
      <c r="E4129"/>
      <c r="F4129"/>
      <c r="G4129"/>
      <c r="H4129"/>
      <c r="I4129"/>
      <c r="J4129"/>
      <c r="K4129"/>
      <c r="L4129"/>
      <c r="M4129"/>
      <c r="N4129"/>
      <c r="O4129"/>
      <c r="P4129"/>
      <c r="Q4129"/>
      <c r="R4129"/>
      <c r="S4129"/>
    </row>
    <row r="4130" spans="1:19" ht="15" x14ac:dyDescent="0.2">
      <c r="A4130"/>
      <c r="B4130"/>
      <c r="C4130"/>
      <c r="D4130"/>
      <c r="E4130"/>
      <c r="F4130"/>
      <c r="G4130"/>
      <c r="H4130"/>
      <c r="I4130"/>
      <c r="J4130"/>
      <c r="K4130"/>
      <c r="L4130"/>
      <c r="M4130"/>
      <c r="N4130"/>
      <c r="O4130"/>
      <c r="P4130"/>
      <c r="Q4130"/>
      <c r="R4130"/>
      <c r="S4130"/>
    </row>
    <row r="4131" spans="1:19" ht="15" x14ac:dyDescent="0.2">
      <c r="A4131"/>
      <c r="B4131"/>
      <c r="C4131"/>
      <c r="D4131"/>
      <c r="E4131"/>
      <c r="F4131"/>
      <c r="G4131"/>
      <c r="H4131"/>
      <c r="I4131"/>
      <c r="J4131"/>
      <c r="K4131"/>
      <c r="L4131"/>
      <c r="M4131"/>
      <c r="N4131"/>
      <c r="O4131"/>
      <c r="P4131"/>
      <c r="Q4131"/>
      <c r="R4131"/>
      <c r="S4131"/>
    </row>
    <row r="4132" spans="1:19" ht="15" x14ac:dyDescent="0.2">
      <c r="A4132"/>
      <c r="B4132"/>
      <c r="C4132"/>
      <c r="D4132"/>
      <c r="E4132"/>
      <c r="F4132"/>
      <c r="G4132"/>
      <c r="H4132"/>
      <c r="I4132"/>
      <c r="J4132"/>
      <c r="K4132"/>
      <c r="L4132"/>
      <c r="M4132"/>
      <c r="N4132"/>
      <c r="O4132"/>
      <c r="P4132"/>
      <c r="Q4132"/>
      <c r="R4132"/>
      <c r="S4132"/>
    </row>
    <row r="4133" spans="1:19" ht="15" x14ac:dyDescent="0.2">
      <c r="A4133"/>
      <c r="B4133"/>
      <c r="C4133"/>
      <c r="D4133"/>
      <c r="E4133"/>
      <c r="F4133"/>
      <c r="G4133"/>
      <c r="H4133"/>
      <c r="I4133"/>
      <c r="J4133"/>
      <c r="K4133"/>
      <c r="L4133"/>
      <c r="M4133"/>
      <c r="N4133"/>
      <c r="O4133"/>
      <c r="P4133"/>
      <c r="Q4133"/>
      <c r="R4133"/>
      <c r="S4133"/>
    </row>
    <row r="4134" spans="1:19" ht="15" x14ac:dyDescent="0.2">
      <c r="A4134"/>
      <c r="B4134"/>
      <c r="C4134"/>
      <c r="D4134"/>
      <c r="E4134"/>
      <c r="F4134"/>
      <c r="G4134"/>
      <c r="H4134"/>
      <c r="I4134"/>
      <c r="J4134"/>
      <c r="K4134"/>
      <c r="L4134"/>
      <c r="M4134"/>
      <c r="N4134"/>
      <c r="O4134"/>
      <c r="P4134"/>
      <c r="Q4134"/>
      <c r="R4134"/>
      <c r="S4134"/>
    </row>
    <row r="4135" spans="1:19" ht="15" x14ac:dyDescent="0.2">
      <c r="A4135"/>
      <c r="B4135"/>
      <c r="C4135"/>
      <c r="D4135"/>
      <c r="E4135"/>
      <c r="F4135"/>
      <c r="G4135"/>
      <c r="H4135"/>
      <c r="I4135"/>
      <c r="J4135"/>
      <c r="K4135"/>
      <c r="L4135"/>
      <c r="M4135"/>
      <c r="N4135"/>
      <c r="O4135"/>
      <c r="P4135"/>
      <c r="Q4135"/>
      <c r="R4135"/>
      <c r="S4135"/>
    </row>
    <row r="4136" spans="1:19" ht="15" x14ac:dyDescent="0.2">
      <c r="A4136"/>
      <c r="B4136"/>
      <c r="C4136"/>
      <c r="D4136"/>
      <c r="E4136"/>
      <c r="F4136"/>
      <c r="G4136"/>
      <c r="H4136"/>
      <c r="I4136"/>
      <c r="J4136"/>
      <c r="K4136"/>
      <c r="L4136"/>
      <c r="M4136"/>
      <c r="N4136"/>
      <c r="O4136"/>
      <c r="P4136"/>
      <c r="Q4136"/>
      <c r="R4136"/>
      <c r="S4136"/>
    </row>
    <row r="4137" spans="1:19" ht="15" x14ac:dyDescent="0.2">
      <c r="A4137"/>
      <c r="B4137"/>
      <c r="C4137"/>
      <c r="D4137"/>
      <c r="E4137"/>
      <c r="F4137"/>
      <c r="G4137"/>
      <c r="H4137"/>
      <c r="I4137"/>
      <c r="J4137"/>
      <c r="K4137"/>
      <c r="L4137"/>
      <c r="M4137"/>
      <c r="N4137"/>
      <c r="O4137"/>
      <c r="P4137"/>
      <c r="Q4137"/>
      <c r="R4137"/>
      <c r="S4137"/>
    </row>
    <row r="4138" spans="1:19" ht="15" x14ac:dyDescent="0.2">
      <c r="A4138"/>
      <c r="B4138"/>
      <c r="C4138"/>
      <c r="D4138"/>
      <c r="E4138"/>
      <c r="F4138"/>
      <c r="G4138"/>
      <c r="H4138"/>
      <c r="I4138"/>
      <c r="J4138"/>
      <c r="K4138"/>
      <c r="L4138"/>
      <c r="M4138"/>
      <c r="N4138"/>
      <c r="O4138"/>
      <c r="P4138"/>
      <c r="Q4138"/>
      <c r="R4138"/>
      <c r="S4138"/>
    </row>
    <row r="4139" spans="1:19" ht="15" x14ac:dyDescent="0.2">
      <c r="A4139"/>
      <c r="B4139"/>
      <c r="C4139"/>
      <c r="D4139"/>
      <c r="E4139"/>
      <c r="F4139"/>
      <c r="G4139"/>
      <c r="H4139"/>
      <c r="I4139"/>
      <c r="J4139"/>
      <c r="K4139"/>
      <c r="L4139"/>
      <c r="M4139"/>
      <c r="N4139"/>
      <c r="O4139"/>
      <c r="P4139"/>
      <c r="Q4139"/>
      <c r="R4139"/>
      <c r="S4139"/>
    </row>
    <row r="4140" spans="1:19" ht="15" x14ac:dyDescent="0.2">
      <c r="A4140"/>
      <c r="B4140"/>
      <c r="C4140"/>
      <c r="D4140"/>
      <c r="E4140"/>
      <c r="F4140"/>
      <c r="G4140"/>
      <c r="H4140"/>
      <c r="I4140"/>
      <c r="J4140"/>
      <c r="K4140"/>
      <c r="L4140"/>
      <c r="M4140"/>
      <c r="N4140"/>
      <c r="O4140"/>
      <c r="P4140"/>
      <c r="Q4140"/>
      <c r="R4140"/>
      <c r="S4140"/>
    </row>
    <row r="4141" spans="1:19" ht="15" x14ac:dyDescent="0.2">
      <c r="A4141"/>
      <c r="B4141"/>
      <c r="C4141"/>
      <c r="D4141"/>
      <c r="E4141"/>
      <c r="F4141"/>
      <c r="G4141"/>
      <c r="H4141"/>
      <c r="I4141"/>
      <c r="J4141"/>
      <c r="K4141"/>
      <c r="L4141"/>
      <c r="M4141"/>
      <c r="N4141"/>
      <c r="O4141"/>
      <c r="P4141"/>
      <c r="Q4141"/>
      <c r="R4141"/>
      <c r="S4141"/>
    </row>
    <row r="4142" spans="1:19" ht="15" x14ac:dyDescent="0.2">
      <c r="A4142"/>
      <c r="B4142"/>
      <c r="C4142"/>
      <c r="D4142"/>
      <c r="E4142"/>
      <c r="F4142"/>
      <c r="G4142"/>
      <c r="H4142"/>
      <c r="I4142"/>
      <c r="J4142"/>
      <c r="K4142"/>
      <c r="L4142"/>
      <c r="M4142"/>
      <c r="N4142"/>
      <c r="O4142"/>
      <c r="P4142"/>
      <c r="Q4142"/>
      <c r="R4142"/>
      <c r="S4142"/>
    </row>
    <row r="4143" spans="1:19" ht="15" x14ac:dyDescent="0.2">
      <c r="A4143"/>
      <c r="B4143"/>
      <c r="C4143"/>
      <c r="D4143"/>
      <c r="E4143"/>
      <c r="F4143"/>
      <c r="G4143"/>
      <c r="H4143"/>
      <c r="I4143"/>
      <c r="J4143"/>
      <c r="K4143"/>
      <c r="L4143"/>
      <c r="M4143"/>
      <c r="N4143"/>
      <c r="O4143"/>
      <c r="P4143"/>
      <c r="Q4143"/>
      <c r="R4143"/>
      <c r="S4143"/>
    </row>
    <row r="4144" spans="1:19" ht="15" x14ac:dyDescent="0.2">
      <c r="A4144"/>
      <c r="B4144"/>
      <c r="C4144"/>
      <c r="D4144"/>
      <c r="E4144"/>
      <c r="F4144"/>
      <c r="G4144"/>
      <c r="H4144"/>
      <c r="I4144"/>
      <c r="J4144"/>
      <c r="K4144"/>
      <c r="L4144"/>
      <c r="M4144"/>
      <c r="N4144"/>
      <c r="O4144"/>
      <c r="P4144"/>
      <c r="Q4144"/>
      <c r="R4144"/>
      <c r="S4144"/>
    </row>
    <row r="4145" spans="1:19" ht="15" x14ac:dyDescent="0.2">
      <c r="A4145"/>
      <c r="B4145"/>
      <c r="C4145"/>
      <c r="D4145"/>
      <c r="E4145"/>
      <c r="F4145"/>
      <c r="G4145"/>
      <c r="H4145"/>
      <c r="I4145"/>
      <c r="J4145"/>
      <c r="K4145"/>
      <c r="L4145"/>
      <c r="M4145"/>
      <c r="N4145"/>
      <c r="O4145"/>
      <c r="P4145"/>
      <c r="Q4145"/>
      <c r="R4145"/>
      <c r="S4145"/>
    </row>
    <row r="4146" spans="1:19" ht="15" x14ac:dyDescent="0.2">
      <c r="A4146"/>
      <c r="B4146"/>
      <c r="C4146"/>
      <c r="D4146"/>
      <c r="E4146"/>
      <c r="F4146"/>
      <c r="G4146"/>
      <c r="H4146"/>
      <c r="I4146"/>
      <c r="J4146"/>
      <c r="K4146"/>
      <c r="L4146"/>
      <c r="M4146"/>
      <c r="N4146"/>
      <c r="O4146"/>
      <c r="P4146"/>
      <c r="Q4146"/>
      <c r="R4146"/>
      <c r="S4146"/>
    </row>
    <row r="4147" spans="1:19" ht="15" x14ac:dyDescent="0.2">
      <c r="A4147"/>
      <c r="B4147"/>
      <c r="C4147"/>
      <c r="D4147"/>
      <c r="E4147"/>
      <c r="F4147"/>
      <c r="G4147"/>
      <c r="H4147"/>
      <c r="I4147"/>
      <c r="J4147"/>
      <c r="K4147"/>
      <c r="L4147"/>
      <c r="M4147"/>
      <c r="N4147"/>
      <c r="O4147"/>
      <c r="P4147"/>
      <c r="Q4147"/>
      <c r="R4147"/>
      <c r="S4147"/>
    </row>
    <row r="4148" spans="1:19" ht="15" x14ac:dyDescent="0.2">
      <c r="A4148"/>
      <c r="B4148"/>
      <c r="C4148"/>
      <c r="D4148"/>
      <c r="E4148"/>
      <c r="F4148"/>
      <c r="G4148"/>
      <c r="H4148"/>
      <c r="I4148"/>
      <c r="J4148"/>
      <c r="K4148"/>
      <c r="L4148"/>
      <c r="M4148"/>
      <c r="N4148"/>
      <c r="O4148"/>
      <c r="P4148"/>
      <c r="Q4148"/>
      <c r="R4148"/>
      <c r="S4148"/>
    </row>
    <row r="4149" spans="1:19" ht="15" x14ac:dyDescent="0.2">
      <c r="A4149"/>
      <c r="B4149"/>
      <c r="C4149"/>
      <c r="D4149"/>
      <c r="E4149"/>
      <c r="F4149"/>
      <c r="G4149"/>
      <c r="H4149"/>
      <c r="I4149"/>
      <c r="J4149"/>
      <c r="K4149"/>
      <c r="L4149"/>
      <c r="M4149"/>
      <c r="N4149"/>
      <c r="O4149"/>
      <c r="P4149"/>
      <c r="Q4149"/>
      <c r="R4149"/>
      <c r="S4149"/>
    </row>
    <row r="4150" spans="1:19" ht="15" x14ac:dyDescent="0.2">
      <c r="A4150"/>
      <c r="B4150"/>
      <c r="C4150"/>
      <c r="D4150"/>
      <c r="E4150"/>
      <c r="F4150"/>
      <c r="G4150"/>
      <c r="H4150"/>
      <c r="I4150"/>
      <c r="J4150"/>
      <c r="K4150"/>
      <c r="L4150"/>
      <c r="M4150"/>
      <c r="N4150"/>
      <c r="O4150"/>
      <c r="P4150"/>
      <c r="Q4150"/>
      <c r="R4150"/>
      <c r="S4150"/>
    </row>
    <row r="4151" spans="1:19" ht="15" x14ac:dyDescent="0.2">
      <c r="A4151"/>
      <c r="B4151"/>
      <c r="C4151"/>
      <c r="D4151"/>
      <c r="E4151"/>
      <c r="F4151"/>
      <c r="G4151"/>
      <c r="H4151"/>
      <c r="I4151"/>
      <c r="J4151"/>
      <c r="K4151"/>
      <c r="L4151"/>
      <c r="M4151"/>
      <c r="N4151"/>
      <c r="O4151"/>
      <c r="P4151"/>
      <c r="Q4151"/>
      <c r="R4151"/>
      <c r="S4151"/>
    </row>
    <row r="4152" spans="1:19" ht="15" x14ac:dyDescent="0.2">
      <c r="A4152"/>
      <c r="B4152"/>
      <c r="C4152"/>
      <c r="D4152"/>
      <c r="E4152"/>
      <c r="F4152"/>
      <c r="G4152"/>
      <c r="H4152"/>
      <c r="I4152"/>
      <c r="J4152"/>
      <c r="K4152"/>
      <c r="L4152"/>
      <c r="M4152"/>
      <c r="N4152"/>
      <c r="O4152"/>
      <c r="P4152"/>
      <c r="Q4152"/>
      <c r="R4152"/>
      <c r="S4152"/>
    </row>
    <row r="4153" spans="1:19" ht="15" x14ac:dyDescent="0.2">
      <c r="A4153"/>
      <c r="B4153"/>
      <c r="C4153"/>
      <c r="D4153"/>
      <c r="E4153"/>
      <c r="F4153"/>
      <c r="G4153"/>
      <c r="H4153"/>
      <c r="I4153"/>
      <c r="J4153"/>
      <c r="K4153"/>
      <c r="L4153"/>
      <c r="M4153"/>
      <c r="N4153"/>
      <c r="O4153"/>
      <c r="P4153"/>
      <c r="Q4153"/>
      <c r="R4153"/>
      <c r="S4153"/>
    </row>
    <row r="4154" spans="1:19" ht="15" x14ac:dyDescent="0.2">
      <c r="A4154"/>
      <c r="B4154"/>
      <c r="C4154"/>
      <c r="D4154"/>
      <c r="E4154"/>
      <c r="F4154"/>
      <c r="G4154"/>
      <c r="H4154"/>
      <c r="I4154"/>
      <c r="J4154"/>
      <c r="K4154"/>
      <c r="L4154"/>
      <c r="M4154"/>
      <c r="N4154"/>
      <c r="O4154"/>
      <c r="P4154"/>
      <c r="Q4154"/>
      <c r="R4154"/>
      <c r="S4154"/>
    </row>
    <row r="4155" spans="1:19" ht="15" x14ac:dyDescent="0.2">
      <c r="A4155"/>
      <c r="B4155"/>
      <c r="C4155"/>
      <c r="D4155"/>
      <c r="E4155"/>
      <c r="F4155"/>
      <c r="G4155"/>
      <c r="H4155"/>
      <c r="I4155"/>
      <c r="J4155"/>
      <c r="K4155"/>
      <c r="L4155"/>
      <c r="M4155"/>
      <c r="N4155"/>
      <c r="O4155"/>
      <c r="P4155"/>
      <c r="Q4155"/>
      <c r="R4155"/>
      <c r="S4155"/>
    </row>
    <row r="4156" spans="1:19" ht="15" x14ac:dyDescent="0.2">
      <c r="A4156"/>
      <c r="B4156"/>
      <c r="C4156"/>
      <c r="D4156"/>
      <c r="E4156"/>
      <c r="F4156"/>
      <c r="G4156"/>
      <c r="H4156"/>
      <c r="I4156"/>
      <c r="J4156"/>
      <c r="K4156"/>
      <c r="L4156"/>
      <c r="M4156"/>
      <c r="N4156"/>
      <c r="O4156"/>
      <c r="P4156"/>
      <c r="Q4156"/>
      <c r="R4156"/>
      <c r="S4156"/>
    </row>
    <row r="4157" spans="1:19" ht="15" x14ac:dyDescent="0.2">
      <c r="A4157"/>
      <c r="B4157"/>
      <c r="C4157"/>
      <c r="D4157"/>
      <c r="E4157"/>
      <c r="F4157"/>
      <c r="G4157"/>
      <c r="H4157"/>
      <c r="I4157"/>
      <c r="J4157"/>
      <c r="K4157"/>
      <c r="L4157"/>
      <c r="M4157"/>
      <c r="N4157"/>
      <c r="O4157"/>
      <c r="P4157"/>
      <c r="Q4157"/>
      <c r="R4157"/>
      <c r="S4157"/>
    </row>
    <row r="4158" spans="1:19" ht="15" x14ac:dyDescent="0.2">
      <c r="A4158"/>
      <c r="B4158"/>
      <c r="C4158"/>
      <c r="D4158"/>
      <c r="E4158"/>
      <c r="F4158"/>
      <c r="G4158"/>
      <c r="H4158"/>
      <c r="I4158"/>
      <c r="J4158"/>
      <c r="K4158"/>
      <c r="L4158"/>
      <c r="M4158"/>
      <c r="N4158"/>
      <c r="O4158"/>
      <c r="P4158"/>
      <c r="Q4158"/>
      <c r="R4158"/>
      <c r="S4158"/>
    </row>
    <row r="4159" spans="1:19" ht="15" x14ac:dyDescent="0.2">
      <c r="A4159"/>
      <c r="B4159"/>
      <c r="C4159"/>
      <c r="D4159"/>
      <c r="E4159"/>
      <c r="F4159"/>
      <c r="G4159"/>
      <c r="H4159"/>
      <c r="I4159"/>
      <c r="J4159"/>
      <c r="K4159"/>
      <c r="L4159"/>
      <c r="M4159"/>
      <c r="N4159"/>
      <c r="O4159"/>
      <c r="P4159"/>
      <c r="Q4159"/>
      <c r="R4159"/>
      <c r="S4159"/>
    </row>
    <row r="4160" spans="1:19" ht="15" x14ac:dyDescent="0.2">
      <c r="A4160"/>
      <c r="B4160"/>
      <c r="C4160"/>
      <c r="D4160"/>
      <c r="E4160"/>
      <c r="F4160"/>
      <c r="G4160"/>
      <c r="H4160"/>
      <c r="I4160"/>
      <c r="J4160"/>
      <c r="K4160"/>
      <c r="L4160"/>
      <c r="M4160"/>
      <c r="N4160"/>
      <c r="O4160"/>
      <c r="P4160"/>
      <c r="Q4160"/>
      <c r="R4160"/>
      <c r="S4160"/>
    </row>
    <row r="4161" spans="1:19" ht="15" x14ac:dyDescent="0.2">
      <c r="A4161"/>
      <c r="B4161"/>
      <c r="C4161"/>
      <c r="D4161"/>
      <c r="E4161"/>
      <c r="F4161"/>
      <c r="G4161"/>
      <c r="H4161"/>
      <c r="I4161"/>
      <c r="J4161"/>
      <c r="K4161"/>
      <c r="L4161"/>
      <c r="M4161"/>
      <c r="N4161"/>
      <c r="O4161"/>
      <c r="P4161"/>
      <c r="Q4161"/>
      <c r="R4161"/>
      <c r="S4161"/>
    </row>
    <row r="4162" spans="1:19" ht="15" x14ac:dyDescent="0.2">
      <c r="A4162"/>
      <c r="B4162"/>
      <c r="C4162"/>
      <c r="D4162"/>
      <c r="E4162"/>
      <c r="F4162"/>
      <c r="G4162"/>
      <c r="H4162"/>
      <c r="I4162"/>
      <c r="J4162"/>
      <c r="K4162"/>
      <c r="L4162"/>
      <c r="M4162"/>
      <c r="N4162"/>
      <c r="O4162"/>
      <c r="P4162"/>
      <c r="Q4162"/>
      <c r="R4162"/>
      <c r="S4162"/>
    </row>
    <row r="4163" spans="1:19" ht="15" x14ac:dyDescent="0.2">
      <c r="A4163"/>
      <c r="B4163"/>
      <c r="C4163"/>
      <c r="D4163"/>
      <c r="E4163"/>
      <c r="F4163"/>
      <c r="G4163"/>
      <c r="H4163"/>
      <c r="I4163"/>
      <c r="J4163"/>
      <c r="K4163"/>
      <c r="L4163"/>
      <c r="M4163"/>
      <c r="N4163"/>
      <c r="O4163"/>
      <c r="P4163"/>
      <c r="Q4163"/>
      <c r="R4163"/>
      <c r="S4163"/>
    </row>
    <row r="4164" spans="1:19" ht="15" x14ac:dyDescent="0.2">
      <c r="A4164"/>
      <c r="B4164"/>
      <c r="C4164"/>
      <c r="D4164"/>
      <c r="E4164"/>
      <c r="F4164"/>
      <c r="G4164"/>
      <c r="H4164"/>
      <c r="I4164"/>
      <c r="J4164"/>
      <c r="K4164"/>
      <c r="L4164"/>
      <c r="M4164"/>
      <c r="N4164"/>
      <c r="O4164"/>
      <c r="P4164"/>
      <c r="Q4164"/>
      <c r="R4164"/>
      <c r="S4164"/>
    </row>
    <row r="4165" spans="1:19" ht="15" x14ac:dyDescent="0.2">
      <c r="A4165"/>
      <c r="B4165"/>
      <c r="C4165"/>
      <c r="D4165"/>
      <c r="E4165"/>
      <c r="F4165"/>
      <c r="G4165"/>
      <c r="H4165"/>
      <c r="I4165"/>
      <c r="J4165"/>
      <c r="K4165"/>
      <c r="L4165"/>
      <c r="M4165"/>
      <c r="N4165"/>
      <c r="O4165"/>
      <c r="P4165"/>
      <c r="Q4165"/>
      <c r="R4165"/>
      <c r="S4165"/>
    </row>
    <row r="4166" spans="1:19" ht="15" x14ac:dyDescent="0.2">
      <c r="A4166"/>
      <c r="B4166"/>
      <c r="C4166"/>
      <c r="D4166"/>
      <c r="E4166"/>
      <c r="F4166"/>
      <c r="G4166"/>
      <c r="H4166"/>
      <c r="I4166"/>
      <c r="J4166"/>
      <c r="K4166"/>
      <c r="L4166"/>
      <c r="M4166"/>
      <c r="N4166"/>
      <c r="O4166"/>
      <c r="P4166"/>
      <c r="Q4166"/>
      <c r="R4166"/>
      <c r="S4166"/>
    </row>
    <row r="4167" spans="1:19" ht="15" x14ac:dyDescent="0.2">
      <c r="A4167"/>
      <c r="B4167"/>
      <c r="C4167"/>
      <c r="D4167"/>
      <c r="E4167"/>
      <c r="F4167"/>
      <c r="G4167"/>
      <c r="H4167"/>
      <c r="I4167"/>
      <c r="J4167"/>
      <c r="K4167"/>
      <c r="L4167"/>
      <c r="M4167"/>
      <c r="N4167"/>
      <c r="O4167"/>
      <c r="P4167"/>
      <c r="Q4167"/>
      <c r="R4167"/>
      <c r="S4167"/>
    </row>
    <row r="4168" spans="1:19" ht="15" x14ac:dyDescent="0.2">
      <c r="A4168"/>
      <c r="B4168"/>
      <c r="C4168"/>
      <c r="D4168"/>
      <c r="E4168"/>
      <c r="F4168"/>
      <c r="G4168"/>
      <c r="H4168"/>
      <c r="I4168"/>
      <c r="J4168"/>
      <c r="K4168"/>
      <c r="L4168"/>
      <c r="M4168"/>
      <c r="N4168"/>
      <c r="O4168"/>
      <c r="P4168"/>
      <c r="Q4168"/>
      <c r="R4168"/>
      <c r="S4168"/>
    </row>
    <row r="4169" spans="1:19" ht="15" x14ac:dyDescent="0.2">
      <c r="A4169"/>
      <c r="B4169"/>
      <c r="C4169"/>
      <c r="D4169"/>
      <c r="E4169"/>
      <c r="F4169"/>
      <c r="G4169"/>
      <c r="H4169"/>
      <c r="I4169"/>
      <c r="J4169"/>
      <c r="K4169"/>
      <c r="L4169"/>
      <c r="M4169"/>
      <c r="N4169"/>
      <c r="O4169"/>
      <c r="P4169"/>
      <c r="Q4169"/>
      <c r="R4169"/>
      <c r="S4169"/>
    </row>
    <row r="4170" spans="1:19" ht="15" x14ac:dyDescent="0.2">
      <c r="A4170"/>
      <c r="B4170"/>
      <c r="C4170"/>
      <c r="D4170"/>
      <c r="E4170"/>
      <c r="F4170"/>
      <c r="G4170"/>
      <c r="H4170"/>
      <c r="I4170"/>
      <c r="J4170"/>
      <c r="K4170"/>
      <c r="L4170"/>
      <c r="M4170"/>
      <c r="N4170"/>
      <c r="O4170"/>
      <c r="P4170"/>
      <c r="Q4170"/>
      <c r="R4170"/>
      <c r="S4170"/>
    </row>
    <row r="4171" spans="1:19" ht="15" x14ac:dyDescent="0.2">
      <c r="A4171"/>
      <c r="B4171"/>
      <c r="C4171"/>
      <c r="D4171"/>
      <c r="E4171"/>
      <c r="F4171"/>
      <c r="G4171"/>
      <c r="H4171"/>
      <c r="I4171"/>
      <c r="J4171"/>
      <c r="K4171"/>
      <c r="L4171"/>
      <c r="M4171"/>
      <c r="N4171"/>
      <c r="O4171"/>
      <c r="P4171"/>
      <c r="Q4171"/>
      <c r="R4171"/>
      <c r="S4171"/>
    </row>
    <row r="4172" spans="1:19" ht="15" x14ac:dyDescent="0.2">
      <c r="A4172"/>
      <c r="B4172"/>
      <c r="C4172"/>
      <c r="D4172"/>
      <c r="E4172"/>
      <c r="F4172"/>
      <c r="G4172"/>
      <c r="H4172"/>
      <c r="I4172"/>
      <c r="J4172"/>
      <c r="K4172"/>
      <c r="L4172"/>
      <c r="M4172"/>
      <c r="N4172"/>
      <c r="O4172"/>
      <c r="P4172"/>
      <c r="Q4172"/>
      <c r="R4172"/>
      <c r="S4172"/>
    </row>
    <row r="4173" spans="1:19" ht="15" x14ac:dyDescent="0.2">
      <c r="A4173"/>
      <c r="B4173"/>
      <c r="C4173"/>
      <c r="D4173"/>
      <c r="E4173"/>
      <c r="F4173"/>
      <c r="G4173"/>
      <c r="H4173"/>
      <c r="I4173"/>
      <c r="J4173"/>
      <c r="K4173"/>
      <c r="L4173"/>
      <c r="M4173"/>
      <c r="N4173"/>
      <c r="O4173"/>
      <c r="P4173"/>
      <c r="Q4173"/>
      <c r="R4173"/>
      <c r="S4173"/>
    </row>
    <row r="4174" spans="1:19" ht="15" x14ac:dyDescent="0.2">
      <c r="A4174"/>
      <c r="B4174"/>
      <c r="C4174"/>
      <c r="D4174"/>
      <c r="E4174"/>
      <c r="F4174"/>
      <c r="G4174"/>
      <c r="H4174"/>
      <c r="I4174"/>
      <c r="J4174"/>
      <c r="K4174"/>
      <c r="L4174"/>
      <c r="M4174"/>
      <c r="N4174"/>
      <c r="O4174"/>
      <c r="P4174"/>
      <c r="Q4174"/>
      <c r="R4174"/>
      <c r="S4174"/>
    </row>
    <row r="4175" spans="1:19" ht="15" x14ac:dyDescent="0.2">
      <c r="A4175"/>
      <c r="B4175"/>
      <c r="C4175"/>
      <c r="D4175"/>
      <c r="E4175"/>
      <c r="F4175"/>
      <c r="G4175"/>
      <c r="H4175"/>
      <c r="I4175"/>
      <c r="J4175"/>
      <c r="K4175"/>
      <c r="L4175"/>
      <c r="M4175"/>
      <c r="N4175"/>
      <c r="O4175"/>
      <c r="P4175"/>
      <c r="Q4175"/>
      <c r="R4175"/>
      <c r="S4175"/>
    </row>
    <row r="4176" spans="1:19" ht="15" x14ac:dyDescent="0.2">
      <c r="A4176"/>
      <c r="B4176"/>
      <c r="C4176"/>
      <c r="D4176"/>
      <c r="E4176"/>
      <c r="F4176"/>
      <c r="G4176"/>
      <c r="H4176"/>
      <c r="I4176"/>
      <c r="J4176"/>
      <c r="K4176"/>
      <c r="L4176"/>
      <c r="M4176"/>
      <c r="N4176"/>
      <c r="O4176"/>
      <c r="P4176"/>
      <c r="Q4176"/>
      <c r="R4176"/>
      <c r="S4176"/>
    </row>
    <row r="4177" spans="1:19" ht="15" x14ac:dyDescent="0.2">
      <c r="A4177"/>
      <c r="B4177"/>
      <c r="C4177"/>
      <c r="D4177"/>
      <c r="E4177"/>
      <c r="F4177"/>
      <c r="G4177"/>
      <c r="H4177"/>
      <c r="I4177"/>
      <c r="J4177"/>
      <c r="K4177"/>
      <c r="L4177"/>
      <c r="M4177"/>
      <c r="N4177"/>
      <c r="O4177"/>
      <c r="P4177"/>
      <c r="Q4177"/>
      <c r="R4177"/>
      <c r="S4177"/>
    </row>
    <row r="4178" spans="1:19" ht="15" x14ac:dyDescent="0.2">
      <c r="A4178"/>
      <c r="B4178"/>
      <c r="C4178"/>
      <c r="D4178"/>
      <c r="E4178"/>
      <c r="F4178"/>
      <c r="G4178"/>
      <c r="H4178"/>
      <c r="I4178"/>
      <c r="J4178"/>
      <c r="K4178"/>
      <c r="L4178"/>
      <c r="M4178"/>
      <c r="N4178"/>
      <c r="O4178"/>
      <c r="P4178"/>
      <c r="Q4178"/>
      <c r="R4178"/>
      <c r="S4178"/>
    </row>
    <row r="4179" spans="1:19" ht="15" x14ac:dyDescent="0.2">
      <c r="A4179"/>
      <c r="B4179"/>
      <c r="C4179"/>
      <c r="D4179"/>
      <c r="E4179"/>
      <c r="F4179"/>
      <c r="G4179"/>
      <c r="H4179"/>
      <c r="I4179"/>
      <c r="J4179"/>
      <c r="K4179"/>
      <c r="L4179"/>
      <c r="M4179"/>
      <c r="N4179"/>
      <c r="O4179"/>
      <c r="P4179"/>
      <c r="Q4179"/>
      <c r="R4179"/>
      <c r="S4179"/>
    </row>
    <row r="4180" spans="1:19" ht="15" x14ac:dyDescent="0.2">
      <c r="A4180"/>
      <c r="B4180"/>
      <c r="C4180"/>
      <c r="D4180"/>
      <c r="E4180"/>
      <c r="F4180"/>
      <c r="G4180"/>
      <c r="H4180"/>
      <c r="I4180"/>
      <c r="J4180"/>
      <c r="K4180"/>
      <c r="L4180"/>
      <c r="M4180"/>
      <c r="N4180"/>
      <c r="O4180"/>
      <c r="P4180"/>
      <c r="Q4180"/>
      <c r="R4180"/>
      <c r="S4180"/>
    </row>
    <row r="4181" spans="1:19" ht="15" x14ac:dyDescent="0.2">
      <c r="A4181"/>
      <c r="B4181"/>
      <c r="C4181"/>
      <c r="D4181"/>
      <c r="E4181"/>
      <c r="F4181"/>
      <c r="G4181"/>
      <c r="H4181"/>
      <c r="I4181"/>
      <c r="J4181"/>
      <c r="K4181"/>
      <c r="L4181"/>
      <c r="M4181"/>
      <c r="N4181"/>
      <c r="O4181"/>
      <c r="P4181"/>
      <c r="Q4181"/>
      <c r="R4181"/>
      <c r="S4181"/>
    </row>
    <row r="4182" spans="1:19" ht="15" x14ac:dyDescent="0.2">
      <c r="A4182"/>
      <c r="B4182"/>
      <c r="C4182"/>
      <c r="D4182"/>
      <c r="E4182"/>
      <c r="F4182"/>
      <c r="G4182"/>
      <c r="H4182"/>
      <c r="I4182"/>
      <c r="J4182"/>
      <c r="K4182"/>
      <c r="L4182"/>
      <c r="M4182"/>
      <c r="N4182"/>
      <c r="O4182"/>
      <c r="P4182"/>
      <c r="Q4182"/>
      <c r="R4182"/>
      <c r="S4182"/>
    </row>
    <row r="4183" spans="1:19" ht="15" x14ac:dyDescent="0.2">
      <c r="A4183"/>
      <c r="B4183"/>
      <c r="C4183"/>
      <c r="D4183"/>
      <c r="E4183"/>
      <c r="F4183"/>
      <c r="G4183"/>
      <c r="H4183"/>
      <c r="I4183"/>
      <c r="J4183"/>
      <c r="K4183"/>
      <c r="L4183"/>
      <c r="M4183"/>
      <c r="N4183"/>
      <c r="O4183"/>
      <c r="P4183"/>
      <c r="Q4183"/>
      <c r="R4183"/>
      <c r="S4183"/>
    </row>
    <row r="4184" spans="1:19" ht="15" x14ac:dyDescent="0.2">
      <c r="A4184"/>
      <c r="B4184"/>
      <c r="C4184"/>
      <c r="D4184"/>
      <c r="E4184"/>
      <c r="F4184"/>
      <c r="G4184"/>
      <c r="H4184"/>
      <c r="I4184"/>
      <c r="J4184"/>
      <c r="K4184"/>
      <c r="L4184"/>
      <c r="M4184"/>
      <c r="N4184"/>
      <c r="O4184"/>
      <c r="P4184"/>
      <c r="Q4184"/>
      <c r="R4184"/>
      <c r="S4184"/>
    </row>
    <row r="4185" spans="1:19" ht="15" x14ac:dyDescent="0.2">
      <c r="A4185"/>
      <c r="B4185"/>
      <c r="C4185"/>
      <c r="D4185"/>
      <c r="E4185"/>
      <c r="F4185"/>
      <c r="G4185"/>
      <c r="H4185"/>
      <c r="I4185"/>
      <c r="J4185"/>
      <c r="K4185"/>
      <c r="L4185"/>
      <c r="M4185"/>
      <c r="N4185"/>
      <c r="O4185"/>
      <c r="P4185"/>
      <c r="Q4185"/>
      <c r="R4185"/>
      <c r="S4185"/>
    </row>
    <row r="4186" spans="1:19" ht="15" x14ac:dyDescent="0.2">
      <c r="A4186"/>
      <c r="B4186"/>
      <c r="C4186"/>
      <c r="D4186"/>
      <c r="E4186"/>
      <c r="F4186"/>
      <c r="G4186"/>
      <c r="H4186"/>
      <c r="I4186"/>
      <c r="J4186"/>
      <c r="K4186"/>
      <c r="L4186"/>
      <c r="M4186"/>
      <c r="N4186"/>
      <c r="O4186"/>
      <c r="P4186"/>
      <c r="Q4186"/>
      <c r="R4186"/>
      <c r="S4186"/>
    </row>
    <row r="4187" spans="1:19" ht="15" x14ac:dyDescent="0.2">
      <c r="A4187"/>
      <c r="B4187"/>
      <c r="C4187"/>
      <c r="D4187"/>
      <c r="E4187"/>
      <c r="F4187"/>
      <c r="G4187"/>
      <c r="H4187"/>
      <c r="I4187"/>
      <c r="J4187"/>
      <c r="K4187"/>
      <c r="L4187"/>
      <c r="M4187"/>
      <c r="N4187"/>
      <c r="O4187"/>
      <c r="P4187"/>
      <c r="Q4187"/>
      <c r="R4187"/>
      <c r="S4187"/>
    </row>
    <row r="4188" spans="1:19" ht="15" x14ac:dyDescent="0.2">
      <c r="A4188"/>
      <c r="B4188"/>
      <c r="C4188"/>
      <c r="D4188"/>
      <c r="E4188"/>
      <c r="F4188"/>
      <c r="G4188"/>
      <c r="H4188"/>
      <c r="I4188"/>
      <c r="J4188"/>
      <c r="K4188"/>
      <c r="L4188"/>
      <c r="M4188"/>
      <c r="N4188"/>
      <c r="O4188"/>
      <c r="P4188"/>
      <c r="Q4188"/>
      <c r="R4188"/>
      <c r="S4188"/>
    </row>
    <row r="4189" spans="1:19" ht="15" x14ac:dyDescent="0.2">
      <c r="A4189"/>
      <c r="B4189"/>
      <c r="C4189"/>
      <c r="D4189"/>
      <c r="E4189"/>
      <c r="F4189"/>
      <c r="G4189"/>
      <c r="H4189"/>
      <c r="I4189"/>
      <c r="J4189"/>
      <c r="K4189"/>
      <c r="L4189"/>
      <c r="M4189"/>
      <c r="N4189"/>
      <c r="O4189"/>
      <c r="P4189"/>
      <c r="Q4189"/>
      <c r="R4189"/>
      <c r="S4189"/>
    </row>
    <row r="4190" spans="1:19" ht="15" x14ac:dyDescent="0.2">
      <c r="A4190"/>
      <c r="B4190"/>
      <c r="C4190"/>
      <c r="D4190"/>
      <c r="E4190"/>
      <c r="F4190"/>
      <c r="G4190"/>
      <c r="H4190"/>
      <c r="I4190"/>
      <c r="J4190"/>
      <c r="K4190"/>
      <c r="L4190"/>
      <c r="M4190"/>
      <c r="N4190"/>
      <c r="O4190"/>
      <c r="P4190"/>
      <c r="Q4190"/>
      <c r="R4190"/>
      <c r="S4190"/>
    </row>
    <row r="4191" spans="1:19" ht="15" x14ac:dyDescent="0.2">
      <c r="A4191"/>
      <c r="B4191"/>
      <c r="C4191"/>
      <c r="D4191"/>
      <c r="E4191"/>
      <c r="F4191"/>
      <c r="G4191"/>
      <c r="H4191"/>
      <c r="I4191"/>
      <c r="J4191"/>
      <c r="K4191"/>
      <c r="L4191"/>
      <c r="M4191"/>
      <c r="N4191"/>
      <c r="O4191"/>
      <c r="P4191"/>
      <c r="Q4191"/>
      <c r="R4191"/>
      <c r="S4191"/>
    </row>
    <row r="4192" spans="1:19" ht="15" x14ac:dyDescent="0.2">
      <c r="A4192"/>
      <c r="B4192"/>
      <c r="C4192"/>
      <c r="D4192"/>
      <c r="E4192"/>
      <c r="F4192"/>
      <c r="G4192"/>
      <c r="H4192"/>
      <c r="I4192"/>
      <c r="J4192"/>
      <c r="K4192"/>
      <c r="L4192"/>
      <c r="M4192"/>
      <c r="N4192"/>
      <c r="O4192"/>
      <c r="P4192"/>
      <c r="Q4192"/>
      <c r="R4192"/>
      <c r="S4192"/>
    </row>
    <row r="4193" spans="1:19" ht="15" x14ac:dyDescent="0.2">
      <c r="A4193"/>
      <c r="B4193"/>
      <c r="C4193"/>
      <c r="D4193"/>
      <c r="E4193"/>
      <c r="F4193"/>
      <c r="G4193"/>
      <c r="H4193"/>
      <c r="I4193"/>
      <c r="J4193"/>
      <c r="K4193"/>
      <c r="L4193"/>
      <c r="M4193"/>
      <c r="N4193"/>
      <c r="O4193"/>
      <c r="P4193"/>
      <c r="Q4193"/>
      <c r="R4193"/>
      <c r="S4193"/>
    </row>
    <row r="4194" spans="1:19" ht="15" x14ac:dyDescent="0.2">
      <c r="A4194"/>
      <c r="B4194"/>
      <c r="C4194"/>
      <c r="D4194"/>
      <c r="E4194"/>
      <c r="F4194"/>
      <c r="G4194"/>
      <c r="H4194"/>
      <c r="I4194"/>
      <c r="J4194"/>
      <c r="K4194"/>
      <c r="L4194"/>
      <c r="M4194"/>
      <c r="N4194"/>
      <c r="O4194"/>
      <c r="P4194"/>
      <c r="Q4194"/>
      <c r="R4194"/>
      <c r="S4194"/>
    </row>
    <row r="4195" spans="1:19" ht="15" x14ac:dyDescent="0.2">
      <c r="A4195"/>
      <c r="B4195"/>
      <c r="C4195"/>
      <c r="D4195"/>
      <c r="E4195"/>
      <c r="F4195"/>
      <c r="G4195"/>
      <c r="H4195"/>
      <c r="I4195"/>
      <c r="J4195"/>
      <c r="K4195"/>
      <c r="L4195"/>
      <c r="M4195"/>
      <c r="N4195"/>
      <c r="O4195"/>
      <c r="P4195"/>
      <c r="Q4195"/>
      <c r="R4195"/>
      <c r="S4195"/>
    </row>
    <row r="4196" spans="1:19" ht="15" x14ac:dyDescent="0.2">
      <c r="A4196"/>
      <c r="B4196"/>
      <c r="C4196"/>
      <c r="D4196"/>
      <c r="E4196"/>
      <c r="F4196"/>
      <c r="G4196"/>
      <c r="H4196"/>
      <c r="I4196"/>
      <c r="J4196"/>
      <c r="K4196"/>
      <c r="L4196"/>
      <c r="M4196"/>
      <c r="N4196"/>
      <c r="O4196"/>
      <c r="P4196"/>
      <c r="Q4196"/>
      <c r="R4196"/>
      <c r="S4196"/>
    </row>
    <row r="4197" spans="1:19" ht="15" x14ac:dyDescent="0.2">
      <c r="A4197"/>
      <c r="B4197"/>
      <c r="C4197"/>
      <c r="D4197"/>
      <c r="E4197"/>
      <c r="F4197"/>
      <c r="G4197"/>
      <c r="H4197"/>
      <c r="I4197"/>
      <c r="J4197"/>
      <c r="K4197"/>
      <c r="L4197"/>
      <c r="M4197"/>
      <c r="N4197"/>
      <c r="O4197"/>
      <c r="P4197"/>
      <c r="Q4197"/>
      <c r="R4197"/>
      <c r="S4197"/>
    </row>
    <row r="4198" spans="1:19" ht="15" x14ac:dyDescent="0.2">
      <c r="A4198"/>
      <c r="B4198"/>
      <c r="C4198"/>
      <c r="D4198"/>
      <c r="E4198"/>
      <c r="F4198"/>
      <c r="G4198"/>
      <c r="H4198"/>
      <c r="I4198"/>
      <c r="J4198"/>
      <c r="K4198"/>
      <c r="L4198"/>
      <c r="M4198"/>
      <c r="N4198"/>
      <c r="O4198"/>
      <c r="P4198"/>
      <c r="Q4198"/>
      <c r="R4198"/>
      <c r="S4198"/>
    </row>
    <row r="4199" spans="1:19" ht="15" x14ac:dyDescent="0.2">
      <c r="A4199"/>
      <c r="B4199"/>
      <c r="C4199"/>
      <c r="D4199"/>
      <c r="E4199"/>
      <c r="F4199"/>
      <c r="G4199"/>
      <c r="H4199"/>
      <c r="I4199"/>
      <c r="J4199"/>
      <c r="K4199"/>
      <c r="L4199"/>
      <c r="M4199"/>
      <c r="N4199"/>
      <c r="O4199"/>
      <c r="P4199"/>
      <c r="Q4199"/>
      <c r="R4199"/>
      <c r="S4199"/>
    </row>
    <row r="4200" spans="1:19" ht="15" x14ac:dyDescent="0.2">
      <c r="A4200"/>
      <c r="B4200"/>
      <c r="C4200"/>
      <c r="D4200"/>
      <c r="E4200"/>
      <c r="F4200"/>
      <c r="G4200"/>
      <c r="H4200"/>
      <c r="I4200"/>
      <c r="J4200"/>
      <c r="K4200"/>
      <c r="L4200"/>
      <c r="M4200"/>
      <c r="N4200"/>
      <c r="O4200"/>
      <c r="P4200"/>
      <c r="Q4200"/>
      <c r="R4200"/>
      <c r="S4200"/>
    </row>
    <row r="4201" spans="1:19" ht="15" x14ac:dyDescent="0.2">
      <c r="A4201"/>
      <c r="B4201"/>
      <c r="C4201"/>
      <c r="D4201"/>
      <c r="E4201"/>
      <c r="F4201"/>
      <c r="G4201"/>
      <c r="H4201"/>
      <c r="I4201"/>
      <c r="J4201"/>
      <c r="K4201"/>
      <c r="L4201"/>
      <c r="M4201"/>
      <c r="N4201"/>
      <c r="O4201"/>
      <c r="P4201"/>
      <c r="Q4201"/>
      <c r="R4201"/>
      <c r="S4201"/>
    </row>
    <row r="4202" spans="1:19" ht="15" x14ac:dyDescent="0.2">
      <c r="A4202"/>
      <c r="B4202"/>
      <c r="C4202"/>
      <c r="D4202"/>
      <c r="E4202"/>
      <c r="F4202"/>
      <c r="G4202"/>
      <c r="H4202"/>
      <c r="I4202"/>
      <c r="J4202"/>
      <c r="K4202"/>
      <c r="L4202"/>
      <c r="M4202"/>
      <c r="N4202"/>
      <c r="O4202"/>
      <c r="P4202"/>
      <c r="Q4202"/>
      <c r="R4202"/>
      <c r="S4202"/>
    </row>
    <row r="4203" spans="1:19" ht="15" x14ac:dyDescent="0.2">
      <c r="A4203"/>
      <c r="B4203"/>
      <c r="C4203"/>
      <c r="D4203"/>
      <c r="E4203"/>
      <c r="F4203"/>
      <c r="G4203"/>
      <c r="H4203"/>
      <c r="I4203"/>
      <c r="J4203"/>
      <c r="K4203"/>
      <c r="L4203"/>
      <c r="M4203"/>
      <c r="N4203"/>
      <c r="O4203"/>
      <c r="P4203"/>
      <c r="Q4203"/>
      <c r="R4203"/>
      <c r="S4203"/>
    </row>
    <row r="4204" spans="1:19" ht="15" x14ac:dyDescent="0.2">
      <c r="A4204"/>
      <c r="B4204"/>
      <c r="C4204"/>
      <c r="D4204"/>
      <c r="E4204"/>
      <c r="F4204"/>
      <c r="G4204"/>
      <c r="H4204"/>
      <c r="I4204"/>
      <c r="J4204"/>
      <c r="K4204"/>
      <c r="L4204"/>
      <c r="M4204"/>
      <c r="N4204"/>
      <c r="O4204"/>
      <c r="P4204"/>
      <c r="Q4204"/>
      <c r="R4204"/>
      <c r="S4204"/>
    </row>
    <row r="4205" spans="1:19" ht="15" x14ac:dyDescent="0.2">
      <c r="A4205"/>
      <c r="B4205"/>
      <c r="C4205"/>
      <c r="D4205"/>
      <c r="E4205"/>
      <c r="F4205"/>
      <c r="G4205"/>
      <c r="H4205"/>
      <c r="I4205"/>
      <c r="J4205"/>
      <c r="K4205"/>
      <c r="L4205"/>
      <c r="M4205"/>
      <c r="N4205"/>
      <c r="O4205"/>
      <c r="P4205"/>
      <c r="Q4205"/>
      <c r="R4205"/>
      <c r="S4205"/>
    </row>
    <row r="4206" spans="1:19" ht="15" x14ac:dyDescent="0.2">
      <c r="A4206"/>
      <c r="B4206"/>
      <c r="C4206"/>
      <c r="D4206"/>
      <c r="E4206"/>
      <c r="F4206"/>
      <c r="G4206"/>
      <c r="H4206"/>
      <c r="I4206"/>
      <c r="J4206"/>
      <c r="K4206"/>
      <c r="L4206"/>
      <c r="M4206"/>
      <c r="N4206"/>
      <c r="O4206"/>
      <c r="P4206"/>
      <c r="Q4206"/>
      <c r="R4206"/>
      <c r="S4206"/>
    </row>
    <row r="4207" spans="1:19" ht="15" x14ac:dyDescent="0.2">
      <c r="A4207"/>
      <c r="B4207"/>
      <c r="C4207"/>
      <c r="D4207"/>
      <c r="E4207"/>
      <c r="F4207"/>
      <c r="G4207"/>
      <c r="H4207"/>
      <c r="I4207"/>
      <c r="J4207"/>
      <c r="K4207"/>
      <c r="L4207"/>
      <c r="M4207"/>
      <c r="N4207"/>
      <c r="O4207"/>
      <c r="P4207"/>
      <c r="Q4207"/>
      <c r="R4207"/>
      <c r="S4207"/>
    </row>
    <row r="4208" spans="1:19" ht="15" x14ac:dyDescent="0.2">
      <c r="A4208"/>
      <c r="B4208"/>
      <c r="C4208"/>
      <c r="D4208"/>
      <c r="E4208"/>
      <c r="F4208"/>
      <c r="G4208"/>
      <c r="H4208"/>
      <c r="I4208"/>
      <c r="J4208"/>
      <c r="K4208"/>
      <c r="L4208"/>
      <c r="M4208"/>
      <c r="N4208"/>
      <c r="O4208"/>
      <c r="P4208"/>
      <c r="Q4208"/>
      <c r="R4208"/>
      <c r="S4208"/>
    </row>
    <row r="4209" spans="1:19" ht="15" x14ac:dyDescent="0.2">
      <c r="A4209"/>
      <c r="B4209"/>
      <c r="C4209"/>
      <c r="D4209"/>
      <c r="E4209"/>
      <c r="F4209"/>
      <c r="G4209"/>
      <c r="H4209"/>
      <c r="I4209"/>
      <c r="J4209"/>
      <c r="K4209"/>
      <c r="L4209"/>
      <c r="M4209"/>
      <c r="N4209"/>
      <c r="O4209"/>
      <c r="P4209"/>
      <c r="Q4209"/>
      <c r="R4209"/>
      <c r="S4209"/>
    </row>
    <row r="4210" spans="1:19" ht="15" x14ac:dyDescent="0.2">
      <c r="A4210"/>
      <c r="B4210"/>
      <c r="C4210"/>
      <c r="D4210"/>
      <c r="E4210"/>
      <c r="F4210"/>
      <c r="G4210"/>
      <c r="H4210"/>
      <c r="I4210"/>
      <c r="J4210"/>
      <c r="K4210"/>
      <c r="L4210"/>
      <c r="M4210"/>
      <c r="N4210"/>
      <c r="O4210"/>
      <c r="P4210"/>
      <c r="Q4210"/>
      <c r="R4210"/>
      <c r="S4210"/>
    </row>
    <row r="4211" spans="1:19" ht="15" x14ac:dyDescent="0.2">
      <c r="A4211"/>
      <c r="B4211"/>
      <c r="C4211"/>
      <c r="D4211"/>
      <c r="E4211"/>
      <c r="F4211"/>
      <c r="G4211"/>
      <c r="H4211"/>
      <c r="I4211"/>
      <c r="J4211"/>
      <c r="K4211"/>
      <c r="L4211"/>
      <c r="M4211"/>
      <c r="N4211"/>
      <c r="O4211"/>
      <c r="P4211"/>
      <c r="Q4211"/>
      <c r="R4211"/>
      <c r="S4211"/>
    </row>
    <row r="4212" spans="1:19" ht="15" x14ac:dyDescent="0.2">
      <c r="A4212"/>
      <c r="B4212"/>
      <c r="C4212"/>
      <c r="D4212"/>
      <c r="E4212"/>
      <c r="F4212"/>
      <c r="G4212"/>
      <c r="H4212"/>
      <c r="I4212"/>
      <c r="J4212"/>
      <c r="K4212"/>
      <c r="L4212"/>
      <c r="M4212"/>
      <c r="N4212"/>
      <c r="O4212"/>
      <c r="P4212"/>
      <c r="Q4212"/>
      <c r="R4212"/>
      <c r="S4212"/>
    </row>
    <row r="4213" spans="1:19" ht="15" x14ac:dyDescent="0.2">
      <c r="A4213"/>
      <c r="B4213"/>
      <c r="C4213"/>
      <c r="D4213"/>
      <c r="E4213"/>
      <c r="F4213"/>
      <c r="G4213"/>
      <c r="H4213"/>
      <c r="I4213"/>
      <c r="J4213"/>
      <c r="K4213"/>
      <c r="L4213"/>
      <c r="M4213"/>
      <c r="N4213"/>
      <c r="O4213"/>
      <c r="P4213"/>
      <c r="Q4213"/>
      <c r="R4213"/>
      <c r="S4213"/>
    </row>
    <row r="4214" spans="1:19" ht="15" x14ac:dyDescent="0.2">
      <c r="A4214"/>
      <c r="B4214"/>
      <c r="C4214"/>
      <c r="D4214"/>
      <c r="E4214"/>
      <c r="F4214"/>
      <c r="G4214"/>
      <c r="H4214"/>
      <c r="I4214"/>
      <c r="J4214"/>
      <c r="K4214"/>
      <c r="L4214"/>
      <c r="M4214"/>
      <c r="N4214"/>
      <c r="O4214"/>
      <c r="P4214"/>
      <c r="Q4214"/>
      <c r="R4214"/>
      <c r="S4214"/>
    </row>
    <row r="4215" spans="1:19" ht="15" x14ac:dyDescent="0.2">
      <c r="A4215"/>
      <c r="B4215"/>
      <c r="C4215"/>
      <c r="D4215"/>
      <c r="E4215"/>
      <c r="F4215"/>
      <c r="G4215"/>
      <c r="H4215"/>
      <c r="I4215"/>
      <c r="J4215"/>
      <c r="K4215"/>
      <c r="L4215"/>
      <c r="M4215"/>
      <c r="N4215"/>
      <c r="O4215"/>
      <c r="P4215"/>
      <c r="Q4215"/>
      <c r="R4215"/>
      <c r="S4215"/>
    </row>
    <row r="4216" spans="1:19" ht="15" x14ac:dyDescent="0.2">
      <c r="A4216"/>
      <c r="B4216"/>
      <c r="C4216"/>
      <c r="D4216"/>
      <c r="E4216"/>
      <c r="F4216"/>
      <c r="G4216"/>
      <c r="H4216"/>
      <c r="I4216"/>
      <c r="J4216"/>
      <c r="K4216"/>
      <c r="L4216"/>
      <c r="M4216"/>
      <c r="N4216"/>
      <c r="O4216"/>
      <c r="P4216"/>
      <c r="Q4216"/>
      <c r="R4216"/>
      <c r="S4216"/>
    </row>
    <row r="4217" spans="1:19" ht="15" x14ac:dyDescent="0.2">
      <c r="A4217"/>
      <c r="B4217"/>
      <c r="C4217"/>
      <c r="D4217"/>
      <c r="E4217"/>
      <c r="F4217"/>
      <c r="G4217"/>
      <c r="H4217"/>
      <c r="I4217"/>
      <c r="J4217"/>
      <c r="K4217"/>
      <c r="L4217"/>
      <c r="M4217"/>
      <c r="N4217"/>
      <c r="O4217"/>
      <c r="P4217"/>
      <c r="Q4217"/>
      <c r="R4217"/>
      <c r="S4217"/>
    </row>
    <row r="4218" spans="1:19" ht="15" x14ac:dyDescent="0.2">
      <c r="A4218"/>
      <c r="B4218"/>
      <c r="C4218"/>
      <c r="D4218"/>
      <c r="E4218"/>
      <c r="F4218"/>
      <c r="G4218"/>
      <c r="H4218"/>
      <c r="I4218"/>
      <c r="J4218"/>
      <c r="K4218"/>
      <c r="L4218"/>
      <c r="M4218"/>
      <c r="N4218"/>
      <c r="O4218"/>
      <c r="P4218"/>
      <c r="Q4218"/>
      <c r="R4218"/>
      <c r="S4218"/>
    </row>
    <row r="4219" spans="1:19" ht="15" x14ac:dyDescent="0.2">
      <c r="A4219"/>
      <c r="B4219"/>
      <c r="C4219"/>
      <c r="D4219"/>
      <c r="E4219"/>
      <c r="F4219"/>
      <c r="G4219"/>
      <c r="H4219"/>
      <c r="I4219"/>
      <c r="J4219"/>
      <c r="K4219"/>
      <c r="L4219"/>
      <c r="M4219"/>
      <c r="N4219"/>
      <c r="O4219"/>
      <c r="P4219"/>
      <c r="Q4219"/>
      <c r="R4219"/>
      <c r="S4219"/>
    </row>
    <row r="4220" spans="1:19" ht="15" x14ac:dyDescent="0.2">
      <c r="A4220"/>
      <c r="B4220"/>
      <c r="C4220"/>
      <c r="D4220"/>
      <c r="E4220"/>
      <c r="F4220"/>
      <c r="G4220"/>
      <c r="H4220"/>
      <c r="I4220"/>
      <c r="J4220"/>
      <c r="K4220"/>
      <c r="L4220"/>
      <c r="M4220"/>
      <c r="N4220"/>
      <c r="O4220"/>
      <c r="P4220"/>
      <c r="Q4220"/>
      <c r="R4220"/>
      <c r="S4220"/>
    </row>
    <row r="4221" spans="1:19" ht="15" x14ac:dyDescent="0.2">
      <c r="A4221"/>
      <c r="B4221"/>
      <c r="C4221"/>
      <c r="D4221"/>
      <c r="E4221"/>
      <c r="F4221"/>
      <c r="G4221"/>
      <c r="H4221"/>
      <c r="I4221"/>
      <c r="J4221"/>
      <c r="K4221"/>
      <c r="L4221"/>
      <c r="M4221"/>
      <c r="N4221"/>
      <c r="O4221"/>
      <c r="P4221"/>
      <c r="Q4221"/>
      <c r="R4221"/>
      <c r="S4221"/>
    </row>
    <row r="4222" spans="1:19" ht="15" x14ac:dyDescent="0.2">
      <c r="A4222"/>
      <c r="B4222"/>
      <c r="C4222"/>
      <c r="D4222"/>
      <c r="E4222"/>
      <c r="F4222"/>
      <c r="G4222"/>
      <c r="H4222"/>
      <c r="I4222"/>
      <c r="J4222"/>
      <c r="K4222"/>
      <c r="L4222"/>
      <c r="M4222"/>
      <c r="N4222"/>
      <c r="O4222"/>
      <c r="P4222"/>
      <c r="Q4222"/>
      <c r="R4222"/>
      <c r="S4222"/>
    </row>
    <row r="4223" spans="1:19" ht="15" x14ac:dyDescent="0.2">
      <c r="A4223"/>
      <c r="B4223"/>
      <c r="C4223"/>
      <c r="D4223"/>
      <c r="E4223"/>
      <c r="F4223"/>
      <c r="G4223"/>
      <c r="H4223"/>
      <c r="I4223"/>
      <c r="J4223"/>
      <c r="K4223"/>
      <c r="L4223"/>
      <c r="M4223"/>
      <c r="N4223"/>
      <c r="O4223"/>
      <c r="P4223"/>
      <c r="Q4223"/>
      <c r="R4223"/>
      <c r="S4223"/>
    </row>
    <row r="4224" spans="1:19" ht="15" x14ac:dyDescent="0.2">
      <c r="A4224"/>
      <c r="B4224"/>
      <c r="C4224"/>
      <c r="D4224"/>
      <c r="E4224"/>
      <c r="F4224"/>
      <c r="G4224"/>
      <c r="H4224"/>
      <c r="I4224"/>
      <c r="J4224"/>
      <c r="K4224"/>
      <c r="L4224"/>
      <c r="M4224"/>
      <c r="N4224"/>
      <c r="O4224"/>
      <c r="P4224"/>
      <c r="Q4224"/>
      <c r="R4224"/>
      <c r="S4224"/>
    </row>
    <row r="4225" spans="1:19" ht="15" x14ac:dyDescent="0.2">
      <c r="A4225"/>
      <c r="B4225"/>
      <c r="C4225"/>
      <c r="D4225"/>
      <c r="E4225"/>
      <c r="F4225"/>
      <c r="G4225"/>
      <c r="H4225"/>
      <c r="I4225"/>
      <c r="J4225"/>
      <c r="K4225"/>
      <c r="L4225"/>
      <c r="M4225"/>
      <c r="N4225"/>
      <c r="O4225"/>
      <c r="P4225"/>
      <c r="Q4225"/>
      <c r="R4225"/>
      <c r="S4225"/>
    </row>
    <row r="4226" spans="1:19" ht="15" x14ac:dyDescent="0.2">
      <c r="A4226"/>
      <c r="B4226"/>
      <c r="C4226"/>
      <c r="D4226"/>
      <c r="E4226"/>
      <c r="F4226"/>
      <c r="G4226"/>
      <c r="H4226"/>
      <c r="I4226"/>
      <c r="J4226"/>
      <c r="K4226"/>
      <c r="L4226"/>
      <c r="M4226"/>
      <c r="N4226"/>
      <c r="O4226"/>
      <c r="P4226"/>
      <c r="Q4226"/>
      <c r="R4226"/>
      <c r="S4226"/>
    </row>
    <row r="4227" spans="1:19" ht="15" x14ac:dyDescent="0.2">
      <c r="A4227"/>
      <c r="B4227"/>
      <c r="C4227"/>
      <c r="D4227"/>
      <c r="E4227"/>
      <c r="F4227"/>
      <c r="G4227"/>
      <c r="H4227"/>
      <c r="I4227"/>
      <c r="J4227"/>
      <c r="K4227"/>
      <c r="L4227"/>
      <c r="M4227"/>
      <c r="N4227"/>
      <c r="O4227"/>
      <c r="P4227"/>
      <c r="Q4227"/>
      <c r="R4227"/>
      <c r="S4227"/>
    </row>
    <row r="4228" spans="1:19" ht="15" x14ac:dyDescent="0.2">
      <c r="A4228"/>
      <c r="B4228"/>
      <c r="C4228"/>
      <c r="D4228"/>
      <c r="E4228"/>
      <c r="F4228"/>
      <c r="G4228"/>
      <c r="H4228"/>
      <c r="I4228"/>
      <c r="J4228"/>
      <c r="K4228"/>
      <c r="L4228"/>
      <c r="M4228"/>
      <c r="N4228"/>
      <c r="O4228"/>
      <c r="P4228"/>
      <c r="Q4228"/>
      <c r="R4228"/>
      <c r="S4228"/>
    </row>
    <row r="4229" spans="1:19" ht="15" x14ac:dyDescent="0.2">
      <c r="A4229"/>
      <c r="B4229"/>
      <c r="C4229"/>
      <c r="D4229"/>
      <c r="E4229"/>
      <c r="F4229"/>
      <c r="G4229"/>
      <c r="H4229"/>
      <c r="I4229"/>
      <c r="J4229"/>
      <c r="K4229"/>
      <c r="L4229"/>
      <c r="M4229"/>
      <c r="N4229"/>
      <c r="O4229"/>
      <c r="P4229"/>
      <c r="Q4229"/>
      <c r="R4229"/>
      <c r="S4229"/>
    </row>
    <row r="4230" spans="1:19" ht="15" x14ac:dyDescent="0.2">
      <c r="A4230"/>
      <c r="B4230"/>
      <c r="C4230"/>
      <c r="D4230"/>
      <c r="E4230"/>
      <c r="F4230"/>
      <c r="G4230"/>
      <c r="H4230"/>
      <c r="I4230"/>
      <c r="J4230"/>
      <c r="K4230"/>
      <c r="L4230"/>
      <c r="M4230"/>
      <c r="N4230"/>
      <c r="O4230"/>
      <c r="P4230"/>
      <c r="Q4230"/>
      <c r="R4230"/>
      <c r="S4230"/>
    </row>
    <row r="4231" spans="1:19" ht="15" x14ac:dyDescent="0.2">
      <c r="A4231"/>
      <c r="B4231"/>
      <c r="C4231"/>
      <c r="D4231"/>
      <c r="E4231"/>
      <c r="F4231"/>
      <c r="G4231"/>
      <c r="H4231"/>
      <c r="I4231"/>
      <c r="J4231"/>
      <c r="K4231"/>
      <c r="L4231"/>
      <c r="M4231"/>
      <c r="N4231"/>
      <c r="O4231"/>
      <c r="P4231"/>
      <c r="Q4231"/>
      <c r="R4231"/>
      <c r="S4231"/>
    </row>
    <row r="4232" spans="1:19" ht="15" x14ac:dyDescent="0.2">
      <c r="A4232"/>
      <c r="B4232"/>
      <c r="C4232"/>
      <c r="D4232"/>
      <c r="E4232"/>
      <c r="F4232"/>
      <c r="G4232"/>
      <c r="H4232"/>
      <c r="I4232"/>
      <c r="J4232"/>
      <c r="K4232"/>
      <c r="L4232"/>
      <c r="M4232"/>
      <c r="N4232"/>
      <c r="O4232"/>
      <c r="P4232"/>
      <c r="Q4232"/>
      <c r="R4232"/>
      <c r="S4232"/>
    </row>
    <row r="4233" spans="1:19" ht="15" x14ac:dyDescent="0.2">
      <c r="A4233"/>
      <c r="B4233"/>
      <c r="C4233"/>
      <c r="D4233"/>
      <c r="E4233"/>
      <c r="F4233"/>
      <c r="G4233"/>
      <c r="H4233"/>
      <c r="I4233"/>
      <c r="J4233"/>
      <c r="K4233"/>
      <c r="L4233"/>
      <c r="M4233"/>
      <c r="N4233"/>
      <c r="O4233"/>
      <c r="P4233"/>
      <c r="Q4233"/>
      <c r="R4233"/>
      <c r="S4233"/>
    </row>
    <row r="4234" spans="1:19" ht="15" x14ac:dyDescent="0.2">
      <c r="A4234"/>
      <c r="B4234"/>
      <c r="C4234"/>
      <c r="D4234"/>
      <c r="E4234"/>
      <c r="F4234"/>
      <c r="G4234"/>
      <c r="H4234"/>
      <c r="I4234"/>
      <c r="J4234"/>
      <c r="K4234"/>
      <c r="L4234"/>
      <c r="M4234"/>
      <c r="N4234"/>
      <c r="O4234"/>
      <c r="P4234"/>
      <c r="Q4234"/>
      <c r="R4234"/>
      <c r="S4234"/>
    </row>
    <row r="4235" spans="1:19" ht="15" x14ac:dyDescent="0.2">
      <c r="A4235"/>
      <c r="B4235"/>
      <c r="C4235"/>
      <c r="D4235"/>
      <c r="E4235"/>
      <c r="F4235"/>
      <c r="G4235"/>
      <c r="H4235"/>
      <c r="I4235"/>
      <c r="J4235"/>
      <c r="K4235"/>
      <c r="L4235"/>
      <c r="M4235"/>
      <c r="N4235"/>
      <c r="O4235"/>
      <c r="P4235"/>
      <c r="Q4235"/>
      <c r="R4235"/>
      <c r="S4235"/>
    </row>
    <row r="4236" spans="1:19" ht="15" x14ac:dyDescent="0.2">
      <c r="A4236"/>
      <c r="B4236"/>
      <c r="C4236"/>
      <c r="D4236"/>
      <c r="E4236"/>
      <c r="F4236"/>
      <c r="G4236"/>
      <c r="H4236"/>
      <c r="I4236"/>
      <c r="J4236"/>
      <c r="K4236"/>
      <c r="L4236"/>
      <c r="M4236"/>
      <c r="N4236"/>
      <c r="O4236"/>
      <c r="P4236"/>
      <c r="Q4236"/>
      <c r="R4236"/>
      <c r="S4236"/>
    </row>
    <row r="4237" spans="1:19" ht="15" x14ac:dyDescent="0.2">
      <c r="A4237"/>
      <c r="B4237"/>
      <c r="C4237"/>
      <c r="D4237"/>
      <c r="E4237"/>
      <c r="F4237"/>
      <c r="G4237"/>
      <c r="H4237"/>
      <c r="I4237"/>
      <c r="J4237"/>
      <c r="K4237"/>
      <c r="L4237"/>
      <c r="M4237"/>
      <c r="N4237"/>
      <c r="O4237"/>
      <c r="P4237"/>
      <c r="Q4237"/>
      <c r="R4237"/>
      <c r="S4237"/>
    </row>
    <row r="4238" spans="1:19" ht="15" x14ac:dyDescent="0.2">
      <c r="A4238"/>
      <c r="B4238"/>
      <c r="C4238"/>
      <c r="D4238"/>
      <c r="E4238"/>
      <c r="F4238"/>
      <c r="G4238"/>
      <c r="H4238"/>
      <c r="I4238"/>
      <c r="J4238"/>
      <c r="K4238"/>
      <c r="L4238"/>
      <c r="M4238"/>
      <c r="N4238"/>
      <c r="O4238"/>
      <c r="P4238"/>
      <c r="Q4238"/>
      <c r="R4238"/>
      <c r="S4238"/>
    </row>
    <row r="4239" spans="1:19" ht="15" x14ac:dyDescent="0.2">
      <c r="A4239"/>
      <c r="B4239"/>
      <c r="C4239"/>
      <c r="D4239"/>
      <c r="E4239"/>
      <c r="F4239"/>
      <c r="G4239"/>
      <c r="H4239"/>
      <c r="I4239"/>
      <c r="J4239"/>
      <c r="K4239"/>
      <c r="L4239"/>
      <c r="M4239"/>
      <c r="N4239"/>
      <c r="O4239"/>
      <c r="P4239"/>
      <c r="Q4239"/>
      <c r="R4239"/>
      <c r="S4239"/>
    </row>
    <row r="4240" spans="1:19" ht="15" x14ac:dyDescent="0.2">
      <c r="A4240"/>
      <c r="B4240"/>
      <c r="C4240"/>
      <c r="D4240"/>
      <c r="E4240"/>
      <c r="F4240"/>
      <c r="G4240"/>
      <c r="H4240"/>
      <c r="I4240"/>
      <c r="J4240"/>
      <c r="K4240"/>
      <c r="L4240"/>
      <c r="M4240"/>
      <c r="N4240"/>
      <c r="O4240"/>
      <c r="P4240"/>
      <c r="Q4240"/>
      <c r="R4240"/>
      <c r="S4240"/>
    </row>
    <row r="4241" spans="1:19" ht="15" x14ac:dyDescent="0.2">
      <c r="A4241"/>
      <c r="B4241"/>
      <c r="C4241"/>
      <c r="D4241"/>
      <c r="E4241"/>
      <c r="F4241"/>
      <c r="G4241"/>
      <c r="H4241"/>
      <c r="I4241"/>
      <c r="J4241"/>
      <c r="K4241"/>
      <c r="L4241"/>
      <c r="M4241"/>
      <c r="N4241"/>
      <c r="O4241"/>
      <c r="P4241"/>
      <c r="Q4241"/>
      <c r="R4241"/>
      <c r="S4241"/>
    </row>
    <row r="4242" spans="1:19" ht="15" x14ac:dyDescent="0.2">
      <c r="A4242"/>
      <c r="B4242"/>
      <c r="C4242"/>
      <c r="D4242"/>
      <c r="E4242"/>
      <c r="F4242"/>
      <c r="G4242"/>
      <c r="H4242"/>
      <c r="I4242"/>
      <c r="J4242"/>
      <c r="K4242"/>
      <c r="L4242"/>
      <c r="M4242"/>
      <c r="N4242"/>
      <c r="O4242"/>
      <c r="P4242"/>
      <c r="Q4242"/>
      <c r="R4242"/>
      <c r="S4242"/>
    </row>
    <row r="4243" spans="1:19" ht="15" x14ac:dyDescent="0.2">
      <c r="A4243"/>
      <c r="B4243"/>
      <c r="C4243"/>
      <c r="D4243"/>
      <c r="E4243"/>
      <c r="F4243"/>
      <c r="G4243"/>
      <c r="H4243"/>
      <c r="I4243"/>
      <c r="J4243"/>
      <c r="K4243"/>
      <c r="L4243"/>
      <c r="M4243"/>
      <c r="N4243"/>
      <c r="O4243"/>
      <c r="P4243"/>
      <c r="Q4243"/>
      <c r="R4243"/>
      <c r="S4243"/>
    </row>
    <row r="4244" spans="1:19" ht="15" x14ac:dyDescent="0.2">
      <c r="A4244"/>
      <c r="B4244"/>
      <c r="C4244"/>
      <c r="D4244"/>
      <c r="E4244"/>
      <c r="F4244"/>
      <c r="G4244"/>
      <c r="H4244"/>
      <c r="I4244"/>
      <c r="J4244"/>
      <c r="K4244"/>
      <c r="L4244"/>
      <c r="M4244"/>
      <c r="N4244"/>
      <c r="O4244"/>
      <c r="P4244"/>
      <c r="Q4244"/>
      <c r="R4244"/>
      <c r="S4244"/>
    </row>
    <row r="4245" spans="1:19" ht="15" x14ac:dyDescent="0.2">
      <c r="A4245"/>
      <c r="B4245"/>
      <c r="C4245"/>
      <c r="D4245"/>
      <c r="E4245"/>
      <c r="F4245"/>
      <c r="G4245"/>
      <c r="H4245"/>
      <c r="I4245"/>
      <c r="J4245"/>
      <c r="K4245"/>
      <c r="L4245"/>
      <c r="M4245"/>
      <c r="N4245"/>
      <c r="O4245"/>
      <c r="P4245"/>
      <c r="Q4245"/>
      <c r="R4245"/>
      <c r="S4245"/>
    </row>
    <row r="4246" spans="1:19" ht="15" x14ac:dyDescent="0.2">
      <c r="A4246"/>
      <c r="B4246"/>
      <c r="C4246"/>
      <c r="D4246"/>
      <c r="E4246"/>
      <c r="F4246"/>
      <c r="G4246"/>
      <c r="H4246"/>
      <c r="I4246"/>
      <c r="J4246"/>
      <c r="K4246"/>
      <c r="L4246"/>
      <c r="M4246"/>
      <c r="N4246"/>
      <c r="O4246"/>
      <c r="P4246"/>
      <c r="Q4246"/>
      <c r="R4246"/>
      <c r="S4246"/>
    </row>
    <row r="4247" spans="1:19" ht="15" x14ac:dyDescent="0.2">
      <c r="A4247"/>
      <c r="B4247"/>
      <c r="C4247"/>
      <c r="D4247"/>
      <c r="E4247"/>
      <c r="F4247"/>
      <c r="G4247"/>
      <c r="H4247"/>
      <c r="I4247"/>
      <c r="J4247"/>
      <c r="K4247"/>
      <c r="L4247"/>
      <c r="M4247"/>
      <c r="N4247"/>
      <c r="O4247"/>
      <c r="P4247"/>
      <c r="Q4247"/>
      <c r="R4247"/>
      <c r="S4247"/>
    </row>
    <row r="4248" spans="1:19" ht="15" x14ac:dyDescent="0.2">
      <c r="A4248"/>
      <c r="B4248"/>
      <c r="C4248"/>
      <c r="D4248"/>
      <c r="E4248"/>
      <c r="F4248"/>
      <c r="G4248"/>
      <c r="H4248"/>
      <c r="I4248"/>
      <c r="J4248"/>
      <c r="K4248"/>
      <c r="L4248"/>
      <c r="M4248"/>
      <c r="N4248"/>
      <c r="O4248"/>
      <c r="P4248"/>
      <c r="Q4248"/>
      <c r="R4248"/>
      <c r="S4248"/>
    </row>
    <row r="4249" spans="1:19" ht="15" x14ac:dyDescent="0.2">
      <c r="A4249"/>
      <c r="B4249"/>
      <c r="C4249"/>
      <c r="D4249"/>
      <c r="E4249"/>
      <c r="F4249"/>
      <c r="G4249"/>
      <c r="H4249"/>
      <c r="I4249"/>
      <c r="J4249"/>
      <c r="K4249"/>
      <c r="L4249"/>
      <c r="M4249"/>
      <c r="N4249"/>
      <c r="O4249"/>
      <c r="P4249"/>
      <c r="Q4249"/>
      <c r="R4249"/>
      <c r="S4249"/>
    </row>
    <row r="4250" spans="1:19" ht="15" x14ac:dyDescent="0.2">
      <c r="A4250"/>
      <c r="B4250"/>
      <c r="C4250"/>
      <c r="D4250"/>
      <c r="E4250"/>
      <c r="F4250"/>
      <c r="G4250"/>
      <c r="H4250"/>
      <c r="I4250"/>
      <c r="J4250"/>
      <c r="K4250"/>
      <c r="L4250"/>
      <c r="M4250"/>
      <c r="N4250"/>
      <c r="O4250"/>
      <c r="P4250"/>
      <c r="Q4250"/>
      <c r="R4250"/>
      <c r="S4250"/>
    </row>
    <row r="4251" spans="1:19" ht="15" x14ac:dyDescent="0.2">
      <c r="A4251"/>
      <c r="B4251"/>
      <c r="C4251"/>
      <c r="D4251"/>
      <c r="E4251"/>
      <c r="F4251"/>
      <c r="G4251"/>
      <c r="H4251"/>
      <c r="I4251"/>
      <c r="J4251"/>
      <c r="K4251"/>
      <c r="L4251"/>
      <c r="M4251"/>
      <c r="N4251"/>
      <c r="O4251"/>
      <c r="P4251"/>
      <c r="Q4251"/>
      <c r="R4251"/>
      <c r="S4251"/>
    </row>
    <row r="4252" spans="1:19" ht="15" x14ac:dyDescent="0.2">
      <c r="A4252"/>
      <c r="B4252"/>
      <c r="C4252"/>
      <c r="D4252"/>
      <c r="E4252"/>
      <c r="F4252"/>
      <c r="G4252"/>
      <c r="H4252"/>
      <c r="I4252"/>
      <c r="J4252"/>
      <c r="K4252"/>
      <c r="L4252"/>
      <c r="M4252"/>
      <c r="N4252"/>
      <c r="O4252"/>
      <c r="P4252"/>
      <c r="Q4252"/>
      <c r="R4252"/>
      <c r="S4252"/>
    </row>
    <row r="4253" spans="1:19" ht="15" x14ac:dyDescent="0.2">
      <c r="A4253"/>
      <c r="B4253"/>
      <c r="C4253"/>
      <c r="D4253"/>
      <c r="E4253"/>
      <c r="F4253"/>
      <c r="G4253"/>
      <c r="H4253"/>
      <c r="I4253"/>
      <c r="J4253"/>
      <c r="K4253"/>
      <c r="L4253"/>
      <c r="M4253"/>
      <c r="N4253"/>
      <c r="O4253"/>
      <c r="P4253"/>
      <c r="Q4253"/>
      <c r="R4253"/>
      <c r="S4253"/>
    </row>
    <row r="4254" spans="1:19" ht="15" x14ac:dyDescent="0.2">
      <c r="A4254"/>
      <c r="B4254"/>
      <c r="C4254"/>
      <c r="D4254"/>
      <c r="E4254"/>
      <c r="F4254"/>
      <c r="G4254"/>
      <c r="H4254"/>
      <c r="I4254"/>
      <c r="J4254"/>
      <c r="K4254"/>
      <c r="L4254"/>
      <c r="M4254"/>
      <c r="N4254"/>
      <c r="O4254"/>
      <c r="P4254"/>
      <c r="Q4254"/>
      <c r="R4254"/>
      <c r="S4254"/>
    </row>
    <row r="4255" spans="1:19" ht="15" x14ac:dyDescent="0.2">
      <c r="A4255"/>
      <c r="B4255"/>
      <c r="C4255"/>
      <c r="D4255"/>
      <c r="E4255"/>
      <c r="F4255"/>
      <c r="G4255"/>
      <c r="H4255"/>
      <c r="I4255"/>
      <c r="J4255"/>
      <c r="K4255"/>
      <c r="L4255"/>
      <c r="M4255"/>
      <c r="N4255"/>
      <c r="O4255"/>
      <c r="P4255"/>
      <c r="Q4255"/>
      <c r="R4255"/>
      <c r="S4255"/>
    </row>
    <row r="4256" spans="1:19" ht="15" x14ac:dyDescent="0.2">
      <c r="A4256"/>
      <c r="B4256"/>
      <c r="C4256"/>
      <c r="D4256"/>
      <c r="E4256"/>
      <c r="F4256"/>
      <c r="G4256"/>
      <c r="H4256"/>
      <c r="I4256"/>
      <c r="J4256"/>
      <c r="K4256"/>
      <c r="L4256"/>
      <c r="M4256"/>
      <c r="N4256"/>
      <c r="O4256"/>
      <c r="P4256"/>
      <c r="Q4256"/>
      <c r="R4256"/>
      <c r="S4256"/>
    </row>
    <row r="4257" spans="1:19" ht="15" x14ac:dyDescent="0.2">
      <c r="A4257"/>
      <c r="B4257"/>
      <c r="C4257"/>
      <c r="D4257"/>
      <c r="E4257"/>
      <c r="F4257"/>
      <c r="G4257"/>
      <c r="H4257"/>
      <c r="I4257"/>
      <c r="J4257"/>
      <c r="K4257"/>
      <c r="L4257"/>
      <c r="M4257"/>
      <c r="N4257"/>
      <c r="O4257"/>
      <c r="P4257"/>
      <c r="Q4257"/>
      <c r="R4257"/>
      <c r="S4257"/>
    </row>
    <row r="4258" spans="1:19" ht="15" x14ac:dyDescent="0.2">
      <c r="A4258"/>
      <c r="B4258"/>
      <c r="C4258"/>
      <c r="D4258"/>
      <c r="E4258"/>
      <c r="F4258"/>
      <c r="G4258"/>
      <c r="H4258"/>
      <c r="I4258"/>
      <c r="J4258"/>
      <c r="K4258"/>
      <c r="L4258"/>
      <c r="M4258"/>
      <c r="N4258"/>
      <c r="O4258"/>
      <c r="P4258"/>
      <c r="Q4258"/>
      <c r="R4258"/>
      <c r="S4258"/>
    </row>
    <row r="4259" spans="1:19" ht="15" x14ac:dyDescent="0.2">
      <c r="A4259"/>
      <c r="B4259"/>
      <c r="C4259"/>
      <c r="D4259"/>
      <c r="E4259"/>
      <c r="F4259"/>
      <c r="G4259"/>
      <c r="H4259"/>
      <c r="I4259"/>
      <c r="J4259"/>
      <c r="K4259"/>
      <c r="L4259"/>
      <c r="M4259"/>
      <c r="N4259"/>
      <c r="O4259"/>
      <c r="P4259"/>
      <c r="Q4259"/>
      <c r="R4259"/>
      <c r="S4259"/>
    </row>
    <row r="4260" spans="1:19" ht="15" x14ac:dyDescent="0.2">
      <c r="A4260"/>
      <c r="B4260"/>
      <c r="C4260"/>
      <c r="D4260"/>
      <c r="E4260"/>
      <c r="F4260"/>
      <c r="G4260"/>
      <c r="H4260"/>
      <c r="I4260"/>
      <c r="J4260"/>
      <c r="K4260"/>
      <c r="L4260"/>
      <c r="M4260"/>
      <c r="N4260"/>
      <c r="O4260"/>
      <c r="P4260"/>
      <c r="Q4260"/>
      <c r="R4260"/>
      <c r="S4260"/>
    </row>
    <row r="4261" spans="1:19" ht="15" x14ac:dyDescent="0.2">
      <c r="A4261"/>
      <c r="B4261"/>
      <c r="C4261"/>
      <c r="D4261"/>
      <c r="E4261"/>
      <c r="F4261"/>
      <c r="G4261"/>
      <c r="H4261"/>
      <c r="I4261"/>
      <c r="J4261"/>
      <c r="K4261"/>
      <c r="L4261"/>
      <c r="M4261"/>
      <c r="N4261"/>
      <c r="O4261"/>
      <c r="P4261"/>
      <c r="Q4261"/>
      <c r="R4261"/>
      <c r="S4261"/>
    </row>
    <row r="4262" spans="1:19" ht="15" x14ac:dyDescent="0.2">
      <c r="A4262"/>
      <c r="B4262"/>
      <c r="C4262"/>
      <c r="D4262"/>
      <c r="E4262"/>
      <c r="F4262"/>
      <c r="G4262"/>
      <c r="H4262"/>
      <c r="I4262"/>
      <c r="J4262"/>
      <c r="K4262"/>
      <c r="L4262"/>
      <c r="M4262"/>
      <c r="N4262"/>
      <c r="O4262"/>
      <c r="P4262"/>
      <c r="Q4262"/>
      <c r="R4262"/>
      <c r="S4262"/>
    </row>
    <row r="4263" spans="1:19" ht="15" x14ac:dyDescent="0.2">
      <c r="A4263"/>
      <c r="B4263"/>
      <c r="C4263"/>
      <c r="D4263"/>
      <c r="E4263"/>
      <c r="F4263"/>
      <c r="G4263"/>
      <c r="H4263"/>
      <c r="I4263"/>
      <c r="J4263"/>
      <c r="K4263"/>
      <c r="L4263"/>
      <c r="M4263"/>
      <c r="N4263"/>
      <c r="O4263"/>
      <c r="P4263"/>
      <c r="Q4263"/>
      <c r="R4263"/>
      <c r="S4263"/>
    </row>
    <row r="4264" spans="1:19" ht="15" x14ac:dyDescent="0.2">
      <c r="A4264"/>
      <c r="B4264"/>
      <c r="C4264"/>
      <c r="D4264"/>
      <c r="E4264"/>
      <c r="F4264"/>
      <c r="G4264"/>
      <c r="H4264"/>
      <c r="I4264"/>
      <c r="J4264"/>
      <c r="K4264"/>
      <c r="L4264"/>
      <c r="M4264"/>
      <c r="N4264"/>
      <c r="O4264"/>
      <c r="P4264"/>
      <c r="Q4264"/>
      <c r="R4264"/>
      <c r="S4264"/>
    </row>
    <row r="4265" spans="1:19" ht="15" x14ac:dyDescent="0.2">
      <c r="A4265"/>
      <c r="B4265"/>
      <c r="C4265"/>
      <c r="D4265"/>
      <c r="E4265"/>
      <c r="F4265"/>
      <c r="G4265"/>
      <c r="H4265"/>
      <c r="I4265"/>
      <c r="J4265"/>
      <c r="K4265"/>
      <c r="L4265"/>
      <c r="M4265"/>
      <c r="N4265"/>
      <c r="O4265"/>
      <c r="P4265"/>
      <c r="Q4265"/>
      <c r="R4265"/>
      <c r="S4265"/>
    </row>
    <row r="4266" spans="1:19" ht="15" x14ac:dyDescent="0.2">
      <c r="A4266"/>
      <c r="B4266"/>
      <c r="C4266"/>
      <c r="D4266"/>
      <c r="E4266"/>
      <c r="F4266"/>
      <c r="G4266"/>
      <c r="H4266"/>
      <c r="I4266"/>
      <c r="J4266"/>
      <c r="K4266"/>
      <c r="L4266"/>
      <c r="M4266"/>
      <c r="N4266"/>
      <c r="O4266"/>
      <c r="P4266"/>
      <c r="Q4266"/>
      <c r="R4266"/>
      <c r="S4266"/>
    </row>
    <row r="4267" spans="1:19" ht="15" x14ac:dyDescent="0.2">
      <c r="A4267"/>
      <c r="B4267"/>
      <c r="C4267"/>
      <c r="D4267"/>
      <c r="E4267"/>
      <c r="F4267"/>
      <c r="G4267"/>
      <c r="H4267"/>
      <c r="I4267"/>
      <c r="J4267"/>
      <c r="K4267"/>
      <c r="L4267"/>
      <c r="M4267"/>
      <c r="N4267"/>
      <c r="O4267"/>
      <c r="P4267"/>
      <c r="Q4267"/>
      <c r="R4267"/>
      <c r="S4267"/>
    </row>
    <row r="4268" spans="1:19" ht="15" x14ac:dyDescent="0.2">
      <c r="A4268"/>
      <c r="B4268"/>
      <c r="C4268"/>
      <c r="D4268"/>
      <c r="E4268"/>
      <c r="F4268"/>
      <c r="G4268"/>
      <c r="H4268"/>
      <c r="I4268"/>
      <c r="J4268"/>
      <c r="K4268"/>
      <c r="L4268"/>
      <c r="M4268"/>
      <c r="N4268"/>
      <c r="O4268"/>
      <c r="P4268"/>
      <c r="Q4268"/>
      <c r="R4268"/>
      <c r="S4268"/>
    </row>
    <row r="4269" spans="1:19" ht="15" x14ac:dyDescent="0.2">
      <c r="A4269"/>
      <c r="B4269"/>
      <c r="C4269"/>
      <c r="D4269"/>
      <c r="E4269"/>
      <c r="F4269"/>
      <c r="G4269"/>
      <c r="H4269"/>
      <c r="I4269"/>
      <c r="J4269"/>
      <c r="K4269"/>
      <c r="L4269"/>
      <c r="M4269"/>
      <c r="N4269"/>
      <c r="O4269"/>
      <c r="P4269"/>
      <c r="Q4269"/>
      <c r="R4269"/>
      <c r="S4269"/>
    </row>
    <row r="4270" spans="1:19" ht="15" x14ac:dyDescent="0.2">
      <c r="A4270"/>
      <c r="B4270"/>
      <c r="C4270"/>
      <c r="D4270"/>
      <c r="E4270"/>
      <c r="F4270"/>
      <c r="G4270"/>
      <c r="H4270"/>
      <c r="I4270"/>
      <c r="J4270"/>
      <c r="K4270"/>
      <c r="L4270"/>
      <c r="M4270"/>
      <c r="N4270"/>
      <c r="O4270"/>
      <c r="P4270"/>
      <c r="Q4270"/>
      <c r="R4270"/>
      <c r="S4270"/>
    </row>
    <row r="4271" spans="1:19" ht="15" x14ac:dyDescent="0.2">
      <c r="A4271"/>
      <c r="B4271"/>
      <c r="C4271"/>
      <c r="D4271"/>
      <c r="E4271"/>
      <c r="F4271"/>
      <c r="G4271"/>
      <c r="H4271"/>
      <c r="I4271"/>
      <c r="J4271"/>
      <c r="K4271"/>
      <c r="L4271"/>
      <c r="M4271"/>
      <c r="N4271"/>
      <c r="O4271"/>
      <c r="P4271"/>
      <c r="Q4271"/>
      <c r="R4271"/>
      <c r="S4271"/>
    </row>
    <row r="4272" spans="1:19" ht="15" x14ac:dyDescent="0.2">
      <c r="A4272"/>
      <c r="B4272"/>
      <c r="C4272"/>
      <c r="D4272"/>
      <c r="E4272"/>
      <c r="F4272"/>
      <c r="G4272"/>
      <c r="H4272"/>
      <c r="I4272"/>
      <c r="J4272"/>
      <c r="K4272"/>
      <c r="L4272"/>
      <c r="M4272"/>
      <c r="N4272"/>
      <c r="O4272"/>
      <c r="P4272"/>
      <c r="Q4272"/>
      <c r="R4272"/>
      <c r="S4272"/>
    </row>
    <row r="4273" spans="1:19" ht="15" x14ac:dyDescent="0.2">
      <c r="A4273"/>
      <c r="B4273"/>
      <c r="C4273"/>
      <c r="D4273"/>
      <c r="E4273"/>
      <c r="F4273"/>
      <c r="G4273"/>
      <c r="H4273"/>
      <c r="I4273"/>
      <c r="J4273"/>
      <c r="K4273"/>
      <c r="L4273"/>
      <c r="M4273"/>
      <c r="N4273"/>
      <c r="O4273"/>
      <c r="P4273"/>
      <c r="Q4273"/>
      <c r="R4273"/>
      <c r="S4273"/>
    </row>
    <row r="4274" spans="1:19" ht="15" x14ac:dyDescent="0.2">
      <c r="A4274"/>
      <c r="B4274"/>
      <c r="C4274"/>
      <c r="D4274"/>
      <c r="E4274"/>
      <c r="F4274"/>
      <c r="G4274"/>
      <c r="H4274"/>
      <c r="I4274"/>
      <c r="J4274"/>
      <c r="K4274"/>
      <c r="L4274"/>
      <c r="M4274"/>
      <c r="N4274"/>
      <c r="O4274"/>
      <c r="P4274"/>
      <c r="Q4274"/>
      <c r="R4274"/>
      <c r="S4274"/>
    </row>
    <row r="4275" spans="1:19" ht="15" x14ac:dyDescent="0.2">
      <c r="A4275"/>
      <c r="B4275"/>
      <c r="C4275"/>
      <c r="D4275"/>
      <c r="E4275"/>
      <c r="F4275"/>
      <c r="G4275"/>
      <c r="H4275"/>
      <c r="I4275"/>
      <c r="J4275"/>
      <c r="K4275"/>
      <c r="L4275"/>
      <c r="M4275"/>
      <c r="N4275"/>
      <c r="O4275"/>
      <c r="P4275"/>
      <c r="Q4275"/>
      <c r="R4275"/>
      <c r="S4275"/>
    </row>
    <row r="4276" spans="1:19" ht="15" x14ac:dyDescent="0.2">
      <c r="A4276"/>
      <c r="B4276"/>
      <c r="C4276"/>
      <c r="D4276"/>
      <c r="E4276"/>
      <c r="F4276"/>
      <c r="G4276"/>
      <c r="H4276"/>
      <c r="I4276"/>
      <c r="J4276"/>
      <c r="K4276"/>
      <c r="L4276"/>
      <c r="M4276"/>
      <c r="N4276"/>
      <c r="O4276"/>
      <c r="P4276"/>
      <c r="Q4276"/>
      <c r="R4276"/>
      <c r="S4276"/>
    </row>
    <row r="4277" spans="1:19" ht="15" x14ac:dyDescent="0.2">
      <c r="A4277"/>
      <c r="B4277"/>
      <c r="C4277"/>
      <c r="D4277"/>
      <c r="E4277"/>
      <c r="F4277"/>
      <c r="G4277"/>
      <c r="H4277"/>
      <c r="I4277"/>
      <c r="J4277"/>
      <c r="K4277"/>
      <c r="L4277"/>
      <c r="M4277"/>
      <c r="N4277"/>
      <c r="O4277"/>
      <c r="P4277"/>
      <c r="Q4277"/>
      <c r="R4277"/>
      <c r="S4277"/>
    </row>
    <row r="4278" spans="1:19" ht="15" x14ac:dyDescent="0.2">
      <c r="A4278"/>
      <c r="B4278"/>
      <c r="C4278"/>
      <c r="D4278"/>
      <c r="E4278"/>
      <c r="F4278"/>
      <c r="G4278"/>
      <c r="H4278"/>
      <c r="I4278"/>
      <c r="J4278"/>
      <c r="K4278"/>
      <c r="L4278"/>
      <c r="M4278"/>
      <c r="N4278"/>
      <c r="O4278"/>
      <c r="P4278"/>
      <c r="Q4278"/>
      <c r="R4278"/>
      <c r="S4278"/>
    </row>
    <row r="4279" spans="1:19" ht="15" x14ac:dyDescent="0.2">
      <c r="A4279"/>
      <c r="B4279"/>
      <c r="C4279"/>
      <c r="D4279"/>
      <c r="E4279"/>
      <c r="F4279"/>
      <c r="G4279"/>
      <c r="H4279"/>
      <c r="I4279"/>
      <c r="J4279"/>
      <c r="K4279"/>
      <c r="L4279"/>
      <c r="M4279"/>
      <c r="N4279"/>
      <c r="O4279"/>
      <c r="P4279"/>
      <c r="Q4279"/>
      <c r="R4279"/>
      <c r="S4279"/>
    </row>
    <row r="4280" spans="1:19" ht="15" x14ac:dyDescent="0.2">
      <c r="A4280"/>
      <c r="B4280"/>
      <c r="C4280"/>
      <c r="D4280"/>
      <c r="E4280"/>
      <c r="F4280"/>
      <c r="G4280"/>
      <c r="H4280"/>
      <c r="I4280"/>
      <c r="J4280"/>
      <c r="K4280"/>
      <c r="L4280"/>
      <c r="M4280"/>
      <c r="N4280"/>
      <c r="O4280"/>
      <c r="P4280"/>
      <c r="Q4280"/>
      <c r="R4280"/>
      <c r="S4280"/>
    </row>
    <row r="4281" spans="1:19" ht="15" x14ac:dyDescent="0.2">
      <c r="A4281"/>
      <c r="B4281"/>
      <c r="C4281"/>
      <c r="D4281"/>
      <c r="E4281"/>
      <c r="F4281"/>
      <c r="G4281"/>
      <c r="H4281"/>
      <c r="I4281"/>
      <c r="J4281"/>
      <c r="K4281"/>
      <c r="L4281"/>
      <c r="M4281"/>
      <c r="N4281"/>
      <c r="O4281"/>
      <c r="P4281"/>
      <c r="Q4281"/>
      <c r="R4281"/>
      <c r="S4281"/>
    </row>
    <row r="4282" spans="1:19" ht="15" x14ac:dyDescent="0.2">
      <c r="A4282"/>
      <c r="B4282"/>
      <c r="C4282"/>
      <c r="D4282"/>
      <c r="E4282"/>
      <c r="F4282"/>
      <c r="G4282"/>
      <c r="H4282"/>
      <c r="I4282"/>
      <c r="J4282"/>
      <c r="K4282"/>
      <c r="L4282"/>
      <c r="M4282"/>
      <c r="N4282"/>
      <c r="O4282"/>
      <c r="P4282"/>
      <c r="Q4282"/>
      <c r="R4282"/>
      <c r="S4282"/>
    </row>
    <row r="4283" spans="1:19" ht="15" x14ac:dyDescent="0.2">
      <c r="A4283"/>
      <c r="B4283"/>
      <c r="C4283"/>
      <c r="D4283"/>
      <c r="E4283"/>
      <c r="F4283"/>
      <c r="G4283"/>
      <c r="H4283"/>
      <c r="I4283"/>
      <c r="J4283"/>
      <c r="K4283"/>
      <c r="L4283"/>
      <c r="M4283"/>
      <c r="N4283"/>
      <c r="O4283"/>
      <c r="P4283"/>
      <c r="Q4283"/>
      <c r="R4283"/>
      <c r="S4283"/>
    </row>
    <row r="4284" spans="1:19" ht="15" x14ac:dyDescent="0.2">
      <c r="A4284"/>
      <c r="B4284"/>
      <c r="C4284"/>
      <c r="D4284"/>
      <c r="E4284"/>
      <c r="F4284"/>
      <c r="G4284"/>
      <c r="H4284"/>
      <c r="I4284"/>
      <c r="J4284"/>
      <c r="K4284"/>
      <c r="L4284"/>
      <c r="M4284"/>
      <c r="N4284"/>
      <c r="O4284"/>
      <c r="P4284"/>
      <c r="Q4284"/>
      <c r="R4284"/>
      <c r="S4284"/>
    </row>
    <row r="4285" spans="1:19" ht="15" x14ac:dyDescent="0.2">
      <c r="A4285"/>
      <c r="B4285"/>
      <c r="C4285"/>
      <c r="D4285"/>
      <c r="E4285"/>
      <c r="F4285"/>
      <c r="G4285"/>
      <c r="H4285"/>
      <c r="I4285"/>
      <c r="J4285"/>
      <c r="K4285"/>
      <c r="L4285"/>
      <c r="M4285"/>
      <c r="N4285"/>
      <c r="O4285"/>
      <c r="P4285"/>
      <c r="Q4285"/>
      <c r="R4285"/>
      <c r="S4285"/>
    </row>
    <row r="4286" spans="1:19" ht="15" x14ac:dyDescent="0.2">
      <c r="A4286"/>
      <c r="B4286"/>
      <c r="C4286"/>
      <c r="D4286"/>
      <c r="E4286"/>
      <c r="F4286"/>
      <c r="G4286"/>
      <c r="H4286"/>
      <c r="I4286"/>
      <c r="J4286"/>
      <c r="K4286"/>
      <c r="L4286"/>
      <c r="M4286"/>
      <c r="N4286"/>
      <c r="O4286"/>
      <c r="P4286"/>
      <c r="Q4286"/>
      <c r="R4286"/>
      <c r="S4286"/>
    </row>
    <row r="4287" spans="1:19" ht="15" x14ac:dyDescent="0.2">
      <c r="A4287"/>
      <c r="B4287"/>
      <c r="C4287"/>
      <c r="D4287"/>
      <c r="E4287"/>
      <c r="F4287"/>
      <c r="G4287"/>
      <c r="H4287"/>
      <c r="I4287"/>
      <c r="J4287"/>
      <c r="K4287"/>
      <c r="L4287"/>
      <c r="M4287"/>
      <c r="N4287"/>
      <c r="O4287"/>
      <c r="P4287"/>
      <c r="Q4287"/>
      <c r="R4287"/>
      <c r="S4287"/>
    </row>
    <row r="4288" spans="1:19" ht="15" x14ac:dyDescent="0.2">
      <c r="A4288"/>
      <c r="B4288"/>
      <c r="C4288"/>
      <c r="D4288"/>
      <c r="E4288"/>
      <c r="F4288"/>
      <c r="G4288"/>
      <c r="H4288"/>
      <c r="I4288"/>
      <c r="J4288"/>
      <c r="K4288"/>
      <c r="L4288"/>
      <c r="M4288"/>
      <c r="N4288"/>
      <c r="O4288"/>
      <c r="P4288"/>
      <c r="Q4288"/>
      <c r="R4288"/>
      <c r="S4288"/>
    </row>
    <row r="4289" spans="1:19" ht="15" x14ac:dyDescent="0.2">
      <c r="A4289"/>
      <c r="B4289"/>
      <c r="C4289"/>
      <c r="D4289"/>
      <c r="E4289"/>
      <c r="F4289"/>
      <c r="G4289"/>
      <c r="H4289"/>
      <c r="I4289"/>
      <c r="J4289"/>
      <c r="K4289"/>
      <c r="L4289"/>
      <c r="M4289"/>
      <c r="N4289"/>
      <c r="O4289"/>
      <c r="P4289"/>
      <c r="Q4289"/>
      <c r="R4289"/>
      <c r="S4289"/>
    </row>
    <row r="4290" spans="1:19" ht="15" x14ac:dyDescent="0.2">
      <c r="A4290"/>
      <c r="B4290"/>
      <c r="C4290"/>
      <c r="D4290"/>
      <c r="E4290"/>
      <c r="F4290"/>
      <c r="G4290"/>
      <c r="H4290"/>
      <c r="I4290"/>
      <c r="J4290"/>
      <c r="K4290"/>
      <c r="L4290"/>
      <c r="M4290"/>
      <c r="N4290"/>
      <c r="O4290"/>
      <c r="P4290"/>
      <c r="Q4290"/>
      <c r="R4290"/>
      <c r="S4290"/>
    </row>
    <row r="4291" spans="1:19" ht="15" x14ac:dyDescent="0.2">
      <c r="A4291"/>
      <c r="B4291"/>
      <c r="C4291"/>
      <c r="D4291"/>
      <c r="E4291"/>
      <c r="F4291"/>
      <c r="G4291"/>
      <c r="H4291"/>
      <c r="I4291"/>
      <c r="J4291"/>
      <c r="K4291"/>
      <c r="L4291"/>
      <c r="M4291"/>
      <c r="N4291"/>
      <c r="O4291"/>
      <c r="P4291"/>
      <c r="Q4291"/>
      <c r="R4291"/>
      <c r="S4291"/>
    </row>
    <row r="4292" spans="1:19" ht="15" x14ac:dyDescent="0.2">
      <c r="A4292"/>
      <c r="B4292"/>
      <c r="C4292"/>
      <c r="D4292"/>
      <c r="E4292"/>
      <c r="F4292"/>
      <c r="G4292"/>
      <c r="H4292"/>
      <c r="I4292"/>
      <c r="J4292"/>
      <c r="K4292"/>
      <c r="L4292"/>
      <c r="M4292"/>
      <c r="N4292"/>
      <c r="O4292"/>
      <c r="P4292"/>
      <c r="Q4292"/>
      <c r="R4292"/>
      <c r="S4292"/>
    </row>
    <row r="4293" spans="1:19" ht="15" x14ac:dyDescent="0.2">
      <c r="A4293"/>
      <c r="B4293"/>
      <c r="C4293"/>
      <c r="D4293"/>
      <c r="E4293"/>
      <c r="F4293"/>
      <c r="G4293"/>
      <c r="H4293"/>
      <c r="I4293"/>
      <c r="J4293"/>
      <c r="K4293"/>
      <c r="L4293"/>
      <c r="M4293"/>
      <c r="N4293"/>
      <c r="O4293"/>
      <c r="P4293"/>
      <c r="Q4293"/>
      <c r="R4293"/>
      <c r="S4293"/>
    </row>
    <row r="4294" spans="1:19" ht="15" x14ac:dyDescent="0.2">
      <c r="A4294"/>
      <c r="B4294"/>
      <c r="C4294"/>
      <c r="D4294"/>
      <c r="E4294"/>
      <c r="F4294"/>
      <c r="G4294"/>
      <c r="H4294"/>
      <c r="I4294"/>
      <c r="J4294"/>
      <c r="K4294"/>
      <c r="L4294"/>
      <c r="M4294"/>
      <c r="N4294"/>
      <c r="O4294"/>
      <c r="P4294"/>
      <c r="Q4294"/>
      <c r="R4294"/>
      <c r="S4294"/>
    </row>
    <row r="4295" spans="1:19" ht="15" x14ac:dyDescent="0.2">
      <c r="A4295"/>
      <c r="B4295"/>
      <c r="C4295"/>
      <c r="D4295"/>
      <c r="E4295"/>
      <c r="F4295"/>
      <c r="G4295"/>
      <c r="H4295"/>
      <c r="I4295"/>
      <c r="J4295"/>
      <c r="K4295"/>
      <c r="L4295"/>
      <c r="M4295"/>
      <c r="N4295"/>
      <c r="O4295"/>
      <c r="P4295"/>
      <c r="Q4295"/>
      <c r="R4295"/>
      <c r="S4295"/>
    </row>
    <row r="4296" spans="1:19" ht="15" x14ac:dyDescent="0.2">
      <c r="A4296"/>
      <c r="B4296"/>
      <c r="C4296"/>
      <c r="D4296"/>
      <c r="E4296"/>
      <c r="F4296"/>
      <c r="G4296"/>
      <c r="H4296"/>
      <c r="I4296"/>
      <c r="J4296"/>
      <c r="K4296"/>
      <c r="L4296"/>
      <c r="M4296"/>
      <c r="N4296"/>
      <c r="O4296"/>
      <c r="P4296"/>
      <c r="Q4296"/>
      <c r="R4296"/>
      <c r="S4296"/>
    </row>
    <row r="4297" spans="1:19" ht="15" x14ac:dyDescent="0.2">
      <c r="A4297"/>
      <c r="B4297"/>
      <c r="C4297"/>
      <c r="D4297"/>
      <c r="E4297"/>
      <c r="F4297"/>
      <c r="G4297"/>
      <c r="H4297"/>
      <c r="I4297"/>
      <c r="J4297"/>
      <c r="K4297"/>
      <c r="L4297"/>
      <c r="M4297"/>
      <c r="N4297"/>
      <c r="O4297"/>
      <c r="P4297"/>
      <c r="Q4297"/>
      <c r="R4297"/>
      <c r="S4297"/>
    </row>
    <row r="4298" spans="1:19" ht="15" x14ac:dyDescent="0.2">
      <c r="A4298"/>
      <c r="B4298"/>
      <c r="C4298"/>
      <c r="D4298"/>
      <c r="E4298"/>
      <c r="F4298"/>
      <c r="G4298"/>
      <c r="H4298"/>
      <c r="I4298"/>
      <c r="J4298"/>
      <c r="K4298"/>
      <c r="L4298"/>
      <c r="M4298"/>
      <c r="N4298"/>
      <c r="O4298"/>
      <c r="P4298"/>
      <c r="Q4298"/>
      <c r="R4298"/>
      <c r="S4298"/>
    </row>
    <row r="4299" spans="1:19" ht="15" x14ac:dyDescent="0.2">
      <c r="A4299"/>
      <c r="B4299"/>
      <c r="C4299"/>
      <c r="D4299"/>
      <c r="E4299"/>
      <c r="F4299"/>
      <c r="G4299"/>
      <c r="H4299"/>
      <c r="I4299"/>
      <c r="J4299"/>
      <c r="K4299"/>
      <c r="L4299"/>
      <c r="M4299"/>
      <c r="N4299"/>
      <c r="O4299"/>
      <c r="P4299"/>
      <c r="Q4299"/>
      <c r="R4299"/>
      <c r="S4299"/>
    </row>
    <row r="4300" spans="1:19" ht="15" x14ac:dyDescent="0.2">
      <c r="A4300"/>
      <c r="B4300"/>
      <c r="C4300"/>
      <c r="D4300"/>
      <c r="E4300"/>
      <c r="F4300"/>
      <c r="G4300"/>
      <c r="H4300"/>
      <c r="I4300"/>
      <c r="J4300"/>
      <c r="K4300"/>
      <c r="L4300"/>
      <c r="M4300"/>
      <c r="N4300"/>
      <c r="O4300"/>
      <c r="P4300"/>
      <c r="Q4300"/>
      <c r="R4300"/>
      <c r="S4300"/>
    </row>
    <row r="4301" spans="1:19" ht="15" x14ac:dyDescent="0.2">
      <c r="A4301"/>
      <c r="B4301"/>
      <c r="C4301"/>
      <c r="D4301"/>
      <c r="E4301"/>
      <c r="F4301"/>
      <c r="G4301"/>
      <c r="H4301"/>
      <c r="I4301"/>
      <c r="J4301"/>
      <c r="K4301"/>
      <c r="L4301"/>
      <c r="M4301"/>
      <c r="N4301"/>
      <c r="O4301"/>
      <c r="P4301"/>
      <c r="Q4301"/>
      <c r="R4301"/>
      <c r="S4301"/>
    </row>
    <row r="4302" spans="1:19" ht="15" x14ac:dyDescent="0.2">
      <c r="A4302"/>
      <c r="B4302"/>
      <c r="C4302"/>
      <c r="D4302"/>
      <c r="E4302"/>
      <c r="F4302"/>
      <c r="G4302"/>
      <c r="H4302"/>
      <c r="I4302"/>
      <c r="J4302"/>
      <c r="K4302"/>
      <c r="L4302"/>
      <c r="M4302"/>
      <c r="N4302"/>
      <c r="O4302"/>
      <c r="P4302"/>
      <c r="Q4302"/>
      <c r="R4302"/>
      <c r="S4302"/>
    </row>
    <row r="4303" spans="1:19" ht="15" x14ac:dyDescent="0.2">
      <c r="A4303"/>
      <c r="B4303"/>
      <c r="C4303"/>
      <c r="D4303"/>
      <c r="E4303"/>
      <c r="F4303"/>
      <c r="G4303"/>
      <c r="H4303"/>
      <c r="I4303"/>
      <c r="J4303"/>
      <c r="K4303"/>
      <c r="L4303"/>
      <c r="M4303"/>
      <c r="N4303"/>
      <c r="O4303"/>
      <c r="P4303"/>
      <c r="Q4303"/>
      <c r="R4303"/>
      <c r="S4303"/>
    </row>
    <row r="4304" spans="1:19" ht="15" x14ac:dyDescent="0.2">
      <c r="A4304"/>
      <c r="B4304"/>
      <c r="C4304"/>
      <c r="D4304"/>
      <c r="E4304"/>
      <c r="F4304"/>
      <c r="G4304"/>
      <c r="H4304"/>
      <c r="I4304"/>
      <c r="J4304"/>
      <c r="K4304"/>
      <c r="L4304"/>
      <c r="M4304"/>
      <c r="N4304"/>
      <c r="O4304"/>
      <c r="P4304"/>
      <c r="Q4304"/>
      <c r="R4304"/>
      <c r="S4304"/>
    </row>
    <row r="4305" spans="1:19" ht="15" x14ac:dyDescent="0.2">
      <c r="A4305"/>
      <c r="B4305"/>
      <c r="C4305"/>
      <c r="D4305"/>
      <c r="E4305"/>
      <c r="F4305"/>
      <c r="G4305"/>
      <c r="H4305"/>
      <c r="I4305"/>
      <c r="J4305"/>
      <c r="K4305"/>
      <c r="L4305"/>
      <c r="M4305"/>
      <c r="N4305"/>
      <c r="O4305"/>
      <c r="P4305"/>
      <c r="Q4305"/>
      <c r="R4305"/>
      <c r="S4305"/>
    </row>
    <row r="4306" spans="1:19" ht="15" x14ac:dyDescent="0.2">
      <c r="A4306"/>
      <c r="B4306"/>
      <c r="C4306"/>
      <c r="D4306"/>
      <c r="E4306"/>
      <c r="F4306"/>
      <c r="G4306"/>
      <c r="H4306"/>
      <c r="I4306"/>
      <c r="J4306"/>
      <c r="K4306"/>
      <c r="L4306"/>
      <c r="M4306"/>
      <c r="N4306"/>
      <c r="O4306"/>
      <c r="P4306"/>
      <c r="Q4306"/>
      <c r="R4306"/>
      <c r="S4306"/>
    </row>
    <row r="4307" spans="1:19" ht="15" x14ac:dyDescent="0.2">
      <c r="A4307"/>
      <c r="B4307"/>
      <c r="C4307"/>
      <c r="D4307"/>
      <c r="E4307"/>
      <c r="F4307"/>
      <c r="G4307"/>
      <c r="H4307"/>
      <c r="I4307"/>
      <c r="J4307"/>
      <c r="K4307"/>
      <c r="L4307"/>
      <c r="M4307"/>
      <c r="N4307"/>
      <c r="O4307"/>
      <c r="P4307"/>
      <c r="Q4307"/>
      <c r="R4307"/>
      <c r="S4307"/>
    </row>
    <row r="4308" spans="1:19" ht="15" x14ac:dyDescent="0.2">
      <c r="A4308"/>
      <c r="B4308"/>
      <c r="C4308"/>
      <c r="D4308"/>
      <c r="E4308"/>
      <c r="F4308"/>
      <c r="G4308"/>
      <c r="H4308"/>
      <c r="I4308"/>
      <c r="J4308"/>
      <c r="K4308"/>
      <c r="L4308"/>
      <c r="M4308"/>
      <c r="N4308"/>
      <c r="O4308"/>
      <c r="P4308"/>
      <c r="Q4308"/>
      <c r="R4308"/>
      <c r="S4308"/>
    </row>
    <row r="4309" spans="1:19" ht="15" x14ac:dyDescent="0.2">
      <c r="A4309"/>
      <c r="B4309"/>
      <c r="C4309"/>
      <c r="D4309"/>
      <c r="E4309"/>
      <c r="F4309"/>
      <c r="G4309"/>
      <c r="H4309"/>
      <c r="I4309"/>
      <c r="J4309"/>
      <c r="K4309"/>
      <c r="L4309"/>
      <c r="M4309"/>
      <c r="N4309"/>
      <c r="O4309"/>
      <c r="P4309"/>
      <c r="Q4309"/>
      <c r="R4309"/>
      <c r="S4309"/>
    </row>
    <row r="4310" spans="1:19" ht="15" x14ac:dyDescent="0.2">
      <c r="A4310"/>
      <c r="B4310"/>
      <c r="C4310"/>
      <c r="D4310"/>
      <c r="E4310"/>
      <c r="F4310"/>
      <c r="G4310"/>
      <c r="H4310"/>
      <c r="I4310"/>
      <c r="J4310"/>
      <c r="K4310"/>
      <c r="L4310"/>
      <c r="M4310"/>
      <c r="N4310"/>
      <c r="O4310"/>
      <c r="P4310"/>
      <c r="Q4310"/>
      <c r="R4310"/>
      <c r="S4310"/>
    </row>
    <row r="4311" spans="1:19" ht="15" x14ac:dyDescent="0.2">
      <c r="A4311"/>
      <c r="B4311"/>
      <c r="C4311"/>
      <c r="D4311"/>
      <c r="E4311"/>
      <c r="F4311"/>
      <c r="G4311"/>
      <c r="H4311"/>
      <c r="I4311"/>
      <c r="J4311"/>
      <c r="K4311"/>
      <c r="L4311"/>
      <c r="M4311"/>
      <c r="N4311"/>
      <c r="O4311"/>
      <c r="P4311"/>
      <c r="Q4311"/>
      <c r="R4311"/>
      <c r="S4311"/>
    </row>
    <row r="4312" spans="1:19" ht="15" x14ac:dyDescent="0.2">
      <c r="A4312"/>
      <c r="B4312"/>
      <c r="C4312"/>
      <c r="D4312"/>
      <c r="E4312"/>
      <c r="F4312"/>
      <c r="G4312"/>
      <c r="H4312"/>
      <c r="I4312"/>
      <c r="J4312"/>
      <c r="K4312"/>
      <c r="L4312"/>
      <c r="M4312"/>
      <c r="N4312"/>
      <c r="O4312"/>
      <c r="P4312"/>
      <c r="Q4312"/>
      <c r="R4312"/>
      <c r="S4312"/>
    </row>
    <row r="4313" spans="1:19" ht="15" x14ac:dyDescent="0.2">
      <c r="A4313"/>
      <c r="B4313"/>
      <c r="C4313"/>
      <c r="D4313"/>
      <c r="E4313"/>
      <c r="F4313"/>
      <c r="G4313"/>
      <c r="H4313"/>
      <c r="I4313"/>
      <c r="J4313"/>
      <c r="K4313"/>
      <c r="L4313"/>
      <c r="M4313"/>
      <c r="N4313"/>
      <c r="O4313"/>
      <c r="P4313"/>
      <c r="Q4313"/>
      <c r="R4313"/>
      <c r="S4313"/>
    </row>
    <row r="4314" spans="1:19" ht="15" x14ac:dyDescent="0.2">
      <c r="A4314"/>
      <c r="B4314"/>
      <c r="C4314"/>
      <c r="D4314"/>
      <c r="E4314"/>
      <c r="F4314"/>
      <c r="G4314"/>
      <c r="H4314"/>
      <c r="I4314"/>
      <c r="J4314"/>
      <c r="K4314"/>
      <c r="L4314"/>
      <c r="M4314"/>
      <c r="N4314"/>
      <c r="O4314"/>
      <c r="P4314"/>
      <c r="Q4314"/>
      <c r="R4314"/>
      <c r="S4314"/>
    </row>
    <row r="4315" spans="1:19" ht="15" x14ac:dyDescent="0.2">
      <c r="A4315"/>
      <c r="B4315"/>
      <c r="C4315"/>
      <c r="D4315"/>
      <c r="E4315"/>
      <c r="F4315"/>
      <c r="G4315"/>
      <c r="H4315"/>
      <c r="I4315"/>
      <c r="J4315"/>
      <c r="K4315"/>
      <c r="L4315"/>
      <c r="M4315"/>
      <c r="N4315"/>
      <c r="O4315"/>
      <c r="P4315"/>
      <c r="Q4315"/>
      <c r="R4315"/>
      <c r="S4315"/>
    </row>
    <row r="4316" spans="1:19" ht="15" x14ac:dyDescent="0.2">
      <c r="A4316"/>
      <c r="B4316"/>
      <c r="C4316"/>
      <c r="D4316"/>
      <c r="E4316"/>
      <c r="F4316"/>
      <c r="G4316"/>
      <c r="H4316"/>
      <c r="I4316"/>
      <c r="J4316"/>
      <c r="K4316"/>
      <c r="L4316"/>
      <c r="M4316"/>
      <c r="N4316"/>
      <c r="O4316"/>
      <c r="P4316"/>
      <c r="Q4316"/>
      <c r="R4316"/>
      <c r="S4316"/>
    </row>
    <row r="4317" spans="1:19" ht="15" x14ac:dyDescent="0.2">
      <c r="A4317"/>
      <c r="B4317"/>
      <c r="C4317"/>
      <c r="D4317"/>
      <c r="E4317"/>
      <c r="F4317"/>
      <c r="G4317"/>
      <c r="H4317"/>
      <c r="I4317"/>
      <c r="J4317"/>
      <c r="K4317"/>
      <c r="L4317"/>
      <c r="M4317"/>
      <c r="N4317"/>
      <c r="O4317"/>
      <c r="P4317"/>
      <c r="Q4317"/>
      <c r="R4317"/>
      <c r="S4317"/>
    </row>
    <row r="4318" spans="1:19" ht="15" x14ac:dyDescent="0.2">
      <c r="A4318"/>
      <c r="B4318"/>
      <c r="C4318"/>
      <c r="D4318"/>
      <c r="E4318"/>
      <c r="F4318"/>
      <c r="G4318"/>
      <c r="H4318"/>
      <c r="I4318"/>
      <c r="J4318"/>
      <c r="K4318"/>
      <c r="L4318"/>
      <c r="M4318"/>
      <c r="N4318"/>
      <c r="O4318"/>
      <c r="P4318"/>
      <c r="Q4318"/>
      <c r="R4318"/>
      <c r="S4318"/>
    </row>
    <row r="4319" spans="1:19" ht="15" x14ac:dyDescent="0.2">
      <c r="A4319"/>
      <c r="B4319"/>
      <c r="C4319"/>
      <c r="D4319"/>
      <c r="E4319"/>
      <c r="F4319"/>
      <c r="G4319"/>
      <c r="H4319"/>
      <c r="I4319"/>
      <c r="J4319"/>
      <c r="K4319"/>
      <c r="L4319"/>
      <c r="M4319"/>
      <c r="N4319"/>
      <c r="O4319"/>
      <c r="P4319"/>
      <c r="Q4319"/>
      <c r="R4319"/>
      <c r="S4319"/>
    </row>
    <row r="4320" spans="1:19" ht="15" x14ac:dyDescent="0.2">
      <c r="A4320"/>
      <c r="B4320"/>
      <c r="C4320"/>
      <c r="D4320"/>
      <c r="E4320"/>
      <c r="F4320"/>
      <c r="G4320"/>
      <c r="H4320"/>
      <c r="I4320"/>
      <c r="J4320"/>
      <c r="K4320"/>
      <c r="L4320"/>
      <c r="M4320"/>
      <c r="N4320"/>
      <c r="O4320"/>
      <c r="P4320"/>
      <c r="Q4320"/>
      <c r="R4320"/>
      <c r="S4320"/>
    </row>
    <row r="4321" spans="1:19" ht="15" x14ac:dyDescent="0.2">
      <c r="A4321"/>
      <c r="B4321"/>
      <c r="C4321"/>
      <c r="D4321"/>
      <c r="E4321"/>
      <c r="F4321"/>
      <c r="G4321"/>
      <c r="H4321"/>
      <c r="I4321"/>
      <c r="J4321"/>
      <c r="K4321"/>
      <c r="L4321"/>
      <c r="M4321"/>
      <c r="N4321"/>
      <c r="O4321"/>
      <c r="P4321"/>
      <c r="Q4321"/>
      <c r="R4321"/>
      <c r="S4321"/>
    </row>
    <row r="4322" spans="1:19" ht="15" x14ac:dyDescent="0.2">
      <c r="A4322"/>
      <c r="B4322"/>
      <c r="C4322"/>
      <c r="D4322"/>
      <c r="E4322"/>
      <c r="F4322"/>
      <c r="G4322"/>
      <c r="H4322"/>
      <c r="I4322"/>
      <c r="J4322"/>
      <c r="K4322"/>
      <c r="L4322"/>
      <c r="M4322"/>
      <c r="N4322"/>
      <c r="O4322"/>
      <c r="P4322"/>
      <c r="Q4322"/>
      <c r="R4322"/>
      <c r="S4322"/>
    </row>
    <row r="4323" spans="1:19" ht="15" x14ac:dyDescent="0.2">
      <c r="A4323"/>
      <c r="B4323"/>
      <c r="C4323"/>
      <c r="D4323"/>
      <c r="E4323"/>
      <c r="F4323"/>
      <c r="G4323"/>
      <c r="H4323"/>
      <c r="I4323"/>
      <c r="J4323"/>
      <c r="K4323"/>
      <c r="L4323"/>
      <c r="M4323"/>
      <c r="N4323"/>
      <c r="O4323"/>
      <c r="P4323"/>
      <c r="Q4323"/>
      <c r="R4323"/>
      <c r="S4323"/>
    </row>
    <row r="4324" spans="1:19" ht="15" x14ac:dyDescent="0.2">
      <c r="A4324"/>
      <c r="B4324"/>
      <c r="C4324"/>
      <c r="D4324"/>
      <c r="E4324"/>
      <c r="F4324"/>
      <c r="G4324"/>
      <c r="H4324"/>
      <c r="I4324"/>
      <c r="J4324"/>
      <c r="K4324"/>
      <c r="L4324"/>
      <c r="M4324"/>
      <c r="N4324"/>
      <c r="O4324"/>
      <c r="P4324"/>
      <c r="Q4324"/>
      <c r="R4324"/>
      <c r="S4324"/>
    </row>
    <row r="4325" spans="1:19" ht="15" x14ac:dyDescent="0.2">
      <c r="A4325"/>
      <c r="B4325"/>
      <c r="C4325"/>
      <c r="D4325"/>
      <c r="E4325"/>
      <c r="F4325"/>
      <c r="G4325"/>
      <c r="H4325"/>
      <c r="I4325"/>
      <c r="J4325"/>
      <c r="K4325"/>
      <c r="L4325"/>
      <c r="M4325"/>
      <c r="N4325"/>
      <c r="O4325"/>
      <c r="P4325"/>
      <c r="Q4325"/>
      <c r="R4325"/>
      <c r="S4325"/>
    </row>
    <row r="4326" spans="1:19" ht="15" x14ac:dyDescent="0.2">
      <c r="A4326"/>
      <c r="B4326"/>
      <c r="C4326"/>
      <c r="D4326"/>
      <c r="E4326"/>
      <c r="F4326"/>
      <c r="G4326"/>
      <c r="H4326"/>
      <c r="I4326"/>
      <c r="J4326"/>
      <c r="K4326"/>
      <c r="L4326"/>
      <c r="M4326"/>
      <c r="N4326"/>
      <c r="O4326"/>
      <c r="P4326"/>
      <c r="Q4326"/>
      <c r="R4326"/>
      <c r="S4326"/>
    </row>
    <row r="4327" spans="1:19" ht="15" x14ac:dyDescent="0.2">
      <c r="A4327"/>
      <c r="B4327"/>
      <c r="C4327"/>
      <c r="D4327"/>
      <c r="E4327"/>
      <c r="F4327"/>
      <c r="G4327"/>
      <c r="H4327"/>
      <c r="I4327"/>
      <c r="J4327"/>
      <c r="K4327"/>
      <c r="L4327"/>
      <c r="M4327"/>
      <c r="N4327"/>
      <c r="O4327"/>
      <c r="P4327"/>
      <c r="Q4327"/>
      <c r="R4327"/>
      <c r="S4327"/>
    </row>
    <row r="4328" spans="1:19" ht="15" x14ac:dyDescent="0.2">
      <c r="A4328"/>
      <c r="B4328"/>
      <c r="C4328"/>
      <c r="D4328"/>
      <c r="E4328"/>
      <c r="F4328"/>
      <c r="G4328"/>
      <c r="H4328"/>
      <c r="I4328"/>
      <c r="J4328"/>
      <c r="K4328"/>
      <c r="L4328"/>
      <c r="M4328"/>
      <c r="N4328"/>
      <c r="O4328"/>
      <c r="P4328"/>
      <c r="Q4328"/>
      <c r="R4328"/>
      <c r="S4328"/>
    </row>
    <row r="4329" spans="1:19" ht="15" x14ac:dyDescent="0.2">
      <c r="A4329"/>
      <c r="B4329"/>
      <c r="C4329"/>
      <c r="D4329"/>
      <c r="E4329"/>
      <c r="F4329"/>
      <c r="G4329"/>
      <c r="H4329"/>
      <c r="I4329"/>
      <c r="J4329"/>
      <c r="K4329"/>
      <c r="L4329"/>
      <c r="M4329"/>
      <c r="N4329"/>
      <c r="O4329"/>
      <c r="P4329"/>
      <c r="Q4329"/>
      <c r="R4329"/>
      <c r="S4329"/>
    </row>
    <row r="4330" spans="1:19" ht="15" x14ac:dyDescent="0.2">
      <c r="A4330"/>
      <c r="B4330"/>
      <c r="C4330"/>
      <c r="D4330"/>
      <c r="E4330"/>
      <c r="F4330"/>
      <c r="G4330"/>
      <c r="H4330"/>
      <c r="I4330"/>
      <c r="J4330"/>
      <c r="K4330"/>
      <c r="L4330"/>
      <c r="M4330"/>
      <c r="N4330"/>
      <c r="O4330"/>
      <c r="P4330"/>
      <c r="Q4330"/>
      <c r="R4330"/>
      <c r="S4330"/>
    </row>
    <row r="4331" spans="1:19" ht="15" x14ac:dyDescent="0.2">
      <c r="A4331"/>
      <c r="B4331"/>
      <c r="C4331"/>
      <c r="D4331"/>
      <c r="E4331"/>
      <c r="F4331"/>
      <c r="G4331"/>
      <c r="H4331"/>
      <c r="I4331"/>
      <c r="J4331"/>
      <c r="K4331"/>
      <c r="L4331"/>
      <c r="M4331"/>
      <c r="N4331"/>
      <c r="O4331"/>
      <c r="P4331"/>
      <c r="Q4331"/>
      <c r="R4331"/>
      <c r="S4331"/>
    </row>
    <row r="4332" spans="1:19" ht="15" x14ac:dyDescent="0.2">
      <c r="A4332"/>
      <c r="B4332"/>
      <c r="C4332"/>
      <c r="D4332"/>
      <c r="E4332"/>
      <c r="F4332"/>
      <c r="G4332"/>
      <c r="H4332"/>
      <c r="I4332"/>
      <c r="J4332"/>
      <c r="K4332"/>
      <c r="L4332"/>
      <c r="M4332"/>
      <c r="N4332"/>
      <c r="O4332"/>
      <c r="P4332"/>
      <c r="Q4332"/>
      <c r="R4332"/>
      <c r="S4332"/>
    </row>
    <row r="4333" spans="1:19" ht="15" x14ac:dyDescent="0.2">
      <c r="A4333"/>
      <c r="B4333"/>
      <c r="C4333"/>
      <c r="D4333"/>
      <c r="E4333"/>
      <c r="F4333"/>
      <c r="G4333"/>
      <c r="H4333"/>
      <c r="I4333"/>
      <c r="J4333"/>
      <c r="K4333"/>
      <c r="L4333"/>
      <c r="M4333"/>
      <c r="N4333"/>
      <c r="O4333"/>
      <c r="P4333"/>
      <c r="Q4333"/>
      <c r="R4333"/>
      <c r="S4333"/>
    </row>
    <row r="4334" spans="1:19" ht="15" x14ac:dyDescent="0.2">
      <c r="A4334"/>
      <c r="B4334"/>
      <c r="C4334"/>
      <c r="D4334"/>
      <c r="E4334"/>
      <c r="F4334"/>
      <c r="G4334"/>
      <c r="H4334"/>
      <c r="I4334"/>
      <c r="J4334"/>
      <c r="K4334"/>
      <c r="L4334"/>
      <c r="M4334"/>
      <c r="N4334"/>
      <c r="O4334"/>
      <c r="P4334"/>
      <c r="Q4334"/>
      <c r="R4334"/>
      <c r="S4334"/>
    </row>
    <row r="4335" spans="1:19" ht="15" x14ac:dyDescent="0.2">
      <c r="A4335"/>
      <c r="B4335"/>
      <c r="C4335"/>
      <c r="D4335"/>
      <c r="E4335"/>
      <c r="F4335"/>
      <c r="G4335"/>
      <c r="H4335"/>
      <c r="I4335"/>
      <c r="J4335"/>
      <c r="K4335"/>
      <c r="L4335"/>
      <c r="M4335"/>
      <c r="N4335"/>
      <c r="O4335"/>
      <c r="P4335"/>
      <c r="Q4335"/>
      <c r="R4335"/>
      <c r="S4335"/>
    </row>
    <row r="4336" spans="1:19" ht="15" x14ac:dyDescent="0.2">
      <c r="A4336"/>
      <c r="B4336"/>
      <c r="C4336"/>
      <c r="D4336"/>
      <c r="E4336"/>
      <c r="F4336"/>
      <c r="G4336"/>
      <c r="H4336"/>
      <c r="I4336"/>
      <c r="J4336"/>
      <c r="K4336"/>
      <c r="L4336"/>
      <c r="M4336"/>
      <c r="N4336"/>
      <c r="O4336"/>
      <c r="P4336"/>
      <c r="Q4336"/>
      <c r="R4336"/>
      <c r="S4336"/>
    </row>
    <row r="4337" spans="1:19" ht="15" x14ac:dyDescent="0.2">
      <c r="A4337"/>
      <c r="B4337"/>
      <c r="C4337"/>
      <c r="D4337"/>
      <c r="E4337"/>
      <c r="F4337"/>
      <c r="G4337"/>
      <c r="H4337"/>
      <c r="I4337"/>
      <c r="J4337"/>
      <c r="K4337"/>
      <c r="L4337"/>
      <c r="M4337"/>
      <c r="N4337"/>
      <c r="O4337"/>
      <c r="P4337"/>
      <c r="Q4337"/>
      <c r="R4337"/>
      <c r="S4337"/>
    </row>
    <row r="4338" spans="1:19" ht="15" x14ac:dyDescent="0.2">
      <c r="A4338"/>
      <c r="B4338"/>
      <c r="C4338"/>
      <c r="D4338"/>
      <c r="E4338"/>
      <c r="F4338"/>
      <c r="G4338"/>
      <c r="H4338"/>
      <c r="I4338"/>
      <c r="J4338"/>
      <c r="K4338"/>
      <c r="L4338"/>
      <c r="M4338"/>
      <c r="N4338"/>
      <c r="O4338"/>
      <c r="P4338"/>
      <c r="Q4338"/>
      <c r="R4338"/>
      <c r="S4338"/>
    </row>
    <row r="4339" spans="1:19" ht="15" x14ac:dyDescent="0.2">
      <c r="A4339"/>
      <c r="B4339"/>
      <c r="C4339"/>
      <c r="D4339"/>
      <c r="E4339"/>
      <c r="F4339"/>
      <c r="G4339"/>
      <c r="H4339"/>
      <c r="I4339"/>
      <c r="J4339"/>
      <c r="K4339"/>
      <c r="L4339"/>
      <c r="M4339"/>
      <c r="N4339"/>
      <c r="O4339"/>
      <c r="P4339"/>
      <c r="Q4339"/>
      <c r="R4339"/>
      <c r="S4339"/>
    </row>
    <row r="4340" spans="1:19" ht="15" x14ac:dyDescent="0.2">
      <c r="A4340"/>
      <c r="B4340"/>
      <c r="C4340"/>
      <c r="D4340"/>
      <c r="E4340"/>
      <c r="F4340"/>
      <c r="G4340"/>
      <c r="H4340"/>
      <c r="I4340"/>
      <c r="J4340"/>
      <c r="K4340"/>
      <c r="L4340"/>
      <c r="M4340"/>
      <c r="N4340"/>
      <c r="O4340"/>
      <c r="P4340"/>
      <c r="Q4340"/>
      <c r="R4340"/>
      <c r="S4340"/>
    </row>
    <row r="4341" spans="1:19" ht="15" x14ac:dyDescent="0.2">
      <c r="A4341"/>
      <c r="B4341"/>
      <c r="C4341"/>
      <c r="D4341"/>
      <c r="E4341"/>
      <c r="F4341"/>
      <c r="G4341"/>
      <c r="H4341"/>
      <c r="I4341"/>
      <c r="J4341"/>
      <c r="K4341"/>
      <c r="L4341"/>
      <c r="M4341"/>
      <c r="N4341"/>
      <c r="O4341"/>
      <c r="P4341"/>
      <c r="Q4341"/>
      <c r="R4341"/>
      <c r="S4341"/>
    </row>
    <row r="4342" spans="1:19" ht="15" x14ac:dyDescent="0.2">
      <c r="A4342"/>
      <c r="B4342"/>
      <c r="C4342"/>
      <c r="D4342"/>
      <c r="E4342"/>
      <c r="F4342"/>
      <c r="G4342"/>
      <c r="H4342"/>
      <c r="I4342"/>
      <c r="J4342"/>
      <c r="K4342"/>
      <c r="L4342"/>
      <c r="M4342"/>
      <c r="N4342"/>
      <c r="O4342"/>
      <c r="P4342"/>
      <c r="Q4342"/>
      <c r="R4342"/>
      <c r="S4342"/>
    </row>
    <row r="4343" spans="1:19" ht="15" x14ac:dyDescent="0.2">
      <c r="A4343"/>
      <c r="B4343"/>
      <c r="C4343"/>
      <c r="D4343"/>
      <c r="E4343"/>
      <c r="F4343"/>
      <c r="G4343"/>
      <c r="H4343"/>
      <c r="I4343"/>
      <c r="J4343"/>
      <c r="K4343"/>
      <c r="L4343"/>
      <c r="M4343"/>
      <c r="N4343"/>
      <c r="O4343"/>
      <c r="P4343"/>
      <c r="Q4343"/>
      <c r="R4343"/>
      <c r="S4343"/>
    </row>
    <row r="4344" spans="1:19" ht="15" x14ac:dyDescent="0.2">
      <c r="A4344"/>
      <c r="B4344"/>
      <c r="C4344"/>
      <c r="D4344"/>
      <c r="E4344"/>
      <c r="F4344"/>
      <c r="G4344"/>
      <c r="H4344"/>
      <c r="I4344"/>
      <c r="J4344"/>
      <c r="K4344"/>
      <c r="L4344"/>
      <c r="M4344"/>
      <c r="N4344"/>
      <c r="O4344"/>
      <c r="P4344"/>
      <c r="Q4344"/>
      <c r="R4344"/>
      <c r="S4344"/>
    </row>
    <row r="4345" spans="1:19" ht="15" x14ac:dyDescent="0.2">
      <c r="A4345"/>
      <c r="B4345"/>
      <c r="C4345"/>
      <c r="D4345"/>
      <c r="E4345"/>
      <c r="F4345"/>
      <c r="G4345"/>
      <c r="H4345"/>
      <c r="I4345"/>
      <c r="J4345"/>
      <c r="K4345"/>
      <c r="L4345"/>
      <c r="M4345"/>
      <c r="N4345"/>
      <c r="O4345"/>
      <c r="P4345"/>
      <c r="Q4345"/>
      <c r="R4345"/>
      <c r="S4345"/>
    </row>
  </sheetData>
  <dataValidations count="1">
    <dataValidation type="list" allowBlank="1" showInputMessage="1" showErrorMessage="1" sqref="E2:E100">
      <formula1>lstCM</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aths" enableFormatConditionsCalculation="0"/>
  <dimension ref="A1:DJ122"/>
  <sheetViews>
    <sheetView showGridLines="0" workbookViewId="0">
      <pane ySplit="1" topLeftCell="A2" activePane="bottomLeft" state="frozen"/>
      <selection activeCell="A10" sqref="A10"/>
      <selection pane="bottomLeft" activeCell="G2" sqref="G2"/>
    </sheetView>
  </sheetViews>
  <sheetFormatPr baseColWidth="10" defaultColWidth="8.83203125" defaultRowHeight="14" x14ac:dyDescent="0.2"/>
  <cols>
    <col min="1" max="1" width="27.6640625" style="14" customWidth="1"/>
    <col min="2" max="5" width="10.5" style="14" customWidth="1"/>
    <col min="6" max="6" width="10.5" style="14" hidden="1" customWidth="1"/>
    <col min="7" max="106" width="7.83203125" style="14" customWidth="1"/>
    <col min="107" max="114" width="9.1640625" style="14" hidden="1" customWidth="1"/>
    <col min="115" max="16384" width="8.83203125" style="14"/>
  </cols>
  <sheetData>
    <row r="1" spans="1:114" ht="60" customHeight="1" x14ac:dyDescent="0.2">
      <c r="A1" s="6" t="s">
        <v>7</v>
      </c>
      <c r="B1" s="7" t="s">
        <v>111</v>
      </c>
      <c r="C1" s="7" t="s">
        <v>116</v>
      </c>
      <c r="D1" s="7" t="s">
        <v>157</v>
      </c>
      <c r="E1" s="7" t="s">
        <v>88</v>
      </c>
      <c r="F1" s="7" t="s">
        <v>181</v>
      </c>
      <c r="G1" s="8">
        <v>1</v>
      </c>
      <c r="H1" s="8">
        <v>2</v>
      </c>
      <c r="I1" s="8">
        <v>3</v>
      </c>
      <c r="J1" s="8">
        <v>4</v>
      </c>
      <c r="K1" s="8">
        <v>5</v>
      </c>
      <c r="L1" s="8">
        <v>6</v>
      </c>
      <c r="M1" s="8">
        <v>7</v>
      </c>
      <c r="N1" s="8">
        <v>8</v>
      </c>
      <c r="O1" s="8">
        <v>9</v>
      </c>
      <c r="P1" s="8">
        <v>10</v>
      </c>
      <c r="Q1" s="8">
        <v>11</v>
      </c>
      <c r="R1" s="8">
        <v>12</v>
      </c>
      <c r="S1" s="8">
        <v>13</v>
      </c>
      <c r="T1" s="8">
        <v>14</v>
      </c>
      <c r="U1" s="8">
        <v>15</v>
      </c>
      <c r="V1" s="8">
        <v>16</v>
      </c>
      <c r="W1" s="8">
        <v>17</v>
      </c>
      <c r="X1" s="8">
        <v>18</v>
      </c>
      <c r="Y1" s="8">
        <v>19</v>
      </c>
      <c r="Z1" s="8">
        <v>20</v>
      </c>
      <c r="AA1" s="8">
        <v>21</v>
      </c>
      <c r="AB1" s="8">
        <v>22</v>
      </c>
      <c r="AC1" s="8">
        <v>23</v>
      </c>
      <c r="AD1" s="8">
        <v>24</v>
      </c>
      <c r="AE1" s="8">
        <v>25</v>
      </c>
      <c r="AF1" s="8">
        <v>26</v>
      </c>
      <c r="AG1" s="8">
        <v>27</v>
      </c>
      <c r="AH1" s="8">
        <v>28</v>
      </c>
      <c r="AI1" s="8">
        <v>29</v>
      </c>
      <c r="AJ1" s="8">
        <v>30</v>
      </c>
      <c r="AK1" s="8">
        <v>31</v>
      </c>
      <c r="AL1" s="8">
        <v>32</v>
      </c>
      <c r="AM1" s="8">
        <v>33</v>
      </c>
      <c r="AN1" s="8">
        <v>34</v>
      </c>
      <c r="AO1" s="8">
        <v>35</v>
      </c>
      <c r="AP1" s="8">
        <v>36</v>
      </c>
      <c r="AQ1" s="8">
        <v>37</v>
      </c>
      <c r="AR1" s="8">
        <v>38</v>
      </c>
      <c r="AS1" s="8">
        <v>39</v>
      </c>
      <c r="AT1" s="8">
        <v>40</v>
      </c>
      <c r="AU1" s="8">
        <v>41</v>
      </c>
      <c r="AV1" s="8">
        <v>42</v>
      </c>
      <c r="AW1" s="8">
        <v>43</v>
      </c>
      <c r="AX1" s="8">
        <v>44</v>
      </c>
      <c r="AY1" s="8">
        <v>45</v>
      </c>
      <c r="AZ1" s="8">
        <v>46</v>
      </c>
      <c r="BA1" s="8">
        <v>47</v>
      </c>
      <c r="BB1" s="8">
        <v>48</v>
      </c>
      <c r="BC1" s="8">
        <v>49</v>
      </c>
      <c r="BD1" s="8">
        <v>50</v>
      </c>
      <c r="BE1" s="8">
        <v>51</v>
      </c>
      <c r="BF1" s="8">
        <v>52</v>
      </c>
      <c r="BG1" s="8">
        <v>53</v>
      </c>
      <c r="BH1" s="8">
        <v>54</v>
      </c>
      <c r="BI1" s="8">
        <v>55</v>
      </c>
      <c r="BJ1" s="8">
        <v>56</v>
      </c>
      <c r="BK1" s="8">
        <v>57</v>
      </c>
      <c r="BL1" s="8">
        <v>58</v>
      </c>
      <c r="BM1" s="8">
        <v>59</v>
      </c>
      <c r="BN1" s="8">
        <v>60</v>
      </c>
      <c r="BO1" s="8">
        <v>61</v>
      </c>
      <c r="BP1" s="8">
        <v>62</v>
      </c>
      <c r="BQ1" s="8">
        <v>63</v>
      </c>
      <c r="BR1" s="8">
        <v>64</v>
      </c>
      <c r="BS1" s="8">
        <v>65</v>
      </c>
      <c r="BT1" s="8">
        <v>66</v>
      </c>
      <c r="BU1" s="8">
        <v>67</v>
      </c>
      <c r="BV1" s="8">
        <v>68</v>
      </c>
      <c r="BW1" s="8">
        <v>69</v>
      </c>
      <c r="BX1" s="8">
        <v>70</v>
      </c>
      <c r="BY1" s="8">
        <v>71</v>
      </c>
      <c r="BZ1" s="8">
        <v>72</v>
      </c>
      <c r="CA1" s="8">
        <v>73</v>
      </c>
      <c r="CB1" s="8">
        <v>74</v>
      </c>
      <c r="CC1" s="8">
        <v>75</v>
      </c>
      <c r="CD1" s="8">
        <v>76</v>
      </c>
      <c r="CE1" s="8">
        <v>77</v>
      </c>
      <c r="CF1" s="8">
        <v>78</v>
      </c>
      <c r="CG1" s="8">
        <v>79</v>
      </c>
      <c r="CH1" s="8">
        <v>80</v>
      </c>
      <c r="CI1" s="8">
        <v>81</v>
      </c>
      <c r="CJ1" s="8">
        <v>82</v>
      </c>
      <c r="CK1" s="8">
        <v>83</v>
      </c>
      <c r="CL1" s="8">
        <v>84</v>
      </c>
      <c r="CM1" s="8">
        <v>85</v>
      </c>
      <c r="CN1" s="8">
        <v>86</v>
      </c>
      <c r="CO1" s="8">
        <v>87</v>
      </c>
      <c r="CP1" s="8">
        <v>88</v>
      </c>
      <c r="CQ1" s="8">
        <v>89</v>
      </c>
      <c r="CR1" s="8">
        <v>90</v>
      </c>
      <c r="CS1" s="8">
        <v>91</v>
      </c>
      <c r="CT1" s="8">
        <v>92</v>
      </c>
      <c r="CU1" s="8">
        <v>93</v>
      </c>
      <c r="CV1" s="8">
        <v>94</v>
      </c>
      <c r="CW1" s="8">
        <v>95</v>
      </c>
      <c r="CX1" s="8">
        <v>96</v>
      </c>
      <c r="CY1" s="8">
        <v>97</v>
      </c>
      <c r="CZ1" s="8">
        <v>98</v>
      </c>
      <c r="DA1" s="8">
        <v>99</v>
      </c>
      <c r="DB1" s="8">
        <v>100</v>
      </c>
      <c r="DC1" s="14" t="s">
        <v>129</v>
      </c>
      <c r="DD1" s="14" t="s">
        <v>143</v>
      </c>
      <c r="DE1" s="14" t="s">
        <v>130</v>
      </c>
      <c r="DF1" s="14" t="s">
        <v>158</v>
      </c>
      <c r="DG1" s="17" t="s">
        <v>183</v>
      </c>
      <c r="DH1" s="17" t="s">
        <v>184</v>
      </c>
      <c r="DI1" s="17" t="s">
        <v>185</v>
      </c>
      <c r="DJ1" s="17" t="s">
        <v>186</v>
      </c>
    </row>
    <row r="2" spans="1:114" x14ac:dyDescent="0.2">
      <c r="A2" s="25"/>
      <c r="B2" s="18"/>
      <c r="C2" s="18"/>
      <c r="D2" s="18"/>
      <c r="E2" s="18"/>
      <c r="F2" s="18"/>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c r="CJ2" s="26"/>
      <c r="CK2" s="26"/>
      <c r="CL2" s="26"/>
      <c r="CM2" s="26"/>
      <c r="CN2" s="26"/>
      <c r="CO2" s="26"/>
      <c r="CP2" s="26"/>
      <c r="CQ2" s="26"/>
      <c r="CR2" s="26"/>
      <c r="CS2" s="26"/>
      <c r="CT2" s="26"/>
      <c r="CU2" s="26"/>
      <c r="CV2" s="26"/>
      <c r="CW2" s="26"/>
      <c r="CX2" s="26"/>
      <c r="CY2" s="26"/>
      <c r="CZ2" s="26"/>
      <c r="DA2" s="26"/>
      <c r="DB2" s="19"/>
      <c r="DF2" s="20"/>
    </row>
    <row r="3" spans="1:114" x14ac:dyDescent="0.2">
      <c r="A3" s="25"/>
      <c r="B3" s="18"/>
      <c r="C3" s="18"/>
      <c r="D3" s="18"/>
      <c r="E3" s="18"/>
      <c r="F3" s="18"/>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19"/>
      <c r="DF3" s="20"/>
    </row>
    <row r="4" spans="1:114" x14ac:dyDescent="0.2">
      <c r="A4" s="25"/>
      <c r="B4" s="18"/>
      <c r="C4" s="18"/>
      <c r="D4" s="18"/>
      <c r="E4" s="18"/>
      <c r="F4" s="18"/>
      <c r="G4" s="26"/>
      <c r="H4" s="26"/>
      <c r="I4" s="26"/>
      <c r="J4" s="26"/>
      <c r="K4" s="26"/>
      <c r="L4" s="26"/>
      <c r="M4" s="26"/>
      <c r="N4" s="26"/>
      <c r="O4" s="26"/>
      <c r="P4" s="26"/>
      <c r="Q4" s="26"/>
      <c r="R4" s="26"/>
      <c r="S4" s="26"/>
      <c r="T4" s="26"/>
      <c r="U4" s="26"/>
      <c r="V4" s="26"/>
      <c r="W4" s="26"/>
      <c r="X4" s="26"/>
      <c r="Y4" s="26"/>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19"/>
      <c r="DF4" s="20"/>
    </row>
    <row r="5" spans="1:114" x14ac:dyDescent="0.2">
      <c r="A5" s="25"/>
      <c r="B5" s="18"/>
      <c r="C5" s="18"/>
      <c r="D5" s="18"/>
      <c r="E5" s="18"/>
      <c r="F5" s="18"/>
      <c r="G5" s="26"/>
      <c r="H5" s="26"/>
      <c r="I5" s="26"/>
      <c r="J5" s="26"/>
      <c r="K5" s="26"/>
      <c r="L5" s="26"/>
      <c r="M5" s="26"/>
      <c r="N5" s="26"/>
      <c r="O5" s="26"/>
      <c r="P5" s="26"/>
      <c r="Q5" s="26"/>
      <c r="R5" s="26"/>
      <c r="S5" s="26"/>
      <c r="T5" s="26"/>
      <c r="U5" s="26"/>
      <c r="V5" s="26"/>
      <c r="W5" s="26"/>
      <c r="X5" s="26"/>
      <c r="Y5" s="26"/>
      <c r="Z5" s="26"/>
      <c r="AA5" s="26"/>
      <c r="AB5" s="26"/>
      <c r="AC5" s="26"/>
      <c r="AD5" s="26"/>
      <c r="AE5" s="26"/>
      <c r="AF5" s="26"/>
      <c r="AG5" s="26"/>
      <c r="AH5" s="26"/>
      <c r="AI5" s="26"/>
      <c r="AJ5" s="26"/>
      <c r="AK5" s="26"/>
      <c r="AL5" s="26"/>
      <c r="AM5" s="26"/>
      <c r="AN5" s="26"/>
      <c r="AO5" s="26"/>
      <c r="AP5" s="26"/>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19"/>
      <c r="DF5" s="20"/>
    </row>
    <row r="6" spans="1:114" ht="15" x14ac:dyDescent="0.2">
      <c r="A6" s="25"/>
      <c r="B6" s="18"/>
      <c r="C6" s="18"/>
      <c r="D6" s="18"/>
      <c r="E6" s="18"/>
      <c r="F6" s="18"/>
      <c r="G6" s="26"/>
      <c r="H6" s="26"/>
      <c r="I6" s="26"/>
      <c r="J6" s="26"/>
      <c r="K6" s="26"/>
      <c r="L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19"/>
      <c r="DC6"/>
      <c r="DD6"/>
      <c r="DE6"/>
      <c r="DF6" s="13"/>
      <c r="DG6"/>
      <c r="DH6"/>
      <c r="DI6"/>
      <c r="DJ6"/>
    </row>
    <row r="7" spans="1:114" x14ac:dyDescent="0.2">
      <c r="A7" s="25"/>
      <c r="B7" s="18"/>
      <c r="C7" s="18"/>
      <c r="D7" s="18"/>
      <c r="E7" s="18"/>
      <c r="F7" s="18"/>
      <c r="G7" s="26"/>
      <c r="H7" s="26"/>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19"/>
    </row>
    <row r="8" spans="1:114" x14ac:dyDescent="0.2">
      <c r="A8" s="25"/>
      <c r="B8" s="18"/>
      <c r="C8" s="18"/>
      <c r="D8" s="18"/>
      <c r="E8" s="18"/>
      <c r="F8" s="18"/>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19"/>
    </row>
    <row r="9" spans="1:114" x14ac:dyDescent="0.2">
      <c r="A9" s="25"/>
      <c r="B9" s="18"/>
      <c r="C9" s="18"/>
      <c r="D9" s="18"/>
      <c r="E9" s="18"/>
      <c r="F9" s="18"/>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19"/>
    </row>
    <row r="10" spans="1:114" x14ac:dyDescent="0.2">
      <c r="A10" s="25"/>
      <c r="B10" s="18"/>
      <c r="C10" s="18"/>
      <c r="D10" s="18"/>
      <c r="E10" s="18"/>
      <c r="F10" s="18"/>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19"/>
    </row>
    <row r="11" spans="1:114" x14ac:dyDescent="0.2">
      <c r="A11" s="25"/>
      <c r="B11" s="18"/>
      <c r="C11" s="18"/>
      <c r="D11" s="18"/>
      <c r="E11" s="18"/>
      <c r="F11" s="18"/>
      <c r="G11" s="26"/>
      <c r="H11" s="26"/>
      <c r="I11" s="26"/>
      <c r="J11" s="26"/>
      <c r="K11" s="26"/>
      <c r="L11" s="26"/>
      <c r="M11" s="26"/>
      <c r="N11" s="26"/>
      <c r="O11" s="26"/>
      <c r="P11" s="26"/>
      <c r="Q11" s="26"/>
      <c r="R11" s="26"/>
      <c r="S11" s="26"/>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19"/>
    </row>
    <row r="12" spans="1:114" x14ac:dyDescent="0.2">
      <c r="A12" s="25"/>
      <c r="B12" s="18"/>
      <c r="C12" s="18"/>
      <c r="D12" s="18"/>
      <c r="E12" s="18"/>
      <c r="F12" s="18"/>
      <c r="G12" s="26"/>
      <c r="H12" s="26"/>
      <c r="I12" s="26"/>
      <c r="J12" s="26"/>
      <c r="K12" s="26"/>
      <c r="L12" s="26"/>
      <c r="M12" s="26"/>
      <c r="N12" s="26"/>
      <c r="O12" s="26"/>
      <c r="P12" s="26"/>
      <c r="Q12" s="26"/>
      <c r="R12" s="26"/>
      <c r="S12" s="26"/>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19"/>
    </row>
    <row r="13" spans="1:114" x14ac:dyDescent="0.2">
      <c r="A13" s="25"/>
      <c r="B13" s="18"/>
      <c r="C13" s="18"/>
      <c r="D13" s="18"/>
      <c r="E13" s="18"/>
      <c r="F13" s="18"/>
      <c r="G13" s="26"/>
      <c r="H13" s="26"/>
      <c r="I13" s="26"/>
      <c r="J13" s="26"/>
      <c r="K13" s="26"/>
      <c r="L13" s="26"/>
      <c r="M13" s="26"/>
      <c r="N13" s="26"/>
      <c r="O13" s="26"/>
      <c r="P13" s="26"/>
      <c r="Q13" s="26"/>
      <c r="R13" s="26"/>
      <c r="S13" s="26"/>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19"/>
    </row>
    <row r="14" spans="1:114" x14ac:dyDescent="0.2">
      <c r="A14" s="25"/>
      <c r="B14" s="18"/>
      <c r="C14" s="18"/>
      <c r="D14" s="18"/>
      <c r="E14" s="18"/>
      <c r="F14" s="18"/>
      <c r="G14" s="26"/>
      <c r="H14" s="26"/>
      <c r="I14" s="26"/>
      <c r="J14" s="26"/>
      <c r="K14" s="26"/>
      <c r="L14" s="26"/>
      <c r="M14" s="26"/>
      <c r="N14" s="26"/>
      <c r="O14" s="26"/>
      <c r="P14" s="26"/>
      <c r="Q14" s="26"/>
      <c r="R14" s="26"/>
      <c r="S14" s="26"/>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19"/>
    </row>
    <row r="15" spans="1:114" x14ac:dyDescent="0.2">
      <c r="A15" s="25"/>
      <c r="B15" s="18"/>
      <c r="C15" s="18"/>
      <c r="D15" s="18"/>
      <c r="E15" s="18"/>
      <c r="F15" s="18"/>
      <c r="G15" s="26"/>
      <c r="H15" s="26"/>
      <c r="I15" s="26"/>
      <c r="J15" s="26"/>
      <c r="K15" s="26"/>
      <c r="L15" s="26"/>
      <c r="M15" s="26"/>
      <c r="N15" s="26"/>
      <c r="O15" s="26"/>
      <c r="P15" s="26"/>
      <c r="Q15" s="26"/>
      <c r="R15" s="26"/>
      <c r="S15" s="26"/>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19"/>
    </row>
    <row r="16" spans="1:114" x14ac:dyDescent="0.2">
      <c r="A16" s="25"/>
      <c r="B16" s="18"/>
      <c r="C16" s="18"/>
      <c r="D16" s="18"/>
      <c r="E16" s="18"/>
      <c r="F16" s="18"/>
      <c r="G16" s="26"/>
      <c r="H16" s="26"/>
      <c r="I16" s="26"/>
      <c r="J16" s="26"/>
      <c r="K16" s="26"/>
      <c r="L16" s="26"/>
      <c r="M16" s="26"/>
      <c r="N16" s="26"/>
      <c r="O16" s="26"/>
      <c r="P16" s="26"/>
      <c r="Q16" s="26"/>
      <c r="R16" s="26"/>
      <c r="S16" s="26"/>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19"/>
    </row>
    <row r="17" spans="1:106" x14ac:dyDescent="0.2">
      <c r="A17" s="25"/>
      <c r="B17" s="18"/>
      <c r="C17" s="18"/>
      <c r="D17" s="18"/>
      <c r="E17" s="18"/>
      <c r="F17" s="18"/>
      <c r="G17" s="26"/>
      <c r="H17" s="26"/>
      <c r="I17" s="26"/>
      <c r="J17" s="26"/>
      <c r="K17" s="26"/>
      <c r="L17" s="26"/>
      <c r="M17" s="26"/>
      <c r="N17" s="26"/>
      <c r="O17" s="26"/>
      <c r="P17" s="26"/>
      <c r="Q17" s="26"/>
      <c r="R17" s="26"/>
      <c r="S17" s="26"/>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19"/>
    </row>
    <row r="18" spans="1:106" x14ac:dyDescent="0.2">
      <c r="A18" s="25"/>
      <c r="B18" s="18"/>
      <c r="C18" s="18"/>
      <c r="D18" s="18"/>
      <c r="E18" s="18"/>
      <c r="F18" s="18"/>
      <c r="G18" s="26"/>
      <c r="H18" s="26"/>
      <c r="I18" s="26"/>
      <c r="J18" s="26"/>
      <c r="K18" s="26"/>
      <c r="L18" s="26"/>
      <c r="M18" s="26"/>
      <c r="N18" s="26"/>
      <c r="O18" s="26"/>
      <c r="P18" s="26"/>
      <c r="Q18" s="26"/>
      <c r="R18" s="26"/>
      <c r="S18" s="26"/>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19"/>
    </row>
    <row r="19" spans="1:106" x14ac:dyDescent="0.2">
      <c r="A19" s="25"/>
      <c r="B19" s="18"/>
      <c r="C19" s="18"/>
      <c r="D19" s="18"/>
      <c r="E19" s="18"/>
      <c r="F19" s="18"/>
      <c r="G19" s="26"/>
      <c r="H19" s="26"/>
      <c r="I19" s="26"/>
      <c r="J19" s="26"/>
      <c r="K19" s="26"/>
      <c r="L19" s="26"/>
      <c r="M19" s="26"/>
      <c r="N19" s="26"/>
      <c r="O19" s="26"/>
      <c r="P19" s="26"/>
      <c r="Q19" s="26"/>
      <c r="R19" s="26"/>
      <c r="S19" s="26"/>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19"/>
    </row>
    <row r="20" spans="1:106" x14ac:dyDescent="0.2">
      <c r="A20" s="25"/>
      <c r="B20" s="18"/>
      <c r="C20" s="18"/>
      <c r="D20" s="18"/>
      <c r="E20" s="18"/>
      <c r="F20" s="18"/>
      <c r="G20" s="26"/>
      <c r="H20" s="26"/>
      <c r="I20" s="26"/>
      <c r="J20" s="26"/>
      <c r="K20" s="26"/>
      <c r="L20" s="26"/>
      <c r="M20" s="26"/>
      <c r="N20" s="26"/>
      <c r="O20" s="26"/>
      <c r="P20" s="26"/>
      <c r="Q20" s="26"/>
      <c r="R20" s="26"/>
      <c r="S20" s="26"/>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19"/>
    </row>
    <row r="21" spans="1:106" x14ac:dyDescent="0.2">
      <c r="A21" s="25"/>
      <c r="B21" s="18"/>
      <c r="C21" s="18"/>
      <c r="D21" s="18"/>
      <c r="E21" s="18"/>
      <c r="F21" s="18"/>
      <c r="G21" s="26"/>
      <c r="H21" s="26"/>
      <c r="I21" s="26"/>
      <c r="J21" s="26"/>
      <c r="K21" s="26"/>
      <c r="L21" s="26"/>
      <c r="M21" s="26"/>
      <c r="N21" s="26"/>
      <c r="O21" s="26"/>
      <c r="P21" s="26"/>
      <c r="Q21" s="26"/>
      <c r="R21" s="26"/>
      <c r="S21" s="26"/>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19"/>
    </row>
    <row r="22" spans="1:106" x14ac:dyDescent="0.2">
      <c r="A22" s="25"/>
      <c r="B22" s="18"/>
      <c r="C22" s="18"/>
      <c r="D22" s="18"/>
      <c r="E22" s="18"/>
      <c r="F22" s="18"/>
      <c r="G22" s="26"/>
      <c r="H22" s="26"/>
      <c r="I22" s="26"/>
      <c r="J22" s="26"/>
      <c r="K22" s="26"/>
      <c r="L22" s="26"/>
      <c r="M22" s="26"/>
      <c r="N22" s="26"/>
      <c r="O22" s="26"/>
      <c r="P22" s="26"/>
      <c r="Q22" s="26"/>
      <c r="R22" s="26"/>
      <c r="S22" s="26"/>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19"/>
    </row>
    <row r="23" spans="1:106" x14ac:dyDescent="0.2">
      <c r="A23" s="25"/>
      <c r="B23" s="18"/>
      <c r="C23" s="18"/>
      <c r="D23" s="18"/>
      <c r="E23" s="18"/>
      <c r="F23" s="18"/>
      <c r="G23" s="26"/>
      <c r="H23" s="26"/>
      <c r="I23" s="26"/>
      <c r="J23" s="26"/>
      <c r="K23" s="26"/>
      <c r="L23" s="26"/>
      <c r="M23" s="26"/>
      <c r="N23" s="26"/>
      <c r="O23" s="26"/>
      <c r="P23" s="26"/>
      <c r="Q23" s="26"/>
      <c r="R23" s="26"/>
      <c r="S23" s="26"/>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19"/>
    </row>
    <row r="24" spans="1:106" x14ac:dyDescent="0.2">
      <c r="A24" s="25"/>
      <c r="B24" s="18"/>
      <c r="C24" s="18"/>
      <c r="D24" s="18"/>
      <c r="E24" s="18"/>
      <c r="F24" s="18"/>
      <c r="G24" s="26"/>
      <c r="H24" s="26"/>
      <c r="I24" s="26"/>
      <c r="J24" s="26"/>
      <c r="K24" s="26"/>
      <c r="L24" s="26"/>
      <c r="M24" s="26"/>
      <c r="N24" s="26"/>
      <c r="O24" s="26"/>
      <c r="P24" s="26"/>
      <c r="Q24" s="26"/>
      <c r="R24" s="26"/>
      <c r="S24" s="26"/>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19"/>
    </row>
    <row r="25" spans="1:106" x14ac:dyDescent="0.2">
      <c r="A25" s="25"/>
      <c r="B25" s="18"/>
      <c r="C25" s="18"/>
      <c r="D25" s="18"/>
      <c r="E25" s="18"/>
      <c r="F25" s="18"/>
      <c r="G25" s="26"/>
      <c r="H25" s="26"/>
      <c r="I25" s="26"/>
      <c r="J25" s="26"/>
      <c r="K25" s="26"/>
      <c r="L25" s="26"/>
      <c r="M25" s="26"/>
      <c r="N25" s="26"/>
      <c r="O25" s="26"/>
      <c r="P25" s="26"/>
      <c r="Q25" s="26"/>
      <c r="R25" s="26"/>
      <c r="S25" s="26"/>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19"/>
    </row>
    <row r="26" spans="1:106" x14ac:dyDescent="0.2">
      <c r="A26" s="25"/>
      <c r="B26" s="18"/>
      <c r="C26" s="18"/>
      <c r="D26" s="18"/>
      <c r="E26" s="18"/>
      <c r="F26" s="18"/>
      <c r="G26" s="26"/>
      <c r="H26" s="26"/>
      <c r="I26" s="26"/>
      <c r="J26" s="26"/>
      <c r="K26" s="26"/>
      <c r="L26" s="26"/>
      <c r="M26" s="26"/>
      <c r="N26" s="26"/>
      <c r="O26" s="26"/>
      <c r="P26" s="26"/>
      <c r="Q26" s="26"/>
      <c r="R26" s="26"/>
      <c r="S26" s="26"/>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19"/>
    </row>
    <row r="27" spans="1:106" x14ac:dyDescent="0.2">
      <c r="A27" s="25"/>
      <c r="B27" s="18"/>
      <c r="C27" s="18"/>
      <c r="D27" s="18"/>
      <c r="E27" s="18"/>
      <c r="F27" s="18"/>
      <c r="G27" s="26"/>
      <c r="H27" s="26"/>
      <c r="I27" s="26"/>
      <c r="J27" s="26"/>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19"/>
    </row>
    <row r="28" spans="1:106" x14ac:dyDescent="0.2">
      <c r="A28" s="25"/>
      <c r="B28" s="18"/>
      <c r="C28" s="18"/>
      <c r="D28" s="18"/>
      <c r="E28" s="18"/>
      <c r="F28" s="18"/>
      <c r="G28" s="26"/>
      <c r="H28" s="26"/>
      <c r="I28" s="26"/>
      <c r="J28" s="26"/>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19"/>
    </row>
    <row r="29" spans="1:106" x14ac:dyDescent="0.2">
      <c r="A29" s="25"/>
      <c r="B29" s="18"/>
      <c r="C29" s="18"/>
      <c r="D29" s="18"/>
      <c r="E29" s="18"/>
      <c r="F29" s="18"/>
      <c r="G29" s="26"/>
      <c r="H29" s="26"/>
      <c r="I29" s="26"/>
      <c r="J29" s="26"/>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19"/>
    </row>
    <row r="30" spans="1:106" x14ac:dyDescent="0.2">
      <c r="A30" s="25"/>
      <c r="B30" s="18"/>
      <c r="C30" s="18"/>
      <c r="D30" s="18"/>
      <c r="E30" s="18"/>
      <c r="F30" s="18"/>
      <c r="G30" s="26"/>
      <c r="H30" s="26"/>
      <c r="I30" s="26"/>
      <c r="J30" s="26"/>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19"/>
    </row>
    <row r="31" spans="1:106" x14ac:dyDescent="0.2">
      <c r="A31" s="25"/>
      <c r="B31" s="18"/>
      <c r="C31" s="18"/>
      <c r="D31" s="18"/>
      <c r="E31" s="18"/>
      <c r="F31" s="18"/>
      <c r="G31" s="26"/>
      <c r="H31" s="26"/>
      <c r="I31" s="26"/>
      <c r="J31" s="26"/>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19"/>
    </row>
    <row r="32" spans="1:106" x14ac:dyDescent="0.2">
      <c r="A32" s="25"/>
      <c r="B32" s="18"/>
      <c r="C32" s="18"/>
      <c r="D32" s="18"/>
      <c r="E32" s="18"/>
      <c r="F32" s="18"/>
      <c r="G32" s="26"/>
      <c r="H32" s="26"/>
      <c r="I32" s="26"/>
      <c r="J32" s="26"/>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19"/>
    </row>
    <row r="33" spans="1:106" x14ac:dyDescent="0.2">
      <c r="A33" s="25"/>
      <c r="B33" s="18"/>
      <c r="C33" s="18"/>
      <c r="D33" s="18"/>
      <c r="E33" s="18"/>
      <c r="F33" s="18"/>
      <c r="G33" s="26"/>
      <c r="H33" s="26"/>
      <c r="I33" s="26"/>
      <c r="J33" s="26"/>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19"/>
    </row>
    <row r="34" spans="1:106" x14ac:dyDescent="0.2">
      <c r="A34" s="25"/>
      <c r="B34" s="18"/>
      <c r="C34" s="18"/>
      <c r="D34" s="18"/>
      <c r="E34" s="18"/>
      <c r="F34" s="18"/>
      <c r="G34" s="26"/>
      <c r="H34" s="26"/>
      <c r="I34" s="26"/>
      <c r="J34" s="26"/>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19"/>
    </row>
    <row r="35" spans="1:106" x14ac:dyDescent="0.2">
      <c r="A35" s="25"/>
      <c r="B35" s="18"/>
      <c r="C35" s="18"/>
      <c r="D35" s="18"/>
      <c r="E35" s="18"/>
      <c r="F35" s="18"/>
      <c r="G35" s="26"/>
      <c r="H35" s="26"/>
      <c r="I35" s="26"/>
      <c r="J35" s="26"/>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19"/>
    </row>
    <row r="36" spans="1:106" x14ac:dyDescent="0.2">
      <c r="A36" s="25"/>
      <c r="B36" s="18"/>
      <c r="C36" s="18"/>
      <c r="D36" s="18"/>
      <c r="E36" s="18"/>
      <c r="F36" s="18"/>
      <c r="G36" s="26"/>
      <c r="H36" s="26"/>
      <c r="I36" s="26"/>
      <c r="J36" s="26"/>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19"/>
    </row>
    <row r="37" spans="1:106" x14ac:dyDescent="0.2">
      <c r="A37" s="25"/>
      <c r="B37" s="18"/>
      <c r="C37" s="18"/>
      <c r="D37" s="18"/>
      <c r="E37" s="18"/>
      <c r="F37" s="18"/>
      <c r="G37" s="26"/>
      <c r="H37" s="26"/>
      <c r="I37" s="26"/>
      <c r="J37" s="26"/>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19"/>
    </row>
    <row r="38" spans="1:106" x14ac:dyDescent="0.2">
      <c r="A38" s="25"/>
      <c r="B38" s="18"/>
      <c r="C38" s="18"/>
      <c r="D38" s="18"/>
      <c r="E38" s="18"/>
      <c r="F38" s="18"/>
      <c r="G38" s="26"/>
      <c r="H38" s="26"/>
      <c r="I38" s="26"/>
      <c r="J38" s="26"/>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19"/>
    </row>
    <row r="39" spans="1:106" x14ac:dyDescent="0.2">
      <c r="A39" s="25"/>
      <c r="B39" s="18"/>
      <c r="C39" s="18"/>
      <c r="D39" s="18"/>
      <c r="E39" s="18"/>
      <c r="F39" s="18"/>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19"/>
    </row>
    <row r="40" spans="1:106" x14ac:dyDescent="0.2">
      <c r="A40" s="25"/>
      <c r="B40" s="18"/>
      <c r="C40" s="18"/>
      <c r="D40" s="18"/>
      <c r="E40" s="18"/>
      <c r="F40" s="18"/>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19"/>
    </row>
    <row r="41" spans="1:106" x14ac:dyDescent="0.2">
      <c r="A41" s="25"/>
      <c r="B41" s="18"/>
      <c r="C41" s="18"/>
      <c r="D41" s="18"/>
      <c r="E41" s="18"/>
      <c r="F41" s="18"/>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19"/>
    </row>
    <row r="42" spans="1:106" x14ac:dyDescent="0.2">
      <c r="A42" s="25"/>
      <c r="B42" s="18"/>
      <c r="C42" s="18"/>
      <c r="D42" s="18"/>
      <c r="E42" s="18"/>
      <c r="F42" s="18"/>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19"/>
    </row>
    <row r="43" spans="1:106" x14ac:dyDescent="0.2">
      <c r="A43" s="25"/>
      <c r="B43" s="18"/>
      <c r="C43" s="18"/>
      <c r="D43" s="18"/>
      <c r="E43" s="18"/>
      <c r="F43" s="18"/>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19"/>
    </row>
    <row r="44" spans="1:106" x14ac:dyDescent="0.2">
      <c r="A44" s="25"/>
      <c r="B44" s="18"/>
      <c r="C44" s="18"/>
      <c r="D44" s="18"/>
      <c r="E44" s="18"/>
      <c r="F44" s="18"/>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19"/>
    </row>
    <row r="45" spans="1:106" x14ac:dyDescent="0.2">
      <c r="A45" s="25"/>
      <c r="B45" s="18"/>
      <c r="C45" s="18"/>
      <c r="D45" s="18"/>
      <c r="E45" s="18"/>
      <c r="F45" s="18"/>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19"/>
    </row>
    <row r="46" spans="1:106" x14ac:dyDescent="0.2">
      <c r="A46" s="25"/>
      <c r="B46" s="18"/>
      <c r="C46" s="18"/>
      <c r="D46" s="18"/>
      <c r="E46" s="18"/>
      <c r="F46" s="18"/>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19"/>
    </row>
    <row r="47" spans="1:106" x14ac:dyDescent="0.2">
      <c r="A47" s="25"/>
      <c r="B47" s="18"/>
      <c r="C47" s="18"/>
      <c r="D47" s="18"/>
      <c r="E47" s="18"/>
      <c r="F47" s="18"/>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19"/>
    </row>
    <row r="48" spans="1:106" x14ac:dyDescent="0.2">
      <c r="A48" s="25"/>
      <c r="B48" s="18"/>
      <c r="C48" s="18"/>
      <c r="D48" s="18"/>
      <c r="E48" s="18"/>
      <c r="F48" s="18"/>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19"/>
    </row>
    <row r="49" spans="1:106" x14ac:dyDescent="0.2">
      <c r="A49" s="25"/>
      <c r="B49" s="18"/>
      <c r="C49" s="18"/>
      <c r="D49" s="18"/>
      <c r="E49" s="18"/>
      <c r="F49" s="18"/>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19"/>
    </row>
    <row r="50" spans="1:106" x14ac:dyDescent="0.2">
      <c r="A50" s="25"/>
      <c r="B50" s="18"/>
      <c r="C50" s="18"/>
      <c r="D50" s="18"/>
      <c r="E50" s="18"/>
      <c r="F50" s="18"/>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19"/>
    </row>
    <row r="51" spans="1:106" x14ac:dyDescent="0.2">
      <c r="A51" s="25"/>
      <c r="B51" s="18"/>
      <c r="C51" s="18"/>
      <c r="D51" s="18"/>
      <c r="E51" s="18"/>
      <c r="F51" s="18"/>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19"/>
    </row>
    <row r="52" spans="1:106" x14ac:dyDescent="0.2">
      <c r="A52" s="25"/>
      <c r="B52" s="18"/>
      <c r="C52" s="18"/>
      <c r="D52" s="18"/>
      <c r="E52" s="18"/>
      <c r="F52" s="18"/>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19"/>
    </row>
    <row r="53" spans="1:106" x14ac:dyDescent="0.2">
      <c r="A53" s="25"/>
      <c r="B53" s="18"/>
      <c r="C53" s="18"/>
      <c r="D53" s="18"/>
      <c r="E53" s="18"/>
      <c r="F53" s="18"/>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19"/>
    </row>
    <row r="54" spans="1:106" x14ac:dyDescent="0.2">
      <c r="A54" s="25"/>
      <c r="B54" s="18"/>
      <c r="C54" s="18"/>
      <c r="D54" s="18"/>
      <c r="E54" s="18"/>
      <c r="F54" s="18"/>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19"/>
    </row>
    <row r="55" spans="1:106" x14ac:dyDescent="0.2">
      <c r="A55" s="25"/>
      <c r="B55" s="18"/>
      <c r="C55" s="18"/>
      <c r="D55" s="18"/>
      <c r="E55" s="18"/>
      <c r="F55" s="18"/>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19"/>
    </row>
    <row r="56" spans="1:106" x14ac:dyDescent="0.2">
      <c r="A56" s="25"/>
      <c r="B56" s="18"/>
      <c r="C56" s="18"/>
      <c r="D56" s="18"/>
      <c r="E56" s="18"/>
      <c r="F56" s="18"/>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19"/>
    </row>
    <row r="57" spans="1:106" x14ac:dyDescent="0.2">
      <c r="A57" s="25"/>
      <c r="B57" s="18"/>
      <c r="C57" s="18"/>
      <c r="D57" s="18"/>
      <c r="E57" s="18"/>
      <c r="F57" s="18"/>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19"/>
    </row>
    <row r="58" spans="1:106" x14ac:dyDescent="0.2">
      <c r="A58" s="25"/>
      <c r="B58" s="18"/>
      <c r="C58" s="18"/>
      <c r="D58" s="18"/>
      <c r="E58" s="18"/>
      <c r="F58" s="18"/>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19"/>
    </row>
    <row r="59" spans="1:106" x14ac:dyDescent="0.2">
      <c r="A59" s="25"/>
      <c r="B59" s="18"/>
      <c r="C59" s="18"/>
      <c r="D59" s="18"/>
      <c r="E59" s="18"/>
      <c r="F59" s="18"/>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19"/>
    </row>
    <row r="60" spans="1:106" x14ac:dyDescent="0.2">
      <c r="A60" s="25"/>
      <c r="B60" s="18"/>
      <c r="C60" s="18"/>
      <c r="D60" s="18"/>
      <c r="E60" s="18"/>
      <c r="F60" s="18"/>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19"/>
    </row>
    <row r="61" spans="1:106" x14ac:dyDescent="0.2">
      <c r="A61" s="25"/>
      <c r="B61" s="18"/>
      <c r="C61" s="18"/>
      <c r="D61" s="18"/>
      <c r="E61" s="18"/>
      <c r="F61" s="18"/>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19"/>
    </row>
    <row r="62" spans="1:106" x14ac:dyDescent="0.2">
      <c r="A62" s="25"/>
      <c r="B62" s="18"/>
      <c r="C62" s="18"/>
      <c r="D62" s="18"/>
      <c r="E62" s="18"/>
      <c r="F62" s="18"/>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19"/>
    </row>
    <row r="63" spans="1:106" x14ac:dyDescent="0.2">
      <c r="A63" s="25"/>
      <c r="B63" s="18"/>
      <c r="C63" s="18"/>
      <c r="D63" s="18"/>
      <c r="E63" s="18"/>
      <c r="F63" s="18"/>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19"/>
    </row>
    <row r="64" spans="1:106" x14ac:dyDescent="0.2">
      <c r="A64" s="25"/>
      <c r="B64" s="18"/>
      <c r="C64" s="18"/>
      <c r="D64" s="18"/>
      <c r="E64" s="18"/>
      <c r="F64" s="18"/>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19"/>
    </row>
    <row r="65" spans="1:106" x14ac:dyDescent="0.2">
      <c r="A65" s="25"/>
      <c r="B65" s="18"/>
      <c r="C65" s="18"/>
      <c r="D65" s="18"/>
      <c r="E65" s="18"/>
      <c r="F65" s="18"/>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19"/>
    </row>
    <row r="66" spans="1:106" x14ac:dyDescent="0.2">
      <c r="A66" s="25"/>
      <c r="B66" s="18"/>
      <c r="C66" s="18"/>
      <c r="D66" s="18"/>
      <c r="E66" s="18"/>
      <c r="F66" s="18"/>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19"/>
    </row>
    <row r="67" spans="1:106" x14ac:dyDescent="0.2">
      <c r="A67" s="25"/>
      <c r="B67" s="18"/>
      <c r="C67" s="18"/>
      <c r="D67" s="18"/>
      <c r="E67" s="18"/>
      <c r="F67" s="18"/>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19"/>
    </row>
    <row r="68" spans="1:106" x14ac:dyDescent="0.2">
      <c r="A68" s="25"/>
      <c r="B68" s="18"/>
      <c r="C68" s="18"/>
      <c r="D68" s="18"/>
      <c r="E68" s="18"/>
      <c r="F68" s="18"/>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19"/>
    </row>
    <row r="69" spans="1:106" x14ac:dyDescent="0.2">
      <c r="A69" s="25"/>
      <c r="B69" s="18"/>
      <c r="C69" s="18"/>
      <c r="D69" s="18"/>
      <c r="E69" s="18"/>
      <c r="F69" s="18"/>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19"/>
    </row>
    <row r="70" spans="1:106" x14ac:dyDescent="0.2">
      <c r="A70" s="25"/>
      <c r="B70" s="18"/>
      <c r="C70" s="18"/>
      <c r="D70" s="18"/>
      <c r="E70" s="18"/>
      <c r="F70" s="18"/>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19"/>
    </row>
    <row r="71" spans="1:106" x14ac:dyDescent="0.2">
      <c r="A71" s="25"/>
      <c r="B71" s="18"/>
      <c r="C71" s="18"/>
      <c r="D71" s="18"/>
      <c r="E71" s="18"/>
      <c r="F71" s="18"/>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19"/>
    </row>
    <row r="72" spans="1:106" x14ac:dyDescent="0.2">
      <c r="A72" s="25"/>
      <c r="B72" s="18"/>
      <c r="C72" s="18"/>
      <c r="D72" s="18"/>
      <c r="E72" s="18"/>
      <c r="F72" s="18"/>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19"/>
    </row>
    <row r="73" spans="1:106" x14ac:dyDescent="0.2">
      <c r="A73" s="25"/>
      <c r="B73" s="18"/>
      <c r="C73" s="18"/>
      <c r="D73" s="18"/>
      <c r="E73" s="18"/>
      <c r="F73" s="18"/>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19"/>
    </row>
    <row r="74" spans="1:106" x14ac:dyDescent="0.2">
      <c r="A74" s="25"/>
      <c r="B74" s="18"/>
      <c r="C74" s="18"/>
      <c r="D74" s="18"/>
      <c r="E74" s="18"/>
      <c r="F74" s="18"/>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19"/>
    </row>
    <row r="75" spans="1:106" x14ac:dyDescent="0.2">
      <c r="A75" s="25"/>
      <c r="B75" s="18"/>
      <c r="C75" s="18"/>
      <c r="D75" s="18"/>
      <c r="E75" s="18"/>
      <c r="F75" s="18"/>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19"/>
    </row>
    <row r="76" spans="1:106" x14ac:dyDescent="0.2">
      <c r="A76" s="25"/>
      <c r="B76" s="18"/>
      <c r="C76" s="18"/>
      <c r="D76" s="18"/>
      <c r="E76" s="18"/>
      <c r="F76" s="18"/>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19"/>
    </row>
    <row r="77" spans="1:106" x14ac:dyDescent="0.2">
      <c r="A77" s="25"/>
      <c r="B77" s="18"/>
      <c r="C77" s="18"/>
      <c r="D77" s="18"/>
      <c r="E77" s="18"/>
      <c r="F77" s="18"/>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19"/>
    </row>
    <row r="78" spans="1:106" x14ac:dyDescent="0.2">
      <c r="A78" s="25"/>
      <c r="B78" s="18"/>
      <c r="C78" s="18"/>
      <c r="D78" s="18"/>
      <c r="E78" s="18"/>
      <c r="F78" s="18"/>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19"/>
    </row>
    <row r="79" spans="1:106" x14ac:dyDescent="0.2">
      <c r="A79" s="25"/>
      <c r="B79" s="18"/>
      <c r="C79" s="18"/>
      <c r="D79" s="18"/>
      <c r="E79" s="18"/>
      <c r="F79" s="18"/>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19"/>
    </row>
    <row r="80" spans="1:106" x14ac:dyDescent="0.2">
      <c r="A80" s="25"/>
      <c r="B80" s="18"/>
      <c r="C80" s="18"/>
      <c r="D80" s="18"/>
      <c r="E80" s="18"/>
      <c r="F80" s="18"/>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19"/>
    </row>
    <row r="81" spans="1:106" x14ac:dyDescent="0.2">
      <c r="A81" s="25"/>
      <c r="B81" s="18"/>
      <c r="C81" s="18"/>
      <c r="D81" s="18"/>
      <c r="E81" s="18"/>
      <c r="F81" s="18"/>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19"/>
    </row>
    <row r="82" spans="1:106" x14ac:dyDescent="0.2">
      <c r="A82" s="25"/>
      <c r="B82" s="18"/>
      <c r="C82" s="18"/>
      <c r="D82" s="18"/>
      <c r="E82" s="18"/>
      <c r="F82" s="18"/>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19"/>
    </row>
    <row r="83" spans="1:106" x14ac:dyDescent="0.2">
      <c r="A83" s="25"/>
      <c r="B83" s="18"/>
      <c r="C83" s="18"/>
      <c r="D83" s="18"/>
      <c r="E83" s="18"/>
      <c r="F83" s="18"/>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19"/>
    </row>
    <row r="84" spans="1:106" x14ac:dyDescent="0.2">
      <c r="A84" s="25"/>
      <c r="B84" s="18"/>
      <c r="C84" s="18"/>
      <c r="D84" s="18"/>
      <c r="E84" s="18"/>
      <c r="F84" s="18"/>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19"/>
    </row>
    <row r="85" spans="1:106" x14ac:dyDescent="0.2">
      <c r="A85" s="25"/>
      <c r="B85" s="18"/>
      <c r="C85" s="18"/>
      <c r="D85" s="18"/>
      <c r="E85" s="18"/>
      <c r="F85" s="18"/>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19"/>
    </row>
    <row r="86" spans="1:106" x14ac:dyDescent="0.2">
      <c r="A86" s="25"/>
      <c r="B86" s="18"/>
      <c r="C86" s="18"/>
      <c r="D86" s="18"/>
      <c r="E86" s="18"/>
      <c r="F86" s="18"/>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19"/>
    </row>
    <row r="87" spans="1:106" x14ac:dyDescent="0.2">
      <c r="A87" s="25"/>
      <c r="B87" s="18"/>
      <c r="C87" s="18"/>
      <c r="D87" s="18"/>
      <c r="E87" s="18"/>
      <c r="F87" s="18"/>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19"/>
    </row>
    <row r="88" spans="1:106" x14ac:dyDescent="0.2">
      <c r="A88" s="25"/>
      <c r="B88" s="18"/>
      <c r="C88" s="18"/>
      <c r="D88" s="18"/>
      <c r="E88" s="18"/>
      <c r="F88" s="18"/>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19"/>
    </row>
    <row r="89" spans="1:106" x14ac:dyDescent="0.2">
      <c r="A89" s="25"/>
      <c r="B89" s="18"/>
      <c r="C89" s="18"/>
      <c r="D89" s="18"/>
      <c r="E89" s="18"/>
      <c r="F89" s="18"/>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19"/>
    </row>
    <row r="90" spans="1:106" x14ac:dyDescent="0.2">
      <c r="A90" s="25"/>
      <c r="B90" s="18"/>
      <c r="C90" s="18"/>
      <c r="D90" s="18"/>
      <c r="E90" s="18"/>
      <c r="F90" s="18"/>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19"/>
    </row>
    <row r="91" spans="1:106" x14ac:dyDescent="0.2">
      <c r="A91" s="25"/>
      <c r="B91" s="18"/>
      <c r="C91" s="18"/>
      <c r="D91" s="18"/>
      <c r="E91" s="18"/>
      <c r="F91" s="18"/>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19"/>
    </row>
    <row r="92" spans="1:106" x14ac:dyDescent="0.2">
      <c r="A92" s="25"/>
      <c r="B92" s="18"/>
      <c r="C92" s="18"/>
      <c r="D92" s="18"/>
      <c r="E92" s="18"/>
      <c r="F92" s="18"/>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19"/>
    </row>
    <row r="93" spans="1:106" x14ac:dyDescent="0.2">
      <c r="A93" s="25"/>
      <c r="B93" s="18"/>
      <c r="C93" s="18"/>
      <c r="D93" s="18"/>
      <c r="E93" s="18"/>
      <c r="F93" s="18"/>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19"/>
    </row>
    <row r="94" spans="1:106" x14ac:dyDescent="0.2">
      <c r="A94" s="25"/>
      <c r="B94" s="18"/>
      <c r="C94" s="18"/>
      <c r="D94" s="18"/>
      <c r="E94" s="18"/>
      <c r="F94" s="18"/>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19"/>
    </row>
    <row r="95" spans="1:106" x14ac:dyDescent="0.2">
      <c r="A95" s="25"/>
      <c r="B95" s="18"/>
      <c r="C95" s="18"/>
      <c r="D95" s="18"/>
      <c r="E95" s="18"/>
      <c r="F95" s="18"/>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19"/>
    </row>
    <row r="96" spans="1:106" x14ac:dyDescent="0.2">
      <c r="A96" s="25"/>
      <c r="B96" s="18"/>
      <c r="C96" s="18"/>
      <c r="D96" s="18"/>
      <c r="E96" s="18"/>
      <c r="F96" s="18"/>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19"/>
    </row>
    <row r="97" spans="1:114" x14ac:dyDescent="0.2">
      <c r="A97" s="25"/>
      <c r="B97" s="18"/>
      <c r="C97" s="18"/>
      <c r="D97" s="18"/>
      <c r="E97" s="18"/>
      <c r="F97" s="18"/>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19"/>
    </row>
    <row r="98" spans="1:114" x14ac:dyDescent="0.2">
      <c r="A98" s="25"/>
      <c r="B98" s="18"/>
      <c r="C98" s="18"/>
      <c r="D98" s="18"/>
      <c r="E98" s="18"/>
      <c r="F98" s="18"/>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19"/>
    </row>
    <row r="99" spans="1:114" x14ac:dyDescent="0.2">
      <c r="A99" s="25"/>
      <c r="B99" s="18"/>
      <c r="C99" s="18"/>
      <c r="D99" s="18"/>
      <c r="E99" s="18"/>
      <c r="F99" s="18"/>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19"/>
    </row>
    <row r="100" spans="1:114" x14ac:dyDescent="0.2">
      <c r="A100" s="25"/>
      <c r="B100" s="18"/>
      <c r="C100" s="18"/>
      <c r="D100" s="18"/>
      <c r="E100" s="18"/>
      <c r="F100" s="18"/>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19"/>
    </row>
    <row r="101" spans="1:114" ht="15"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row>
    <row r="102" spans="1:114" ht="15"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row>
    <row r="103" spans="1:114" ht="15"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row>
    <row r="104" spans="1:114" ht="15"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row>
    <row r="105" spans="1:114" ht="15"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row>
    <row r="106" spans="1:114" ht="15"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row>
    <row r="107" spans="1:114" ht="15"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row>
    <row r="108" spans="1:114" ht="15"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row>
    <row r="109" spans="1:114" ht="15"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row>
    <row r="110" spans="1:114" ht="15"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row>
    <row r="111" spans="1:114" ht="15"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row>
    <row r="112" spans="1:114" ht="15"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row>
    <row r="113" spans="1:114" ht="15"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row>
    <row r="114" spans="1:114" ht="15"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row>
    <row r="115" spans="1:114" ht="15"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row>
    <row r="116" spans="1:114" ht="15"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row>
    <row r="117" spans="1:114" ht="15"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row>
    <row r="118" spans="1:114" ht="15"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row>
    <row r="119" spans="1:114" ht="15"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row>
    <row r="120" spans="1:114" ht="15"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row>
    <row r="121" spans="1:114" ht="15"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row>
    <row r="122" spans="1:114" ht="15"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locked="0" defaultSize="0" autoFill="0" autoPict="0" macro="[0]!CheckArcPathOd">
                <anchor moveWithCells="1" sizeWithCells="1">
                  <from>
                    <xdr:col>0</xdr:col>
                    <xdr:colOff>152400</xdr:colOff>
                    <xdr:row>0</xdr:row>
                    <xdr:rowOff>101600</xdr:rowOff>
                  </from>
                  <to>
                    <xdr:col>0</xdr:col>
                    <xdr:colOff>1663700</xdr:colOff>
                    <xdr:row>0</xdr:row>
                    <xdr:rowOff>419100</xdr:rowOff>
                  </to>
                </anchor>
              </controlPr>
            </control>
          </mc:Choice>
          <mc:Fallback/>
        </mc:AlternateContent>
      </controls>
    </mc:Choice>
    <mc:Fallback/>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olLet" enableFormatConditionsCalculation="0"/>
  <dimension ref="A1:CV1"/>
  <sheetViews>
    <sheetView workbookViewId="0"/>
  </sheetViews>
  <sheetFormatPr baseColWidth="10" defaultColWidth="8.83203125" defaultRowHeight="15" x14ac:dyDescent="0.2"/>
  <sheetData>
    <row r="1" spans="1:100" x14ac:dyDescent="0.2">
      <c r="A1" t="s">
        <v>0</v>
      </c>
      <c r="B1" t="s">
        <v>1</v>
      </c>
      <c r="C1" t="s">
        <v>6</v>
      </c>
      <c r="D1" t="s">
        <v>12</v>
      </c>
      <c r="E1" t="s">
        <v>13</v>
      </c>
      <c r="F1" t="s">
        <v>14</v>
      </c>
      <c r="G1" t="s">
        <v>15</v>
      </c>
      <c r="H1" t="s">
        <v>16</v>
      </c>
      <c r="I1" t="s">
        <v>17</v>
      </c>
      <c r="J1" t="s">
        <v>18</v>
      </c>
      <c r="K1" t="s">
        <v>19</v>
      </c>
      <c r="L1" t="s">
        <v>4</v>
      </c>
      <c r="M1" t="s">
        <v>20</v>
      </c>
      <c r="N1" t="s">
        <v>21</v>
      </c>
      <c r="O1" t="s">
        <v>22</v>
      </c>
      <c r="P1" t="s">
        <v>5</v>
      </c>
      <c r="Q1" t="s">
        <v>23</v>
      </c>
      <c r="R1" t="s">
        <v>24</v>
      </c>
      <c r="S1" t="s">
        <v>25</v>
      </c>
      <c r="T1" t="s">
        <v>26</v>
      </c>
      <c r="U1" t="s">
        <v>27</v>
      </c>
      <c r="V1" t="s">
        <v>2</v>
      </c>
      <c r="W1" t="s">
        <v>28</v>
      </c>
      <c r="X1" t="s">
        <v>29</v>
      </c>
      <c r="Y1" t="s">
        <v>30</v>
      </c>
      <c r="Z1" t="s">
        <v>31</v>
      </c>
      <c r="AA1" t="s">
        <v>32</v>
      </c>
      <c r="AB1" t="s">
        <v>33</v>
      </c>
      <c r="AC1" t="s">
        <v>34</v>
      </c>
      <c r="AD1" t="s">
        <v>35</v>
      </c>
      <c r="AE1" t="s">
        <v>36</v>
      </c>
      <c r="AF1" t="s">
        <v>37</v>
      </c>
      <c r="AG1" t="s">
        <v>38</v>
      </c>
      <c r="AH1" t="s">
        <v>39</v>
      </c>
      <c r="AI1" t="s">
        <v>40</v>
      </c>
      <c r="AJ1" t="s">
        <v>41</v>
      </c>
      <c r="AK1" t="s">
        <v>42</v>
      </c>
      <c r="AL1" t="s">
        <v>43</v>
      </c>
      <c r="AM1" t="s">
        <v>44</v>
      </c>
      <c r="AN1" t="s">
        <v>45</v>
      </c>
      <c r="AO1" t="s">
        <v>46</v>
      </c>
      <c r="AP1" t="s">
        <v>47</v>
      </c>
      <c r="AQ1" t="s">
        <v>48</v>
      </c>
      <c r="AR1" t="s">
        <v>49</v>
      </c>
      <c r="AS1" t="s">
        <v>50</v>
      </c>
      <c r="AT1" t="s">
        <v>51</v>
      </c>
      <c r="AU1" t="s">
        <v>52</v>
      </c>
      <c r="AV1" t="s">
        <v>3</v>
      </c>
      <c r="AW1" t="s">
        <v>53</v>
      </c>
      <c r="AX1" t="s">
        <v>54</v>
      </c>
      <c r="AY1" t="s">
        <v>55</v>
      </c>
      <c r="AZ1" t="s">
        <v>56</v>
      </c>
      <c r="BA1" t="s">
        <v>57</v>
      </c>
      <c r="BB1" t="s">
        <v>58</v>
      </c>
      <c r="BC1" t="s">
        <v>59</v>
      </c>
      <c r="BD1" t="s">
        <v>60</v>
      </c>
      <c r="BE1" t="s">
        <v>61</v>
      </c>
      <c r="BF1" t="s">
        <v>62</v>
      </c>
      <c r="BG1" t="s">
        <v>63</v>
      </c>
      <c r="BH1" t="s">
        <v>64</v>
      </c>
      <c r="BI1" t="s">
        <v>65</v>
      </c>
      <c r="BJ1" t="s">
        <v>66</v>
      </c>
      <c r="BK1" t="s">
        <v>67</v>
      </c>
      <c r="BL1" t="s">
        <v>68</v>
      </c>
      <c r="BM1" t="s">
        <v>69</v>
      </c>
      <c r="BN1" t="s">
        <v>70</v>
      </c>
      <c r="BO1" t="s">
        <v>71</v>
      </c>
      <c r="BP1" t="s">
        <v>72</v>
      </c>
      <c r="BQ1" t="s">
        <v>73</v>
      </c>
      <c r="BR1" t="s">
        <v>74</v>
      </c>
      <c r="BS1" t="s">
        <v>75</v>
      </c>
      <c r="BT1" t="s">
        <v>76</v>
      </c>
      <c r="BU1" t="s">
        <v>77</v>
      </c>
      <c r="BV1" t="s">
        <v>78</v>
      </c>
      <c r="BW1" t="s">
        <v>79</v>
      </c>
      <c r="BX1" t="s">
        <v>80</v>
      </c>
      <c r="BY1" t="s">
        <v>81</v>
      </c>
      <c r="BZ1" t="s">
        <v>82</v>
      </c>
      <c r="CA1" t="s">
        <v>83</v>
      </c>
      <c r="CB1" t="s">
        <v>84</v>
      </c>
      <c r="CC1" t="s">
        <v>85</v>
      </c>
      <c r="CD1" t="s">
        <v>86</v>
      </c>
      <c r="CE1" t="s">
        <v>87</v>
      </c>
      <c r="CF1" t="s">
        <v>88</v>
      </c>
      <c r="CG1" t="s">
        <v>89</v>
      </c>
      <c r="CH1" t="s">
        <v>90</v>
      </c>
      <c r="CI1" t="s">
        <v>91</v>
      </c>
      <c r="CJ1" t="s">
        <v>92</v>
      </c>
      <c r="CK1" t="s">
        <v>93</v>
      </c>
      <c r="CL1" t="s">
        <v>94</v>
      </c>
      <c r="CM1" t="s">
        <v>95</v>
      </c>
      <c r="CN1" t="s">
        <v>96</v>
      </c>
      <c r="CO1" t="s">
        <v>97</v>
      </c>
      <c r="CP1" t="s">
        <v>98</v>
      </c>
      <c r="CQ1" t="s">
        <v>99</v>
      </c>
      <c r="CR1" t="s">
        <v>100</v>
      </c>
      <c r="CS1" t="s">
        <v>101</v>
      </c>
      <c r="CT1" t="s">
        <v>102</v>
      </c>
      <c r="CU1" t="s">
        <v>103</v>
      </c>
      <c r="CV1" t="s">
        <v>104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athMDs" enableFormatConditionsCalculation="0"/>
  <dimension ref="A1:I6"/>
  <sheetViews>
    <sheetView showGridLines="0" workbookViewId="0">
      <pane ySplit="1" topLeftCell="A2" activePane="bottomLeft" state="frozen"/>
      <selection activeCell="A10" sqref="A10"/>
      <selection pane="bottomLeft" activeCell="C2" sqref="C2"/>
    </sheetView>
  </sheetViews>
  <sheetFormatPr baseColWidth="10" defaultColWidth="8.83203125" defaultRowHeight="14" x14ac:dyDescent="0.2"/>
  <cols>
    <col min="1" max="1" width="17.33203125" style="14" customWidth="1"/>
    <col min="2" max="2" width="10.5" style="14" customWidth="1"/>
    <col min="3" max="6" width="28.6640625" style="14" customWidth="1"/>
    <col min="7" max="8" width="12.83203125" style="14" hidden="1" customWidth="1"/>
    <col min="9" max="9" width="20.33203125" style="14" hidden="1" customWidth="1"/>
    <col min="10" max="10" width="18" style="14" customWidth="1"/>
    <col min="11" max="16384" width="8.83203125" style="14"/>
  </cols>
  <sheetData>
    <row r="1" spans="1:9" ht="60" customHeight="1" x14ac:dyDescent="0.2">
      <c r="A1" s="11" t="s">
        <v>7</v>
      </c>
      <c r="B1" s="11" t="s">
        <v>164</v>
      </c>
      <c r="C1" s="12" t="s">
        <v>160</v>
      </c>
      <c r="D1" s="12" t="s">
        <v>173</v>
      </c>
      <c r="E1" s="12" t="s">
        <v>174</v>
      </c>
      <c r="F1" s="12" t="s">
        <v>175</v>
      </c>
      <c r="G1" s="17" t="s">
        <v>148</v>
      </c>
      <c r="H1" s="17" t="s">
        <v>163</v>
      </c>
      <c r="I1" s="17" t="s">
        <v>172</v>
      </c>
    </row>
    <row r="2" spans="1:9" x14ac:dyDescent="0.2">
      <c r="A2" s="25"/>
      <c r="B2" s="25"/>
      <c r="C2" s="16"/>
      <c r="D2" s="16"/>
      <c r="E2" s="16"/>
      <c r="F2" s="16"/>
    </row>
    <row r="3" spans="1:9" ht="15" x14ac:dyDescent="0.2">
      <c r="A3"/>
      <c r="B3"/>
      <c r="C3"/>
      <c r="D3"/>
      <c r="E3"/>
      <c r="F3"/>
      <c r="G3"/>
      <c r="H3"/>
      <c r="I3"/>
    </row>
    <row r="4" spans="1:9" ht="15" x14ac:dyDescent="0.2">
      <c r="A4"/>
      <c r="B4"/>
      <c r="C4"/>
      <c r="D4"/>
      <c r="E4"/>
      <c r="F4"/>
      <c r="G4"/>
      <c r="H4"/>
      <c r="I4"/>
    </row>
    <row r="5" spans="1:9" ht="15" x14ac:dyDescent="0.2">
      <c r="A5"/>
      <c r="B5"/>
      <c r="C5"/>
      <c r="D5"/>
      <c r="E5"/>
      <c r="F5"/>
      <c r="G5"/>
      <c r="H5"/>
      <c r="I5"/>
    </row>
    <row r="6" spans="1:9" ht="15" x14ac:dyDescent="0.2">
      <c r="A6"/>
      <c r="B6"/>
      <c r="C6"/>
      <c r="D6"/>
      <c r="E6"/>
      <c r="F6"/>
    </row>
  </sheetData>
  <dataValidations count="1">
    <dataValidation type="list" allowBlank="1" showInputMessage="1" showErrorMessage="1" sqref="C2">
      <formula1>lstDist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438" r:id="rId3" name="Button 54">
              <controlPr locked="0" defaultSize="0" autoFill="0" autoPict="0" macro="[0]!checkDistributions">
                <anchor moveWithCells="1" sizeWithCells="1">
                  <from>
                    <xdr:col>0</xdr:col>
                    <xdr:colOff>177800</xdr:colOff>
                    <xdr:row>0</xdr:row>
                    <xdr:rowOff>76200</xdr:rowOff>
                  </from>
                  <to>
                    <xdr:col>1</xdr:col>
                    <xdr:colOff>533400</xdr:colOff>
                    <xdr:row>0</xdr:row>
                    <xdr:rowOff>406400</xdr:rowOff>
                  </to>
                </anchor>
              </controlPr>
            </control>
          </mc:Choice>
          <mc:Fallback/>
        </mc:AlternateContent>
        <mc:AlternateContent xmlns:mc="http://schemas.openxmlformats.org/markup-compatibility/2006">
          <mc:Choice Requires="x14">
            <control shapeId="16439" r:id="rId4" name="Button 55">
              <controlPr locked="0" defaultSize="0" autoFill="0" autoPict="0" macro="[0]!CreateTextFile">
                <anchor moveWithCells="1" sizeWithCells="1">
                  <from>
                    <xdr:col>2</xdr:col>
                    <xdr:colOff>215900</xdr:colOff>
                    <xdr:row>0</xdr:row>
                    <xdr:rowOff>76200</xdr:rowOff>
                  </from>
                  <to>
                    <xdr:col>2</xdr:col>
                    <xdr:colOff>1727200</xdr:colOff>
                    <xdr:row>0</xdr:row>
                    <xdr:rowOff>406400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D6"/>
  <sheetViews>
    <sheetView workbookViewId="0">
      <selection activeCell="B3" sqref="B3:B6"/>
    </sheetView>
  </sheetViews>
  <sheetFormatPr baseColWidth="10" defaultColWidth="8.83203125" defaultRowHeight="15" x14ac:dyDescent="0.2"/>
  <sheetData>
    <row r="2" spans="2:4" x14ac:dyDescent="0.2">
      <c r="B2" t="s">
        <v>124</v>
      </c>
      <c r="D2" t="s">
        <v>167</v>
      </c>
    </row>
    <row r="3" spans="2:4" x14ac:dyDescent="0.2">
      <c r="B3" t="s">
        <v>125</v>
      </c>
      <c r="D3" t="s">
        <v>168</v>
      </c>
    </row>
    <row r="4" spans="2:4" x14ac:dyDescent="0.2">
      <c r="B4" t="s">
        <v>126</v>
      </c>
      <c r="D4" t="s">
        <v>21</v>
      </c>
    </row>
    <row r="5" spans="2:4" x14ac:dyDescent="0.2">
      <c r="B5" t="s">
        <v>127</v>
      </c>
      <c r="D5" t="s">
        <v>169</v>
      </c>
    </row>
    <row r="6" spans="2:4" x14ac:dyDescent="0.2">
      <c r="B6" t="s">
        <v>128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10</vt:i4>
      </vt:variant>
    </vt:vector>
  </HeadingPairs>
  <TitlesOfParts>
    <vt:vector size="10" baseType="lpstr">
      <vt:lpstr>Graph</vt:lpstr>
      <vt:lpstr>Names</vt:lpstr>
      <vt:lpstr>UserGuide</vt:lpstr>
      <vt:lpstr>Nodes</vt:lpstr>
      <vt:lpstr>Arcs</vt:lpstr>
      <vt:lpstr>ODs</vt:lpstr>
      <vt:lpstr>Paths</vt:lpstr>
      <vt:lpstr>ColLet</vt:lpstr>
      <vt:lpstr>PathMDs</vt:lpstr>
      <vt:lpstr>Lists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Desktop</dc:creator>
  <cp:lastModifiedBy>Usuario de Microsoft Office</cp:lastModifiedBy>
  <cp:lastPrinted>2017-05-19T08:13:41Z</cp:lastPrinted>
  <dcterms:created xsi:type="dcterms:W3CDTF">2015-08-19T08:58:01Z</dcterms:created>
  <dcterms:modified xsi:type="dcterms:W3CDTF">2017-05-19T12:14:13Z</dcterms:modified>
</cp:coreProperties>
</file>